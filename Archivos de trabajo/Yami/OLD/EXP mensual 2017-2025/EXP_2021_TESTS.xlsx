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d03ae9016654ccc/Escritorio/Paper-ITCRM.SF/Archivos de trabajo/Yami/EXP mensual 2017-2025/"/>
    </mc:Choice>
  </mc:AlternateContent>
  <xr:revisionPtr revIDLastSave="0" documentId="8_{77D6750E-60AB-4C43-AD4C-F748BC158095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Ene 2021_Destino" sheetId="6" r:id="rId1"/>
    <sheet name="Ene-Feb 2021_Destino" sheetId="7" r:id="rId2"/>
    <sheet name="Ene-Mar 2021_Destino" sheetId="8" r:id="rId3"/>
    <sheet name="Ene-Abr 2021_Destino" sheetId="9" r:id="rId4"/>
    <sheet name="Ene-May 2021_Destino" sheetId="10" r:id="rId5"/>
    <sheet name="Ene-Jun 2021_Destino" sheetId="11" r:id="rId6"/>
    <sheet name="Ene-Jul 2021_Destino" sheetId="12" r:id="rId7"/>
    <sheet name="Ene-Ago 2021_Destino" sheetId="13" r:id="rId8"/>
    <sheet name="Ene-Sep 2021_Destino" sheetId="14" r:id="rId9"/>
    <sheet name="Ene-Oct 2021_Destino" sheetId="15" r:id="rId10"/>
    <sheet name="Ene-Nov 2021_Destino" sheetId="16" r:id="rId11"/>
    <sheet name="Ene-Dic 2021_Destino" sheetId="2" r:id="rId12"/>
  </sheets>
  <calcPr calcId="191029"/>
</workbook>
</file>

<file path=xl/calcChain.xml><?xml version="1.0" encoding="utf-8"?>
<calcChain xmlns="http://schemas.openxmlformats.org/spreadsheetml/2006/main">
  <c r="K23" i="10" l="1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22" i="10"/>
  <c r="F47" i="10"/>
  <c r="F112" i="10"/>
  <c r="F96" i="10"/>
  <c r="F55" i="10"/>
  <c r="F130" i="10"/>
  <c r="F26" i="10"/>
  <c r="E8" i="10"/>
  <c r="F147" i="10" s="1"/>
  <c r="E42" i="10"/>
  <c r="F42" i="10" s="1"/>
  <c r="E39" i="10"/>
  <c r="E107" i="10"/>
  <c r="E146" i="10"/>
  <c r="E54" i="10"/>
  <c r="E52" i="10"/>
  <c r="E26" i="10"/>
  <c r="E126" i="10"/>
  <c r="F126" i="10" s="1"/>
  <c r="E101" i="10"/>
  <c r="F101" i="10" s="1"/>
  <c r="E86" i="10"/>
  <c r="E124" i="10"/>
  <c r="E95" i="10"/>
  <c r="E137" i="10"/>
  <c r="E100" i="10"/>
  <c r="E76" i="10"/>
  <c r="F76" i="10" s="1"/>
  <c r="E120" i="10"/>
  <c r="F120" i="10" s="1"/>
  <c r="E23" i="10"/>
  <c r="F23" i="10" s="1"/>
  <c r="E25" i="10"/>
  <c r="E40" i="10"/>
  <c r="E35" i="10"/>
  <c r="E113" i="10"/>
  <c r="F113" i="10" s="1"/>
  <c r="E80" i="10"/>
  <c r="F80" i="10" s="1"/>
  <c r="E41" i="10"/>
  <c r="F41" i="10" s="1"/>
  <c r="E70" i="10"/>
  <c r="F70" i="10" s="1"/>
  <c r="E51" i="10"/>
  <c r="F51" i="10" s="1"/>
  <c r="E127" i="10"/>
  <c r="E138" i="10"/>
  <c r="E116" i="10"/>
  <c r="E123" i="10"/>
  <c r="E82" i="10"/>
  <c r="E112" i="10"/>
  <c r="E106" i="10"/>
  <c r="F106" i="10" s="1"/>
  <c r="E69" i="10"/>
  <c r="F69" i="10" s="1"/>
  <c r="E109" i="10"/>
  <c r="E33" i="10"/>
  <c r="E18" i="10"/>
  <c r="E91" i="10"/>
  <c r="F91" i="10" s="1"/>
  <c r="E139" i="10"/>
  <c r="F139" i="10" s="1"/>
  <c r="E59" i="10"/>
  <c r="F59" i="10" s="1"/>
  <c r="E140" i="10"/>
  <c r="F140" i="10" s="1"/>
  <c r="E141" i="10"/>
  <c r="F141" i="10" s="1"/>
  <c r="E64" i="10"/>
  <c r="E131" i="10"/>
  <c r="E142" i="10"/>
  <c r="E46" i="10"/>
  <c r="E19" i="10"/>
  <c r="E96" i="10"/>
  <c r="E79" i="10"/>
  <c r="F79" i="10" s="1"/>
  <c r="E143" i="10"/>
  <c r="F143" i="10" s="1"/>
  <c r="E71" i="10"/>
  <c r="E121" i="10"/>
  <c r="E99" i="10"/>
  <c r="E75" i="10"/>
  <c r="F75" i="10" s="1"/>
  <c r="E24" i="10"/>
  <c r="F24" i="10" s="1"/>
  <c r="E85" i="10"/>
  <c r="F85" i="10" s="1"/>
  <c r="E90" i="10"/>
  <c r="F90" i="10" s="1"/>
  <c r="E53" i="10"/>
  <c r="F53" i="10" s="1"/>
  <c r="E31" i="10"/>
  <c r="E34" i="10"/>
  <c r="E94" i="10"/>
  <c r="E62" i="10"/>
  <c r="E104" i="10"/>
  <c r="E55" i="10"/>
  <c r="E20" i="10"/>
  <c r="F20" i="10" s="1"/>
  <c r="E93" i="10"/>
  <c r="F93" i="10" s="1"/>
  <c r="E37" i="10"/>
  <c r="E49" i="10"/>
  <c r="E61" i="10"/>
  <c r="E58" i="10"/>
  <c r="F58" i="10" s="1"/>
  <c r="E65" i="10"/>
  <c r="F65" i="10" s="1"/>
  <c r="E73" i="10"/>
  <c r="F73" i="10" s="1"/>
  <c r="E117" i="10"/>
  <c r="F117" i="10" s="1"/>
  <c r="E122" i="10"/>
  <c r="F122" i="10" s="1"/>
  <c r="E153" i="10"/>
  <c r="E105" i="10"/>
  <c r="E21" i="10"/>
  <c r="E144" i="10"/>
  <c r="E38" i="10"/>
  <c r="E130" i="10"/>
  <c r="E89" i="10"/>
  <c r="F89" i="10" s="1"/>
  <c r="E68" i="10"/>
  <c r="F68" i="10" s="1"/>
  <c r="E66" i="10"/>
  <c r="E132" i="10"/>
  <c r="E103" i="10"/>
  <c r="E108" i="10"/>
  <c r="F108" i="10" s="1"/>
  <c r="E72" i="10"/>
  <c r="E29" i="10"/>
  <c r="F29" i="10" s="1"/>
  <c r="E44" i="10"/>
  <c r="F44" i="10" s="1"/>
  <c r="E77" i="10"/>
  <c r="F77" i="10" s="1"/>
  <c r="E98" i="10"/>
  <c r="E133" i="10"/>
  <c r="E129" i="10"/>
  <c r="E30" i="10"/>
  <c r="F30" i="10" s="1"/>
  <c r="E97" i="10"/>
  <c r="E110" i="10"/>
  <c r="F110" i="10" s="1"/>
  <c r="E43" i="10"/>
  <c r="F43" i="10" s="1"/>
  <c r="E67" i="10"/>
  <c r="F67" i="10" s="1"/>
  <c r="E15" i="10"/>
  <c r="E27" i="10"/>
  <c r="E115" i="10"/>
  <c r="E114" i="10"/>
  <c r="F114" i="10" s="1"/>
  <c r="E88" i="10"/>
  <c r="E28" i="10"/>
  <c r="F28" i="10" s="1"/>
  <c r="E22" i="10"/>
  <c r="F22" i="10" s="1"/>
  <c r="E125" i="10"/>
  <c r="F125" i="10" s="1"/>
  <c r="E56" i="10"/>
  <c r="E102" i="10"/>
  <c r="E60" i="10"/>
  <c r="E84" i="10"/>
  <c r="E83" i="10"/>
  <c r="E118" i="10"/>
  <c r="E78" i="10"/>
  <c r="F78" i="10" s="1"/>
  <c r="E92" i="10"/>
  <c r="F92" i="10" s="1"/>
  <c r="E74" i="10"/>
  <c r="E50" i="10"/>
  <c r="E134" i="10"/>
  <c r="E47" i="10"/>
  <c r="E32" i="10"/>
  <c r="E111" i="10"/>
  <c r="F111" i="10" s="1"/>
  <c r="E57" i="10"/>
  <c r="F57" i="10" s="1"/>
  <c r="E81" i="10"/>
  <c r="F81" i="10" s="1"/>
  <c r="E63" i="10"/>
  <c r="E36" i="10"/>
  <c r="E45" i="10"/>
  <c r="E16" i="10"/>
  <c r="F16" i="10" s="1"/>
  <c r="E17" i="10"/>
  <c r="E48" i="10"/>
  <c r="F48" i="10" s="1"/>
  <c r="E135" i="10"/>
  <c r="F135" i="10" s="1"/>
  <c r="E87" i="10"/>
  <c r="F87" i="10" s="1"/>
  <c r="E128" i="10"/>
  <c r="E119" i="10"/>
  <c r="D42" i="10"/>
  <c r="D39" i="10"/>
  <c r="D107" i="10"/>
  <c r="D146" i="10"/>
  <c r="D54" i="10"/>
  <c r="D52" i="10"/>
  <c r="D26" i="10"/>
  <c r="D126" i="10"/>
  <c r="D101" i="10"/>
  <c r="D86" i="10"/>
  <c r="D124" i="10"/>
  <c r="D95" i="10"/>
  <c r="D137" i="10"/>
  <c r="D100" i="10"/>
  <c r="D76" i="10"/>
  <c r="D120" i="10"/>
  <c r="D23" i="10"/>
  <c r="D25" i="10"/>
  <c r="D40" i="10"/>
  <c r="D35" i="10"/>
  <c r="D113" i="10"/>
  <c r="D80" i="10"/>
  <c r="D41" i="10"/>
  <c r="D70" i="10"/>
  <c r="D51" i="10"/>
  <c r="D127" i="10"/>
  <c r="D138" i="10"/>
  <c r="D116" i="10"/>
  <c r="D123" i="10"/>
  <c r="D82" i="10"/>
  <c r="D112" i="10"/>
  <c r="D106" i="10"/>
  <c r="D69" i="10"/>
  <c r="D109" i="10"/>
  <c r="D33" i="10"/>
  <c r="D18" i="10"/>
  <c r="D91" i="10"/>
  <c r="D139" i="10"/>
  <c r="D59" i="10"/>
  <c r="D140" i="10"/>
  <c r="D141" i="10"/>
  <c r="D64" i="10"/>
  <c r="D131" i="10"/>
  <c r="D142" i="10"/>
  <c r="D46" i="10"/>
  <c r="D19" i="10"/>
  <c r="D96" i="10"/>
  <c r="D79" i="10"/>
  <c r="D143" i="10"/>
  <c r="D71" i="10"/>
  <c r="D121" i="10"/>
  <c r="D99" i="10"/>
  <c r="D75" i="10"/>
  <c r="D24" i="10"/>
  <c r="D85" i="10"/>
  <c r="D90" i="10"/>
  <c r="D53" i="10"/>
  <c r="D31" i="10"/>
  <c r="D34" i="10"/>
  <c r="D94" i="10"/>
  <c r="D62" i="10"/>
  <c r="D104" i="10"/>
  <c r="D55" i="10"/>
  <c r="D20" i="10"/>
  <c r="D93" i="10"/>
  <c r="D37" i="10"/>
  <c r="D49" i="10"/>
  <c r="D61" i="10"/>
  <c r="D58" i="10"/>
  <c r="D65" i="10"/>
  <c r="D73" i="10"/>
  <c r="D117" i="10"/>
  <c r="D122" i="10"/>
  <c r="D153" i="10"/>
  <c r="D105" i="10"/>
  <c r="D21" i="10"/>
  <c r="D144" i="10"/>
  <c r="D38" i="10"/>
  <c r="D130" i="10"/>
  <c r="D89" i="10"/>
  <c r="D68" i="10"/>
  <c r="D66" i="10"/>
  <c r="D132" i="10"/>
  <c r="D103" i="10"/>
  <c r="D72" i="10"/>
  <c r="D29" i="10"/>
  <c r="D44" i="10"/>
  <c r="D77" i="10"/>
  <c r="D98" i="10"/>
  <c r="D133" i="10"/>
  <c r="D129" i="10"/>
  <c r="D30" i="10"/>
  <c r="D97" i="10"/>
  <c r="D110" i="10"/>
  <c r="D43" i="10"/>
  <c r="D67" i="10"/>
  <c r="D15" i="10"/>
  <c r="D27" i="10"/>
  <c r="D115" i="10"/>
  <c r="D114" i="10"/>
  <c r="D88" i="10"/>
  <c r="D28" i="10"/>
  <c r="D22" i="10"/>
  <c r="D125" i="10"/>
  <c r="D56" i="10"/>
  <c r="D102" i="10"/>
  <c r="D60" i="10"/>
  <c r="D84" i="10"/>
  <c r="D83" i="10"/>
  <c r="D118" i="10"/>
  <c r="D78" i="10"/>
  <c r="D92" i="10"/>
  <c r="D74" i="10"/>
  <c r="D50" i="10"/>
  <c r="D134" i="10"/>
  <c r="D47" i="10"/>
  <c r="D32" i="10"/>
  <c r="D111" i="10"/>
  <c r="D57" i="10"/>
  <c r="D81" i="10"/>
  <c r="D63" i="10"/>
  <c r="D36" i="10"/>
  <c r="D45" i="10"/>
  <c r="D16" i="10"/>
  <c r="D17" i="10"/>
  <c r="D48" i="10"/>
  <c r="D135" i="10"/>
  <c r="D87" i="10"/>
  <c r="D128" i="10"/>
  <c r="D108" i="10"/>
  <c r="D119" i="10"/>
  <c r="F38" i="10" l="1"/>
  <c r="F104" i="10"/>
  <c r="F100" i="10"/>
  <c r="F107" i="10"/>
  <c r="F46" i="10"/>
  <c r="F84" i="10"/>
  <c r="F17" i="10"/>
  <c r="F88" i="10"/>
  <c r="F151" i="10"/>
  <c r="F150" i="10"/>
  <c r="F45" i="10"/>
  <c r="F134" i="10"/>
  <c r="F60" i="10"/>
  <c r="F115" i="10"/>
  <c r="F129" i="10"/>
  <c r="F103" i="10"/>
  <c r="F21" i="10"/>
  <c r="F61" i="10"/>
  <c r="F94" i="10"/>
  <c r="F99" i="10"/>
  <c r="F142" i="10"/>
  <c r="F18" i="10"/>
  <c r="F116" i="10"/>
  <c r="F35" i="10"/>
  <c r="F95" i="10"/>
  <c r="F146" i="10"/>
  <c r="F149" i="10"/>
  <c r="F152" i="10"/>
  <c r="F62" i="10"/>
  <c r="F123" i="10"/>
  <c r="F83" i="10"/>
  <c r="F97" i="10"/>
  <c r="F52" i="10"/>
  <c r="F39" i="10"/>
  <c r="F119" i="10"/>
  <c r="F36" i="10"/>
  <c r="F50" i="10"/>
  <c r="F102" i="10"/>
  <c r="F27" i="10"/>
  <c r="F133" i="10"/>
  <c r="F132" i="10"/>
  <c r="F105" i="10"/>
  <c r="F49" i="10"/>
  <c r="F34" i="10"/>
  <c r="F121" i="10"/>
  <c r="F131" i="10"/>
  <c r="F33" i="10"/>
  <c r="F138" i="10"/>
  <c r="F40" i="10"/>
  <c r="F124" i="10"/>
  <c r="F148" i="10"/>
  <c r="F145" i="10"/>
  <c r="F54" i="10"/>
  <c r="F19" i="10"/>
  <c r="F82" i="10"/>
  <c r="F118" i="10"/>
  <c r="F144" i="10"/>
  <c r="F137" i="10"/>
  <c r="F32" i="10"/>
  <c r="F72" i="10"/>
  <c r="F136" i="10"/>
  <c r="F128" i="10"/>
  <c r="F63" i="10"/>
  <c r="F74" i="10"/>
  <c r="F56" i="10"/>
  <c r="F15" i="10"/>
  <c r="F98" i="10"/>
  <c r="F66" i="10"/>
  <c r="F153" i="10"/>
  <c r="F37" i="10"/>
  <c r="F31" i="10"/>
  <c r="F71" i="10"/>
  <c r="F64" i="10"/>
  <c r="F109" i="10"/>
  <c r="F127" i="10"/>
  <c r="F25" i="10"/>
  <c r="F86" i="10"/>
</calcChain>
</file>

<file path=xl/sharedStrings.xml><?xml version="1.0" encoding="utf-8"?>
<sst xmlns="http://schemas.openxmlformats.org/spreadsheetml/2006/main" count="2252" uniqueCount="322">
  <si>
    <t xml:space="preserve">(en Dólares) </t>
  </si>
  <si>
    <t>(en Kilos)</t>
  </si>
  <si>
    <t>País de destino</t>
  </si>
  <si>
    <t>Peso Neto</t>
  </si>
  <si>
    <t>Valor F.O.B.</t>
  </si>
  <si>
    <t>TOTAL</t>
  </si>
  <si>
    <t xml:space="preserve">   </t>
  </si>
  <si>
    <t xml:space="preserve">   AFRICA</t>
  </si>
  <si>
    <t xml:space="preserve">      Argelia</t>
  </si>
  <si>
    <t xml:space="preserve">      Camerún</t>
  </si>
  <si>
    <t xml:space="preserve">      Costa de Marfil</t>
  </si>
  <si>
    <t xml:space="preserve">      Benin</t>
  </si>
  <si>
    <t xml:space="preserve">      Egipto</t>
  </si>
  <si>
    <t xml:space="preserve">      Gambia</t>
  </si>
  <si>
    <t xml:space="preserve">      Ghana</t>
  </si>
  <si>
    <t xml:space="preserve">      Kenya</t>
  </si>
  <si>
    <t xml:space="preserve">      Libia</t>
  </si>
  <si>
    <t xml:space="preserve">      Mali</t>
  </si>
  <si>
    <t xml:space="preserve">      Marruecos</t>
  </si>
  <si>
    <t xml:space="preserve">      Mauricio</t>
  </si>
  <si>
    <t xml:space="preserve">      Nigeria</t>
  </si>
  <si>
    <t xml:space="preserve">      Senegal</t>
  </si>
  <si>
    <t xml:space="preserve">      Tanzania</t>
  </si>
  <si>
    <t xml:space="preserve">      Uganda</t>
  </si>
  <si>
    <t xml:space="preserve">      Angola</t>
  </si>
  <si>
    <t xml:space="preserve">      Mozambique</t>
  </si>
  <si>
    <t xml:space="preserve">      Sudáfrica</t>
  </si>
  <si>
    <t xml:space="preserve">   AMERICA</t>
  </si>
  <si>
    <t xml:space="preserve">      Bolivia</t>
  </si>
  <si>
    <t xml:space="preserve">      Brasil</t>
  </si>
  <si>
    <t xml:space="preserve">      Canadá</t>
  </si>
  <si>
    <t xml:space="preserve">      Colombia</t>
  </si>
  <si>
    <t xml:space="preserve">      Costa Rica</t>
  </si>
  <si>
    <t xml:space="preserve">      Cuba</t>
  </si>
  <si>
    <t xml:space="preserve">      Chile</t>
  </si>
  <si>
    <t xml:space="preserve">      República Dominicana</t>
  </si>
  <si>
    <t xml:space="preserve">      Ecuador</t>
  </si>
  <si>
    <t xml:space="preserve">      El Salvador</t>
  </si>
  <si>
    <t xml:space="preserve">      Estados Unidos</t>
  </si>
  <si>
    <t xml:space="preserve">      Guatemala</t>
  </si>
  <si>
    <t xml:space="preserve">      Honduras</t>
  </si>
  <si>
    <t xml:space="preserve">      México</t>
  </si>
  <si>
    <t xml:space="preserve">      Nicaragua</t>
  </si>
  <si>
    <t xml:space="preserve">      Panamá</t>
  </si>
  <si>
    <t xml:space="preserve">      Paraguay</t>
  </si>
  <si>
    <t xml:space="preserve">      Perú</t>
  </si>
  <si>
    <t xml:space="preserve">      Trinidad y Tobago</t>
  </si>
  <si>
    <t xml:space="preserve">      Uruguay</t>
  </si>
  <si>
    <t xml:space="preserve">      Venezuela</t>
  </si>
  <si>
    <t xml:space="preserve">   ASIA</t>
  </si>
  <si>
    <t xml:space="preserve">      Arabia Saudita</t>
  </si>
  <si>
    <t xml:space="preserve">      Corea Republicana</t>
  </si>
  <si>
    <t xml:space="preserve">      China</t>
  </si>
  <si>
    <t xml:space="preserve">      Filipinas</t>
  </si>
  <si>
    <t xml:space="preserve">      Taiwan</t>
  </si>
  <si>
    <t xml:space="preserve">      India</t>
  </si>
  <si>
    <t xml:space="preserve">      Indonesia</t>
  </si>
  <si>
    <t xml:space="preserve">      Israel</t>
  </si>
  <si>
    <t xml:space="preserve">      Japón</t>
  </si>
  <si>
    <t xml:space="preserve">      Jordania</t>
  </si>
  <si>
    <t xml:space="preserve">      Kuwait</t>
  </si>
  <si>
    <t xml:space="preserve">      Líbano</t>
  </si>
  <si>
    <t xml:space="preserve">      Malasia</t>
  </si>
  <si>
    <t xml:space="preserve">      Nepal</t>
  </si>
  <si>
    <t xml:space="preserve">      Emiratos Arabes Unidos</t>
  </si>
  <si>
    <t xml:space="preserve">      Paquistán</t>
  </si>
  <si>
    <t xml:space="preserve">      Singapur</t>
  </si>
  <si>
    <t xml:space="preserve">      Tailandia</t>
  </si>
  <si>
    <t xml:space="preserve">      Vietnam</t>
  </si>
  <si>
    <t xml:space="preserve">      Hong Kong</t>
  </si>
  <si>
    <t xml:space="preserve">      Bangladesh</t>
  </si>
  <si>
    <t xml:space="preserve">      República de Yemen</t>
  </si>
  <si>
    <t xml:space="preserve">   EUROPA</t>
  </si>
  <si>
    <t xml:space="preserve">      Austria</t>
  </si>
  <si>
    <t xml:space="preserve">      Bélgica</t>
  </si>
  <si>
    <t xml:space="preserve">      Bulgaria</t>
  </si>
  <si>
    <t xml:space="preserve">      Dinamarca</t>
  </si>
  <si>
    <t xml:space="preserve">      España</t>
  </si>
  <si>
    <t xml:space="preserve">      Finlandia</t>
  </si>
  <si>
    <t xml:space="preserve">      Francia</t>
  </si>
  <si>
    <t xml:space="preserve">      Grecia</t>
  </si>
  <si>
    <t xml:space="preserve">      Hungría</t>
  </si>
  <si>
    <t xml:space="preserve">      Irlanda</t>
  </si>
  <si>
    <t xml:space="preserve">      Italia</t>
  </si>
  <si>
    <t xml:space="preserve">      Noruega</t>
  </si>
  <si>
    <t xml:space="preserve">      Países Bajos</t>
  </si>
  <si>
    <t xml:space="preserve">      Polonia</t>
  </si>
  <si>
    <t xml:space="preserve">      Portugal</t>
  </si>
  <si>
    <t xml:space="preserve">      Reino Unido</t>
  </si>
  <si>
    <t xml:space="preserve">      Rumania</t>
  </si>
  <si>
    <t xml:space="preserve">      Suecia</t>
  </si>
  <si>
    <t xml:space="preserve">      Chipre</t>
  </si>
  <si>
    <t xml:space="preserve">      Turquía</t>
  </si>
  <si>
    <t xml:space="preserve">      República Federal de Alemania</t>
  </si>
  <si>
    <t xml:space="preserve">      Lituania</t>
  </si>
  <si>
    <t xml:space="preserve">      Rusia</t>
  </si>
  <si>
    <t xml:space="preserve">      Ucrania</t>
  </si>
  <si>
    <t xml:space="preserve">      Croacia</t>
  </si>
  <si>
    <t xml:space="preserve">      Macedonia</t>
  </si>
  <si>
    <t xml:space="preserve">      República Checa</t>
  </si>
  <si>
    <t xml:space="preserve">      Serbia</t>
  </si>
  <si>
    <t xml:space="preserve">   OCEANIA</t>
  </si>
  <si>
    <t xml:space="preserve">      Australia</t>
  </si>
  <si>
    <t xml:space="preserve">      Nueva Zelanda</t>
  </si>
  <si>
    <t xml:space="preserve">   DESCONOCIDO</t>
  </si>
  <si>
    <t xml:space="preserve">      Demás países</t>
  </si>
  <si>
    <t xml:space="preserve">      SIN DECLARAR - DESCONOCIDO - IGNORADO (CONTINENTE)</t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</si>
  <si>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Los datos se presentan protegidos de acuerdo a la normativa vigente sobre secreto estadístico y protección de datos individuales (art. 10º de la ley 17.622; título VI del decreto 3.110; art. 1º de la disposición 176/99, entre otros).</t>
    </r>
  </si>
  <si>
    <t>(-) dato igual a cero.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</si>
  <si>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IPEC - INDEC.</t>
    </r>
  </si>
  <si>
    <t xml:space="preserve">      Congo</t>
  </si>
  <si>
    <t xml:space="preserve">      Montenegro</t>
  </si>
  <si>
    <t>/// Dato que no corresponde presentar debido a la naturaleza de las cosas o del cálculo.</t>
  </si>
  <si>
    <t xml:space="preserve">      Irán</t>
  </si>
  <si>
    <t>-</t>
  </si>
  <si>
    <t xml:space="preserve">      Rep. Democrática del Congo (ex Zaire)</t>
  </si>
  <si>
    <t xml:space="preserve">      Guinea</t>
  </si>
  <si>
    <t xml:space="preserve">      Liberia</t>
  </si>
  <si>
    <t xml:space="preserve">      Mauritania</t>
  </si>
  <si>
    <t xml:space="preserve">      Sierra Leona</t>
  </si>
  <si>
    <t xml:space="preserve">      Túnez</t>
  </si>
  <si>
    <t xml:space="preserve">      Djibouti</t>
  </si>
  <si>
    <t xml:space="preserve">      Etiopía</t>
  </si>
  <si>
    <t xml:space="preserve">      Haití</t>
  </si>
  <si>
    <t xml:space="preserve">      Puerto Rico(Estado Asociado)</t>
  </si>
  <si>
    <t xml:space="preserve">      Qatar</t>
  </si>
  <si>
    <t xml:space="preserve">      Omán</t>
  </si>
  <si>
    <t xml:space="preserve">      Azerbaiján</t>
  </si>
  <si>
    <t xml:space="preserve">      Kazajstán</t>
  </si>
  <si>
    <t xml:space="preserve">      Albania</t>
  </si>
  <si>
    <t xml:space="preserve">      Suiza</t>
  </si>
  <si>
    <t xml:space="preserve">      Letonia</t>
  </si>
  <si>
    <t xml:space="preserve">      Moldavia</t>
  </si>
  <si>
    <t xml:space="preserve">      Bosnia Herzegovina</t>
  </si>
  <si>
    <t xml:space="preserve">      Níger</t>
  </si>
  <si>
    <t xml:space="preserve">      Guyana</t>
  </si>
  <si>
    <t xml:space="preserve">      Curazao</t>
  </si>
  <si>
    <t xml:space="preserve">      Bahrein</t>
  </si>
  <si>
    <t xml:space="preserve">      Iraq</t>
  </si>
  <si>
    <t xml:space="preserve">      Siria</t>
  </si>
  <si>
    <t xml:space="preserve">      Malta</t>
  </si>
  <si>
    <t xml:space="preserve">      Estonia</t>
  </si>
  <si>
    <t xml:space="preserve">      Eslovaquia</t>
  </si>
  <si>
    <t xml:space="preserve">      Eslovenia</t>
  </si>
  <si>
    <t xml:space="preserve">      Gabón</t>
  </si>
  <si>
    <t xml:space="preserve">      Malawi</t>
  </si>
  <si>
    <t xml:space="preserve">      Myanmar (ex Birmania) Unión de</t>
  </si>
  <si>
    <t xml:space="preserve">      Sri Lanka</t>
  </si>
  <si>
    <t xml:space="preserve">      Bielorrusia</t>
  </si>
  <si>
    <t xml:space="preserve">      Georgia</t>
  </si>
  <si>
    <t xml:space="preserve">      Territorios Autónomos Palestinos (Gaza y Jericó)</t>
  </si>
  <si>
    <t xml:space="preserve">      Suriname</t>
  </si>
  <si>
    <t xml:space="preserve">      Togo</t>
  </si>
  <si>
    <t xml:space="preserve">      Cabo Verde</t>
  </si>
  <si>
    <t xml:space="preserve">      Armenia</t>
  </si>
  <si>
    <t xml:space="preserve">      Burkina Faso</t>
  </si>
  <si>
    <t xml:space="preserve">      Jamaica</t>
  </si>
  <si>
    <t xml:space="preserve">      Guinea Ecuatorial</t>
  </si>
  <si>
    <t xml:space="preserve">      Madagascar</t>
  </si>
  <si>
    <t xml:space="preserve">      Rwanda</t>
  </si>
  <si>
    <t xml:space="preserve">      Sudán</t>
  </si>
  <si>
    <t xml:space="preserve">      Brunei</t>
  </si>
  <si>
    <t>Enero - diciembre 2021</t>
  </si>
  <si>
    <t xml:space="preserve">      Burundi</t>
  </si>
  <si>
    <t xml:space="preserve">Evolución de las exportaciones con origen en la provincia de Santa Fe, según destino. Período enero - diciembre 2021 </t>
  </si>
  <si>
    <t>Enero 2021</t>
  </si>
  <si>
    <t>Enero - febrero 2021</t>
  </si>
  <si>
    <t>Enero - marzo 2021</t>
  </si>
  <si>
    <t>Enero - abril 2021</t>
  </si>
  <si>
    <t>Enero - mayo 2021</t>
  </si>
  <si>
    <t>Enero - junio 2021</t>
  </si>
  <si>
    <t>Enero - julio 2021</t>
  </si>
  <si>
    <t>Enero - agosto 2021</t>
  </si>
  <si>
    <t>Enero - septiembre 2021</t>
  </si>
  <si>
    <t>Enero - octubre 2021</t>
  </si>
  <si>
    <t>Enero - noviembre 2021</t>
  </si>
  <si>
    <t xml:space="preserve">Evolución de las exportaciones con origen en la provincia de Santa Fe, según destino. Mes enero de 2021 </t>
  </si>
  <si>
    <t xml:space="preserve">Evolución de las exportaciones con origen en la provincia de Santa Fe, según destino. Período enero - febrero 2021 </t>
  </si>
  <si>
    <t>Evolución de las exportaciones con origen en la provincia de Santa Fe, según destino. Período enero - marzo 2021</t>
  </si>
  <si>
    <t xml:space="preserve">Evolución de las exportaciones con origen en la provincia de Santa Fe, según destino. Período enero - abril 2021 </t>
  </si>
  <si>
    <t xml:space="preserve">Evolución de las exportaciones con origen en la provincia de Santa Fe, según destino. Período enero - mayo 2021 </t>
  </si>
  <si>
    <t xml:space="preserve">Evolución de las exportaciones con origen en la provincia de Santa Fe, según destino. Período enero - junio 2021 </t>
  </si>
  <si>
    <t xml:space="preserve">Evolución de las exportaciones con origen en la provincia de Santa Fe, según destino. Período enero - julio 2021 </t>
  </si>
  <si>
    <t xml:space="preserve">Evolución de las exportaciones con origen en la provincia de Santa Fe, según destino. Período enero - agosto 2021 </t>
  </si>
  <si>
    <t>Evolución de las exportaciones con origen en la provincia de Santa Fe, según destino. Período enero - septiembre 2021</t>
  </si>
  <si>
    <t xml:space="preserve">Evolución de las exportaciones con origen en la provincia de Santa Fe, según destino. Período enero - octubre 2021 </t>
  </si>
  <si>
    <t>Evolución de las exportaciones con origen en la provincia de Santa Fe, según destino. Período enero - noviembre 2021</t>
  </si>
  <si>
    <t>Brasil</t>
  </si>
  <si>
    <t>India</t>
  </si>
  <si>
    <t>Vietnam</t>
  </si>
  <si>
    <t>Irán</t>
  </si>
  <si>
    <t>Argelia</t>
  </si>
  <si>
    <t>Malasia</t>
  </si>
  <si>
    <t>Chile</t>
  </si>
  <si>
    <t>Estados Unidos</t>
  </si>
  <si>
    <t>España</t>
  </si>
  <si>
    <t>Indonesia</t>
  </si>
  <si>
    <t>Italia</t>
  </si>
  <si>
    <t>Tailandia</t>
  </si>
  <si>
    <t>Reino Unido</t>
  </si>
  <si>
    <t>Perú</t>
  </si>
  <si>
    <t>Sudáfrica</t>
  </si>
  <si>
    <t>Arabia Saudita</t>
  </si>
  <si>
    <t>China</t>
  </si>
  <si>
    <t>Países Bajos</t>
  </si>
  <si>
    <t>Jordania</t>
  </si>
  <si>
    <t>Polonia</t>
  </si>
  <si>
    <t>Turquía</t>
  </si>
  <si>
    <t>Bangladesh</t>
  </si>
  <si>
    <t>Dinamarca</t>
  </si>
  <si>
    <t>Egipto</t>
  </si>
  <si>
    <t>Uruguay</t>
  </si>
  <si>
    <t>Venezuela</t>
  </si>
  <si>
    <t>Ecuador</t>
  </si>
  <si>
    <t>Confidencial</t>
  </si>
  <si>
    <t>Filipinas</t>
  </si>
  <si>
    <t>Marruecos</t>
  </si>
  <si>
    <t>Iraq</t>
  </si>
  <si>
    <t>Irlanda</t>
  </si>
  <si>
    <t>Malta</t>
  </si>
  <si>
    <t>Francia</t>
  </si>
  <si>
    <t>Paraguay</t>
  </si>
  <si>
    <t>República Federal de Alemania</t>
  </si>
  <si>
    <t>Bielorrusia</t>
  </si>
  <si>
    <t>Australia</t>
  </si>
  <si>
    <t>Bélgica</t>
  </si>
  <si>
    <t>Letonia</t>
  </si>
  <si>
    <t>República de Yemen</t>
  </si>
  <si>
    <t>Libia</t>
  </si>
  <si>
    <t>Grecia</t>
  </si>
  <si>
    <t>Corea Republicana</t>
  </si>
  <si>
    <t>República Dominicana</t>
  </si>
  <si>
    <t>Israel</t>
  </si>
  <si>
    <t>Cuba</t>
  </si>
  <si>
    <t>Mozambique</t>
  </si>
  <si>
    <t>Túnez</t>
  </si>
  <si>
    <t>Rumania</t>
  </si>
  <si>
    <t>Lituania</t>
  </si>
  <si>
    <t>Colombia</t>
  </si>
  <si>
    <t>Japón</t>
  </si>
  <si>
    <t>Nigeria</t>
  </si>
  <si>
    <t>Chipre</t>
  </si>
  <si>
    <t>México</t>
  </si>
  <si>
    <t>Paquistán</t>
  </si>
  <si>
    <t>Canadá</t>
  </si>
  <si>
    <t>Georgia</t>
  </si>
  <si>
    <t>Líbano</t>
  </si>
  <si>
    <t>Omán</t>
  </si>
  <si>
    <t>Angola</t>
  </si>
  <si>
    <t>Fuente: IPEC - INDEC.</t>
  </si>
  <si>
    <t>Bosnia Herzegovina</t>
  </si>
  <si>
    <t>Estonia</t>
  </si>
  <si>
    <t>Etiopía</t>
  </si>
  <si>
    <t>Malawi</t>
  </si>
  <si>
    <t>Myanmar (ex Birmania) Unión de</t>
  </si>
  <si>
    <t>Rep. Democrática del Congo (ex Zaire)</t>
  </si>
  <si>
    <t>Siria</t>
  </si>
  <si>
    <t>Emiratos Arabes Unidos</t>
  </si>
  <si>
    <t>Puerto Rico(Estado Asociado)</t>
  </si>
  <si>
    <t>Eslovenia</t>
  </si>
  <si>
    <t>Rusia</t>
  </si>
  <si>
    <t>Taiwan</t>
  </si>
  <si>
    <t>Bolivia</t>
  </si>
  <si>
    <t>Senegal</t>
  </si>
  <si>
    <t>Demás países</t>
  </si>
  <si>
    <t>Hong Kong</t>
  </si>
  <si>
    <t>Nicaragua</t>
  </si>
  <si>
    <t>Eslovaquia</t>
  </si>
  <si>
    <t>Costa Rica</t>
  </si>
  <si>
    <t>Costa de Marfil</t>
  </si>
  <si>
    <t>Panamá</t>
  </si>
  <si>
    <t>Guatemala</t>
  </si>
  <si>
    <t>Suiza</t>
  </si>
  <si>
    <t>Mali</t>
  </si>
  <si>
    <t>Curazao</t>
  </si>
  <si>
    <t>República Checa</t>
  </si>
  <si>
    <t>Portugal</t>
  </si>
  <si>
    <t>Guyana</t>
  </si>
  <si>
    <t>Nepal</t>
  </si>
  <si>
    <t>Austria</t>
  </si>
  <si>
    <t>Nueva Zelanda</t>
  </si>
  <si>
    <t>Honduras</t>
  </si>
  <si>
    <t>Congo</t>
  </si>
  <si>
    <t>Ghana</t>
  </si>
  <si>
    <t>Qatar</t>
  </si>
  <si>
    <t>Singapur</t>
  </si>
  <si>
    <t>Ucrania</t>
  </si>
  <si>
    <t>Gambia</t>
  </si>
  <si>
    <t>Macedonia</t>
  </si>
  <si>
    <t>Benin</t>
  </si>
  <si>
    <t>El Salvador</t>
  </si>
  <si>
    <t>Liberia</t>
  </si>
  <si>
    <t>Camerún</t>
  </si>
  <si>
    <t>Bulgaria</t>
  </si>
  <si>
    <t>Kuwait</t>
  </si>
  <si>
    <t>Serbia</t>
  </si>
  <si>
    <t>Croacia</t>
  </si>
  <si>
    <t>Albania</t>
  </si>
  <si>
    <t>Hungría</t>
  </si>
  <si>
    <t>Noruega</t>
  </si>
  <si>
    <t>Sierra Leona</t>
  </si>
  <si>
    <t>Guinea</t>
  </si>
  <si>
    <t>Trinidad y Tobago</t>
  </si>
  <si>
    <t>Kazajstán</t>
  </si>
  <si>
    <t>Gabón</t>
  </si>
  <si>
    <t>Bahrein</t>
  </si>
  <si>
    <t>Suecia</t>
  </si>
  <si>
    <t>Moldavia</t>
  </si>
  <si>
    <t>Tanzania</t>
  </si>
  <si>
    <t>Azerbaiján</t>
  </si>
  <si>
    <t>Djibouti</t>
  </si>
  <si>
    <t>Finlandia</t>
  </si>
  <si>
    <t>Haití</t>
  </si>
  <si>
    <t>Kenya</t>
  </si>
  <si>
    <t>Mauricio</t>
  </si>
  <si>
    <t>Mauritania</t>
  </si>
  <si>
    <t>Montenegro</t>
  </si>
  <si>
    <t>Níger</t>
  </si>
  <si>
    <t>Sri Lanka</t>
  </si>
  <si>
    <t>Territorios Autónomos Palestinos (Gaza y Jericó)</t>
  </si>
  <si>
    <t>Uganda</t>
  </si>
  <si>
    <t>SIN DECLARAR - DESCONOCIDO - IGNORADO (CONTINENTE)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</si>
</sst>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#,##0.0000000"/>
  </numFmts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.5"/>
      <color theme="1"/>
      <name val="Arial"/>
      <family val="2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1" xfId="0" applyFont="1" applyFill="1" applyBorder="1"/>
    <xf numFmtId="0" fontId="3" fillId="2" borderId="0" xfId="0" applyFont="1" applyFill="1" applyAlignment="1">
      <alignment horizont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6" fillId="0" borderId="0" xfId="0" applyFont="1"/>
    <xf numFmtId="4" fontId="4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3" fillId="2" borderId="1" xfId="0" quotePrefix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 vertical="center" wrapText="1"/>
    </xf>
    <xf numFmtId="4" fontId="0" fillId="2" borderId="0" xfId="0" applyNumberFormat="1" applyFill="1"/>
    <xf numFmtId="181" fontId="0" fillId="2" borderId="0" xfId="0" applyNumberFormat="1" applyFill="1"/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55359-FF2E-48CC-B7A9-9B5FE70CC0D8}">
  <dimension ref="A1:C121"/>
  <sheetViews>
    <sheetView workbookViewId="0">
      <selection activeCell="A3" sqref="A3"/>
    </sheetView>
  </sheetViews>
  <sheetFormatPr baseColWidth="10" defaultColWidth="11.44140625" defaultRowHeight="14.4" x14ac:dyDescent="0.3"/>
  <cols>
    <col min="1" max="1" width="45.88671875" style="1" customWidth="1"/>
    <col min="2" max="2" width="18.33203125" style="1" bestFit="1" customWidth="1"/>
    <col min="3" max="3" width="18.44140625" style="1" bestFit="1" customWidth="1"/>
    <col min="4" max="16384" width="11.44140625" style="1"/>
  </cols>
  <sheetData>
    <row r="1" spans="1:3" x14ac:dyDescent="0.3">
      <c r="A1" s="14" t="s">
        <v>176</v>
      </c>
      <c r="B1" s="14"/>
      <c r="C1" s="14"/>
    </row>
    <row r="2" spans="1:3" x14ac:dyDescent="0.3">
      <c r="A2" s="14"/>
      <c r="B2" s="14"/>
      <c r="C2" s="14"/>
    </row>
    <row r="3" spans="1:3" s="2" customFormat="1" ht="13.2" x14ac:dyDescent="0.25"/>
    <row r="4" spans="1:3" s="3" customFormat="1" ht="13.2" x14ac:dyDescent="0.25">
      <c r="A4" s="6"/>
      <c r="B4" s="15" t="s">
        <v>165</v>
      </c>
      <c r="C4" s="16"/>
    </row>
    <row r="5" spans="1:3" s="3" customFormat="1" ht="13.2" x14ac:dyDescent="0.25">
      <c r="A5" s="4" t="s">
        <v>2</v>
      </c>
      <c r="B5" s="7" t="s">
        <v>4</v>
      </c>
      <c r="C5" s="7" t="s">
        <v>3</v>
      </c>
    </row>
    <row r="6" spans="1:3" s="3" customFormat="1" ht="13.2" x14ac:dyDescent="0.25">
      <c r="A6" s="8"/>
      <c r="B6" s="9" t="s">
        <v>0</v>
      </c>
      <c r="C6" s="9" t="s">
        <v>1</v>
      </c>
    </row>
    <row r="8" spans="1:3" x14ac:dyDescent="0.3">
      <c r="A8" s="5" t="s">
        <v>5</v>
      </c>
      <c r="B8" s="13">
        <v>1312064680.99</v>
      </c>
      <c r="C8" s="13">
        <v>2384946815.9400001</v>
      </c>
    </row>
    <row r="9" spans="1:3" x14ac:dyDescent="0.3">
      <c r="A9" s="5" t="s">
        <v>6</v>
      </c>
      <c r="B9" s="13"/>
      <c r="C9" s="13"/>
    </row>
    <row r="10" spans="1:3" x14ac:dyDescent="0.3">
      <c r="A10" s="5" t="s">
        <v>7</v>
      </c>
      <c r="B10" s="13">
        <v>137785787.16999999</v>
      </c>
      <c r="C10" s="13">
        <v>285357455.61000001</v>
      </c>
    </row>
    <row r="11" spans="1:3" x14ac:dyDescent="0.3">
      <c r="A11" s="5" t="s">
        <v>8</v>
      </c>
      <c r="B11" s="13">
        <v>39493429.549999997</v>
      </c>
      <c r="C11" s="13">
        <v>65613146.969999999</v>
      </c>
    </row>
    <row r="12" spans="1:3" x14ac:dyDescent="0.3">
      <c r="A12" s="5" t="s">
        <v>9</v>
      </c>
      <c r="B12" s="13" t="s">
        <v>114</v>
      </c>
      <c r="C12" s="13" t="s">
        <v>114</v>
      </c>
    </row>
    <row r="13" spans="1:3" x14ac:dyDescent="0.3">
      <c r="A13" s="5" t="s">
        <v>110</v>
      </c>
      <c r="B13" s="13" t="s">
        <v>114</v>
      </c>
      <c r="C13" s="13" t="s">
        <v>114</v>
      </c>
    </row>
    <row r="14" spans="1:3" x14ac:dyDescent="0.3">
      <c r="A14" s="5" t="s">
        <v>10</v>
      </c>
      <c r="B14" s="13">
        <v>88038.63</v>
      </c>
      <c r="C14" s="13">
        <v>98825.8</v>
      </c>
    </row>
    <row r="15" spans="1:3" x14ac:dyDescent="0.3">
      <c r="A15" s="5" t="s">
        <v>11</v>
      </c>
      <c r="B15" s="13">
        <v>22252.17</v>
      </c>
      <c r="C15" s="13">
        <v>39429.5</v>
      </c>
    </row>
    <row r="16" spans="1:3" x14ac:dyDescent="0.3">
      <c r="A16" s="5" t="s">
        <v>12</v>
      </c>
      <c r="B16" s="13">
        <v>19838184.93</v>
      </c>
      <c r="C16" s="13">
        <v>47701389.359999999</v>
      </c>
    </row>
    <row r="17" spans="1:3" x14ac:dyDescent="0.3">
      <c r="A17" s="5" t="s">
        <v>13</v>
      </c>
      <c r="B17" s="13">
        <v>438983.23</v>
      </c>
      <c r="C17" s="13">
        <v>1735768.4</v>
      </c>
    </row>
    <row r="18" spans="1:3" x14ac:dyDescent="0.3">
      <c r="A18" s="5" t="s">
        <v>14</v>
      </c>
      <c r="B18" s="13">
        <v>185985.28</v>
      </c>
      <c r="C18" s="13">
        <v>695419.15</v>
      </c>
    </row>
    <row r="19" spans="1:3" x14ac:dyDescent="0.3">
      <c r="A19" s="5" t="s">
        <v>15</v>
      </c>
      <c r="B19" s="13">
        <v>4106388.34</v>
      </c>
      <c r="C19" s="13">
        <v>17638530.800000001</v>
      </c>
    </row>
    <row r="20" spans="1:3" x14ac:dyDescent="0.3">
      <c r="A20" s="5" t="s">
        <v>16</v>
      </c>
      <c r="B20" s="13">
        <v>15664.79</v>
      </c>
      <c r="C20" s="13">
        <v>27380.55</v>
      </c>
    </row>
    <row r="21" spans="1:3" x14ac:dyDescent="0.3">
      <c r="A21" s="5" t="s">
        <v>17</v>
      </c>
      <c r="B21" s="13">
        <v>125725.09</v>
      </c>
      <c r="C21" s="13">
        <v>566860.36</v>
      </c>
    </row>
    <row r="22" spans="1:3" x14ac:dyDescent="0.3">
      <c r="A22" s="5" t="s">
        <v>18</v>
      </c>
      <c r="B22" s="13">
        <v>762941.2</v>
      </c>
      <c r="C22" s="13">
        <v>4429704.4400000004</v>
      </c>
    </row>
    <row r="23" spans="1:3" x14ac:dyDescent="0.3">
      <c r="A23" s="5" t="s">
        <v>19</v>
      </c>
      <c r="B23" s="13">
        <v>459906.43</v>
      </c>
      <c r="C23" s="13">
        <v>2211423.56</v>
      </c>
    </row>
    <row r="24" spans="1:3" x14ac:dyDescent="0.3">
      <c r="A24" s="5" t="s">
        <v>20</v>
      </c>
      <c r="B24" s="13">
        <v>2358764.7400000002</v>
      </c>
      <c r="C24" s="13">
        <v>10624532.970000001</v>
      </c>
    </row>
    <row r="25" spans="1:3" x14ac:dyDescent="0.3">
      <c r="A25" s="5" t="s">
        <v>21</v>
      </c>
      <c r="B25" s="13">
        <v>532793.71</v>
      </c>
      <c r="C25" s="13">
        <v>2457053</v>
      </c>
    </row>
    <row r="26" spans="1:3" x14ac:dyDescent="0.3">
      <c r="A26" s="5" t="s">
        <v>22</v>
      </c>
      <c r="B26" s="13">
        <v>558454.4</v>
      </c>
      <c r="C26" s="13">
        <v>2490988.2799999998</v>
      </c>
    </row>
    <row r="27" spans="1:3" x14ac:dyDescent="0.3">
      <c r="A27" s="5" t="s">
        <v>23</v>
      </c>
      <c r="B27" s="13">
        <v>2256298.86</v>
      </c>
      <c r="C27" s="13">
        <v>9921030.0899999999</v>
      </c>
    </row>
    <row r="28" spans="1:3" x14ac:dyDescent="0.3">
      <c r="A28" s="5" t="s">
        <v>24</v>
      </c>
      <c r="B28" s="13">
        <v>447971.59</v>
      </c>
      <c r="C28" s="13">
        <v>85031</v>
      </c>
    </row>
    <row r="29" spans="1:3" x14ac:dyDescent="0.3">
      <c r="A29" s="5" t="s">
        <v>25</v>
      </c>
      <c r="B29" s="13">
        <v>20137866.600000001</v>
      </c>
      <c r="C29" s="13">
        <v>22145626</v>
      </c>
    </row>
    <row r="30" spans="1:3" x14ac:dyDescent="0.3">
      <c r="A30" s="5" t="s">
        <v>26</v>
      </c>
      <c r="B30" s="13">
        <v>45956137.630000003</v>
      </c>
      <c r="C30" s="13">
        <v>96875315.379999995</v>
      </c>
    </row>
    <row r="31" spans="1:3" x14ac:dyDescent="0.3">
      <c r="A31" s="5" t="s">
        <v>6</v>
      </c>
      <c r="B31" s="13"/>
      <c r="C31" s="13"/>
    </row>
    <row r="32" spans="1:3" x14ac:dyDescent="0.3">
      <c r="A32" s="5" t="s">
        <v>27</v>
      </c>
      <c r="B32" s="13">
        <v>256620807.31999999</v>
      </c>
      <c r="C32" s="13">
        <v>438261451.44</v>
      </c>
    </row>
    <row r="33" spans="1:3" x14ac:dyDescent="0.3">
      <c r="A33" s="5" t="s">
        <v>28</v>
      </c>
      <c r="B33" s="13">
        <v>7051694.46</v>
      </c>
      <c r="C33" s="13">
        <v>12206745.890000001</v>
      </c>
    </row>
    <row r="34" spans="1:3" x14ac:dyDescent="0.3">
      <c r="A34" s="5" t="s">
        <v>29</v>
      </c>
      <c r="B34" s="13">
        <v>134908811.13</v>
      </c>
      <c r="C34" s="13">
        <v>201338856.83000001</v>
      </c>
    </row>
    <row r="35" spans="1:3" x14ac:dyDescent="0.3">
      <c r="A35" s="5" t="s">
        <v>30</v>
      </c>
      <c r="B35" s="13">
        <v>14058.55</v>
      </c>
      <c r="C35" s="13">
        <v>16837.8</v>
      </c>
    </row>
    <row r="36" spans="1:3" x14ac:dyDescent="0.3">
      <c r="A36" s="5" t="s">
        <v>31</v>
      </c>
      <c r="B36" s="13">
        <v>1523819.41</v>
      </c>
      <c r="C36" s="13">
        <v>1573933.01</v>
      </c>
    </row>
    <row r="37" spans="1:3" x14ac:dyDescent="0.3">
      <c r="A37" s="5" t="s">
        <v>32</v>
      </c>
      <c r="B37" s="13">
        <v>464641.91</v>
      </c>
      <c r="C37" s="13">
        <v>546183.44999999995</v>
      </c>
    </row>
    <row r="38" spans="1:3" x14ac:dyDescent="0.3">
      <c r="A38" s="5" t="s">
        <v>33</v>
      </c>
      <c r="B38" s="13">
        <v>11825040.109999999</v>
      </c>
      <c r="C38" s="13">
        <v>32673471.449999999</v>
      </c>
    </row>
    <row r="39" spans="1:3" x14ac:dyDescent="0.3">
      <c r="A39" s="5" t="s">
        <v>34</v>
      </c>
      <c r="B39" s="13">
        <v>41690755.469999999</v>
      </c>
      <c r="C39" s="13">
        <v>73896225.180000007</v>
      </c>
    </row>
    <row r="40" spans="1:3" x14ac:dyDescent="0.3">
      <c r="A40" s="5" t="s">
        <v>35</v>
      </c>
      <c r="B40" s="13">
        <v>249135.07</v>
      </c>
      <c r="C40" s="13">
        <v>81363.78</v>
      </c>
    </row>
    <row r="41" spans="1:3" x14ac:dyDescent="0.3">
      <c r="A41" s="5" t="s">
        <v>36</v>
      </c>
      <c r="B41" s="13">
        <v>15499777.460000001</v>
      </c>
      <c r="C41" s="13">
        <v>42019175.920000002</v>
      </c>
    </row>
    <row r="42" spans="1:3" x14ac:dyDescent="0.3">
      <c r="A42" s="5" t="s">
        <v>37</v>
      </c>
      <c r="B42" s="13" t="s">
        <v>114</v>
      </c>
      <c r="C42" s="13" t="s">
        <v>114</v>
      </c>
    </row>
    <row r="43" spans="1:3" x14ac:dyDescent="0.3">
      <c r="A43" s="5" t="s">
        <v>38</v>
      </c>
      <c r="B43" s="13">
        <v>7956281.6399999997</v>
      </c>
      <c r="C43" s="13">
        <v>2373998.2999999998</v>
      </c>
    </row>
    <row r="44" spans="1:3" x14ac:dyDescent="0.3">
      <c r="A44" s="5" t="s">
        <v>39</v>
      </c>
      <c r="B44" s="13">
        <v>232774.27</v>
      </c>
      <c r="C44" s="13">
        <v>66791.19</v>
      </c>
    </row>
    <row r="45" spans="1:3" x14ac:dyDescent="0.3">
      <c r="A45" s="5" t="s">
        <v>40</v>
      </c>
      <c r="B45" s="13" t="s">
        <v>114</v>
      </c>
      <c r="C45" s="13" t="s">
        <v>114</v>
      </c>
    </row>
    <row r="46" spans="1:3" x14ac:dyDescent="0.3">
      <c r="A46" s="5" t="s">
        <v>41</v>
      </c>
      <c r="B46" s="13">
        <v>4310931.13</v>
      </c>
      <c r="C46" s="13">
        <v>6748288.3200000003</v>
      </c>
    </row>
    <row r="47" spans="1:3" x14ac:dyDescent="0.3">
      <c r="A47" s="5" t="s">
        <v>42</v>
      </c>
      <c r="B47" s="13">
        <v>235381.82</v>
      </c>
      <c r="C47" s="13">
        <v>4772.2299999999996</v>
      </c>
    </row>
    <row r="48" spans="1:3" x14ac:dyDescent="0.3">
      <c r="A48" s="5" t="s">
        <v>43</v>
      </c>
      <c r="B48" s="13">
        <v>280064.88</v>
      </c>
      <c r="C48" s="13">
        <v>432087.06</v>
      </c>
    </row>
    <row r="49" spans="1:3" x14ac:dyDescent="0.3">
      <c r="A49" s="5" t="s">
        <v>44</v>
      </c>
      <c r="B49" s="13">
        <v>8229270.1699999999</v>
      </c>
      <c r="C49" s="13">
        <v>8997356.4100000001</v>
      </c>
    </row>
    <row r="50" spans="1:3" x14ac:dyDescent="0.3">
      <c r="A50" s="5" t="s">
        <v>45</v>
      </c>
      <c r="B50" s="13">
        <v>11858316.699999999</v>
      </c>
      <c r="C50" s="13">
        <v>33745879.369999997</v>
      </c>
    </row>
    <row r="51" spans="1:3" x14ac:dyDescent="0.3">
      <c r="A51" s="5" t="s">
        <v>46</v>
      </c>
      <c r="B51" s="13">
        <v>6165.84</v>
      </c>
      <c r="C51" s="13">
        <v>9031.07</v>
      </c>
    </row>
    <row r="52" spans="1:3" x14ac:dyDescent="0.3">
      <c r="A52" s="5" t="s">
        <v>47</v>
      </c>
      <c r="B52" s="13">
        <v>9585265.0299999993</v>
      </c>
      <c r="C52" s="13">
        <v>21152550.609999999</v>
      </c>
    </row>
    <row r="53" spans="1:3" x14ac:dyDescent="0.3">
      <c r="A53" s="5" t="s">
        <v>48</v>
      </c>
      <c r="B53" s="13">
        <v>698622.27</v>
      </c>
      <c r="C53" s="13">
        <v>377903.57</v>
      </c>
    </row>
    <row r="54" spans="1:3" x14ac:dyDescent="0.3">
      <c r="A54" s="5" t="s">
        <v>6</v>
      </c>
      <c r="B54" s="13"/>
      <c r="C54" s="13"/>
    </row>
    <row r="55" spans="1:3" x14ac:dyDescent="0.3">
      <c r="A55" s="5" t="s">
        <v>49</v>
      </c>
      <c r="B55" s="13">
        <v>597551323.88999999</v>
      </c>
      <c r="C55" s="13">
        <v>991757420.23000002</v>
      </c>
    </row>
    <row r="56" spans="1:3" x14ac:dyDescent="0.3">
      <c r="A56" s="5" t="s">
        <v>50</v>
      </c>
      <c r="B56" s="13">
        <v>4209328.24</v>
      </c>
      <c r="C56" s="13">
        <v>12277219.02</v>
      </c>
    </row>
    <row r="57" spans="1:3" x14ac:dyDescent="0.3">
      <c r="A57" s="5" t="s">
        <v>51</v>
      </c>
      <c r="B57" s="13">
        <v>2922078.39</v>
      </c>
      <c r="C57" s="13">
        <v>16570900.609999999</v>
      </c>
    </row>
    <row r="58" spans="1:3" x14ac:dyDescent="0.3">
      <c r="A58" s="5" t="s">
        <v>52</v>
      </c>
      <c r="B58" s="13">
        <v>65680887.350000001</v>
      </c>
      <c r="C58" s="13">
        <v>46524832.130000003</v>
      </c>
    </row>
    <row r="59" spans="1:3" x14ac:dyDescent="0.3">
      <c r="A59" s="5" t="s">
        <v>53</v>
      </c>
      <c r="B59" s="13">
        <v>11877888.890000001</v>
      </c>
      <c r="C59" s="13">
        <v>35762689.490000002</v>
      </c>
    </row>
    <row r="60" spans="1:3" x14ac:dyDescent="0.3">
      <c r="A60" s="5" t="s">
        <v>54</v>
      </c>
      <c r="B60" s="13">
        <v>2312510.7799999998</v>
      </c>
      <c r="C60" s="13">
        <v>1059061.33</v>
      </c>
    </row>
    <row r="61" spans="1:3" x14ac:dyDescent="0.3">
      <c r="A61" s="5" t="s">
        <v>55</v>
      </c>
      <c r="B61" s="13">
        <v>232579343.62</v>
      </c>
      <c r="C61" s="13">
        <v>261080385.75</v>
      </c>
    </row>
    <row r="62" spans="1:3" x14ac:dyDescent="0.3">
      <c r="A62" s="5" t="s">
        <v>56</v>
      </c>
      <c r="B62" s="13">
        <v>54324814.280000001</v>
      </c>
      <c r="C62" s="13">
        <v>141896029.49000001</v>
      </c>
    </row>
    <row r="63" spans="1:3" x14ac:dyDescent="0.3">
      <c r="A63" s="5" t="s">
        <v>113</v>
      </c>
      <c r="B63" s="13">
        <v>51703669.700000003</v>
      </c>
      <c r="C63" s="13">
        <v>78201730</v>
      </c>
    </row>
    <row r="64" spans="1:3" x14ac:dyDescent="0.3">
      <c r="A64" s="5" t="s">
        <v>57</v>
      </c>
      <c r="B64" s="13">
        <v>16611769.74</v>
      </c>
      <c r="C64" s="13">
        <v>17379758.27</v>
      </c>
    </row>
    <row r="65" spans="1:3" x14ac:dyDescent="0.3">
      <c r="A65" s="5" t="s">
        <v>58</v>
      </c>
      <c r="B65" s="13">
        <v>963803.86</v>
      </c>
      <c r="C65" s="13">
        <v>310762.05</v>
      </c>
    </row>
    <row r="66" spans="1:3" x14ac:dyDescent="0.3">
      <c r="A66" s="5" t="s">
        <v>59</v>
      </c>
      <c r="B66" s="13">
        <v>5722.11</v>
      </c>
      <c r="C66" s="13">
        <v>7737.16</v>
      </c>
    </row>
    <row r="67" spans="1:3" x14ac:dyDescent="0.3">
      <c r="A67" s="5" t="s">
        <v>60</v>
      </c>
      <c r="B67" s="13">
        <v>710925.17</v>
      </c>
      <c r="C67" s="13">
        <v>4192220.46</v>
      </c>
    </row>
    <row r="68" spans="1:3" x14ac:dyDescent="0.3">
      <c r="A68" s="5" t="s">
        <v>61</v>
      </c>
      <c r="B68" s="13">
        <v>2963.99</v>
      </c>
      <c r="C68" s="13">
        <v>2027.11</v>
      </c>
    </row>
    <row r="69" spans="1:3" x14ac:dyDescent="0.3">
      <c r="A69" s="5" t="s">
        <v>62</v>
      </c>
      <c r="B69" s="13">
        <v>30600704.449999999</v>
      </c>
      <c r="C69" s="13">
        <v>81588945.930000007</v>
      </c>
    </row>
    <row r="70" spans="1:3" x14ac:dyDescent="0.3">
      <c r="A70" s="5" t="s">
        <v>63</v>
      </c>
      <c r="B70" s="13">
        <v>8322.27</v>
      </c>
      <c r="C70" s="13">
        <v>14712.5</v>
      </c>
    </row>
    <row r="71" spans="1:3" x14ac:dyDescent="0.3">
      <c r="A71" s="5" t="s">
        <v>64</v>
      </c>
      <c r="B71" s="13">
        <v>1338257.08</v>
      </c>
      <c r="C71" s="13">
        <v>7704213.4100000001</v>
      </c>
    </row>
    <row r="72" spans="1:3" x14ac:dyDescent="0.3">
      <c r="A72" s="5" t="s">
        <v>65</v>
      </c>
      <c r="B72" s="13">
        <v>1413369.61</v>
      </c>
      <c r="C72" s="13">
        <v>5932586.2400000002</v>
      </c>
    </row>
    <row r="73" spans="1:3" x14ac:dyDescent="0.3">
      <c r="A73" s="5" t="s">
        <v>66</v>
      </c>
      <c r="B73" s="13">
        <v>41529.79</v>
      </c>
      <c r="C73" s="13">
        <v>103599.41</v>
      </c>
    </row>
    <row r="74" spans="1:3" x14ac:dyDescent="0.3">
      <c r="A74" s="5" t="s">
        <v>67</v>
      </c>
      <c r="B74" s="13">
        <v>7391666</v>
      </c>
      <c r="C74" s="13">
        <v>20582139.219999999</v>
      </c>
    </row>
    <row r="75" spans="1:3" x14ac:dyDescent="0.3">
      <c r="A75" s="5" t="s">
        <v>68</v>
      </c>
      <c r="B75" s="13">
        <v>97365621.200000003</v>
      </c>
      <c r="C75" s="13">
        <v>234746711.03</v>
      </c>
    </row>
    <row r="76" spans="1:3" x14ac:dyDescent="0.3">
      <c r="A76" s="5" t="s">
        <v>69</v>
      </c>
      <c r="B76" s="13">
        <v>365471.87</v>
      </c>
      <c r="C76" s="13">
        <v>282564.02</v>
      </c>
    </row>
    <row r="77" spans="1:3" x14ac:dyDescent="0.3">
      <c r="A77" s="5" t="s">
        <v>70</v>
      </c>
      <c r="B77" s="13">
        <v>13211036.4</v>
      </c>
      <c r="C77" s="13">
        <v>14982985.08</v>
      </c>
    </row>
    <row r="78" spans="1:3" x14ac:dyDescent="0.3">
      <c r="A78" s="5" t="s">
        <v>71</v>
      </c>
      <c r="B78" s="13">
        <v>1909639.1</v>
      </c>
      <c r="C78" s="13">
        <v>10553610.52</v>
      </c>
    </row>
    <row r="79" spans="1:3" x14ac:dyDescent="0.3">
      <c r="A79" s="5" t="s">
        <v>6</v>
      </c>
      <c r="B79" s="13"/>
      <c r="C79" s="13"/>
    </row>
    <row r="80" spans="1:3" x14ac:dyDescent="0.3">
      <c r="A80" s="5" t="s">
        <v>72</v>
      </c>
      <c r="B80" s="13">
        <v>273423338.37</v>
      </c>
      <c r="C80" s="13">
        <v>563135282.63999999</v>
      </c>
    </row>
    <row r="81" spans="1:3" x14ac:dyDescent="0.3">
      <c r="A81" s="5" t="s">
        <v>73</v>
      </c>
      <c r="B81" s="13">
        <v>175532.91</v>
      </c>
      <c r="C81" s="13">
        <v>3922.63</v>
      </c>
    </row>
    <row r="82" spans="1:3" x14ac:dyDescent="0.3">
      <c r="A82" s="5" t="s">
        <v>74</v>
      </c>
      <c r="B82" s="13">
        <v>1987903.13</v>
      </c>
      <c r="C82" s="13">
        <v>70096.850000000006</v>
      </c>
    </row>
    <row r="83" spans="1:3" x14ac:dyDescent="0.3">
      <c r="A83" s="5" t="s">
        <v>75</v>
      </c>
      <c r="B83" s="13">
        <v>15628.61</v>
      </c>
      <c r="C83" s="13">
        <v>18372.82</v>
      </c>
    </row>
    <row r="84" spans="1:3" x14ac:dyDescent="0.3">
      <c r="A84" s="5" t="s">
        <v>76</v>
      </c>
      <c r="B84" s="13">
        <v>6505093.8600000003</v>
      </c>
      <c r="C84" s="13">
        <v>16232887.619999999</v>
      </c>
    </row>
    <row r="85" spans="1:3" x14ac:dyDescent="0.3">
      <c r="A85" s="5" t="s">
        <v>77</v>
      </c>
      <c r="B85" s="13">
        <v>52856511.159999996</v>
      </c>
      <c r="C85" s="13">
        <v>123057159.42</v>
      </c>
    </row>
    <row r="86" spans="1:3" x14ac:dyDescent="0.3">
      <c r="A86" s="5" t="s">
        <v>78</v>
      </c>
      <c r="B86" s="13" t="s">
        <v>114</v>
      </c>
      <c r="C86" s="13" t="s">
        <v>114</v>
      </c>
    </row>
    <row r="87" spans="1:3" x14ac:dyDescent="0.3">
      <c r="A87" s="5" t="s">
        <v>79</v>
      </c>
      <c r="B87" s="13">
        <v>12348135.460000001</v>
      </c>
      <c r="C87" s="13">
        <v>27946467.98</v>
      </c>
    </row>
    <row r="88" spans="1:3" x14ac:dyDescent="0.3">
      <c r="A88" s="5" t="s">
        <v>80</v>
      </c>
      <c r="B88" s="13">
        <v>14090255.02</v>
      </c>
      <c r="C88" s="13">
        <v>33047355.489999998</v>
      </c>
    </row>
    <row r="89" spans="1:3" x14ac:dyDescent="0.3">
      <c r="A89" s="5" t="s">
        <v>81</v>
      </c>
      <c r="B89" s="13">
        <v>10383.23</v>
      </c>
      <c r="C89" s="13">
        <v>8104.54</v>
      </c>
    </row>
    <row r="90" spans="1:3" x14ac:dyDescent="0.3">
      <c r="A90" s="5" t="s">
        <v>82</v>
      </c>
      <c r="B90" s="13">
        <v>15977112.67</v>
      </c>
      <c r="C90" s="13">
        <v>62704212.310000002</v>
      </c>
    </row>
    <row r="91" spans="1:3" x14ac:dyDescent="0.3">
      <c r="A91" s="5" t="s">
        <v>83</v>
      </c>
      <c r="B91" s="13">
        <v>38803635.130000003</v>
      </c>
      <c r="C91" s="13">
        <v>86620744.519999996</v>
      </c>
    </row>
    <row r="92" spans="1:3" x14ac:dyDescent="0.3">
      <c r="A92" s="5" t="s">
        <v>84</v>
      </c>
      <c r="B92" s="13">
        <v>18103.919999999998</v>
      </c>
      <c r="C92" s="13">
        <v>7874.13</v>
      </c>
    </row>
    <row r="93" spans="1:3" x14ac:dyDescent="0.3">
      <c r="A93" s="5" t="s">
        <v>85</v>
      </c>
      <c r="B93" s="13">
        <v>57002367.490000002</v>
      </c>
      <c r="C93" s="13">
        <v>77653742.780000001</v>
      </c>
    </row>
    <row r="94" spans="1:3" x14ac:dyDescent="0.3">
      <c r="A94" s="5" t="s">
        <v>86</v>
      </c>
      <c r="B94" s="13">
        <v>46408578.740000002</v>
      </c>
      <c r="C94" s="13">
        <v>93695699.430000007</v>
      </c>
    </row>
    <row r="95" spans="1:3" x14ac:dyDescent="0.3">
      <c r="A95" s="5" t="s">
        <v>87</v>
      </c>
      <c r="B95" s="13">
        <v>172486.86</v>
      </c>
      <c r="C95" s="13">
        <v>43035.89</v>
      </c>
    </row>
    <row r="96" spans="1:3" x14ac:dyDescent="0.3">
      <c r="A96" s="5" t="s">
        <v>88</v>
      </c>
      <c r="B96" s="13">
        <v>15124226.869999999</v>
      </c>
      <c r="C96" s="13">
        <v>39057016.859999999</v>
      </c>
    </row>
    <row r="97" spans="1:3" x14ac:dyDescent="0.3">
      <c r="A97" s="5" t="s">
        <v>89</v>
      </c>
      <c r="B97" s="13" t="s">
        <v>114</v>
      </c>
      <c r="C97" s="13" t="s">
        <v>114</v>
      </c>
    </row>
    <row r="98" spans="1:3" x14ac:dyDescent="0.3">
      <c r="A98" s="5" t="s">
        <v>90</v>
      </c>
      <c r="B98" s="13" t="s">
        <v>114</v>
      </c>
      <c r="C98" s="13" t="s">
        <v>114</v>
      </c>
    </row>
    <row r="99" spans="1:3" x14ac:dyDescent="0.3">
      <c r="A99" s="5" t="s">
        <v>91</v>
      </c>
      <c r="B99" s="13">
        <v>1918.18</v>
      </c>
      <c r="C99" s="13">
        <v>1213.54</v>
      </c>
    </row>
    <row r="100" spans="1:3" x14ac:dyDescent="0.3">
      <c r="A100" s="5" t="s">
        <v>92</v>
      </c>
      <c r="B100" s="13">
        <v>389069.88</v>
      </c>
      <c r="C100" s="13">
        <v>358471.51</v>
      </c>
    </row>
    <row r="101" spans="1:3" x14ac:dyDescent="0.3">
      <c r="A101" s="5" t="s">
        <v>93</v>
      </c>
      <c r="B101" s="13">
        <v>4090468.61</v>
      </c>
      <c r="C101" s="13">
        <v>488684.89</v>
      </c>
    </row>
    <row r="102" spans="1:3" x14ac:dyDescent="0.3">
      <c r="A102" s="5" t="s">
        <v>94</v>
      </c>
      <c r="B102" s="13">
        <v>7638.17</v>
      </c>
      <c r="C102" s="13">
        <v>5936.7</v>
      </c>
    </row>
    <row r="103" spans="1:3" x14ac:dyDescent="0.3">
      <c r="A103" s="5" t="s">
        <v>95</v>
      </c>
      <c r="B103" s="13">
        <v>7311121.0499999998</v>
      </c>
      <c r="C103" s="13">
        <v>2067082.05</v>
      </c>
    </row>
    <row r="104" spans="1:3" x14ac:dyDescent="0.3">
      <c r="A104" s="5" t="s">
        <v>96</v>
      </c>
      <c r="B104" s="13">
        <v>1861.88</v>
      </c>
      <c r="C104" s="13">
        <v>1622.92</v>
      </c>
    </row>
    <row r="105" spans="1:3" x14ac:dyDescent="0.3">
      <c r="A105" s="5" t="s">
        <v>97</v>
      </c>
      <c r="B105" s="13">
        <v>10321.4</v>
      </c>
      <c r="C105" s="13">
        <v>13225.25</v>
      </c>
    </row>
    <row r="106" spans="1:3" x14ac:dyDescent="0.3">
      <c r="A106" s="5" t="s">
        <v>98</v>
      </c>
      <c r="B106" s="13">
        <v>8815.2000000000007</v>
      </c>
      <c r="C106" s="13">
        <v>13133.42</v>
      </c>
    </row>
    <row r="107" spans="1:3" x14ac:dyDescent="0.3">
      <c r="A107" s="5" t="s">
        <v>99</v>
      </c>
      <c r="B107" s="13">
        <v>106168.94</v>
      </c>
      <c r="C107" s="13">
        <v>19219.09</v>
      </c>
    </row>
    <row r="108" spans="1:3" x14ac:dyDescent="0.3">
      <c r="A108" s="5" t="s">
        <v>111</v>
      </c>
      <c r="B108" s="13" t="s">
        <v>114</v>
      </c>
      <c r="C108" s="13" t="s">
        <v>114</v>
      </c>
    </row>
    <row r="109" spans="1:3" x14ac:dyDescent="0.3">
      <c r="A109" s="5" t="s">
        <v>100</v>
      </c>
      <c r="B109" s="13" t="s">
        <v>114</v>
      </c>
      <c r="C109" s="13" t="s">
        <v>114</v>
      </c>
    </row>
    <row r="110" spans="1:3" x14ac:dyDescent="0.3">
      <c r="A110" s="5" t="s">
        <v>6</v>
      </c>
      <c r="B110" s="13"/>
      <c r="C110" s="13"/>
    </row>
    <row r="111" spans="1:3" x14ac:dyDescent="0.3">
      <c r="A111" s="5" t="s">
        <v>101</v>
      </c>
      <c r="B111" s="13">
        <v>3003237.41</v>
      </c>
      <c r="C111" s="13">
        <v>3470561.75</v>
      </c>
    </row>
    <row r="112" spans="1:3" x14ac:dyDescent="0.3">
      <c r="A112" s="5" t="s">
        <v>102</v>
      </c>
      <c r="B112" s="13">
        <v>2999609.55</v>
      </c>
      <c r="C112" s="13">
        <v>3468317.08</v>
      </c>
    </row>
    <row r="113" spans="1:3" x14ac:dyDescent="0.3">
      <c r="A113" s="5" t="s">
        <v>103</v>
      </c>
      <c r="B113" s="13">
        <v>3627.86</v>
      </c>
      <c r="C113" s="13">
        <v>2244.67</v>
      </c>
    </row>
    <row r="114" spans="1:3" x14ac:dyDescent="0.3">
      <c r="A114" s="5" t="s">
        <v>6</v>
      </c>
      <c r="B114" s="13"/>
      <c r="C114" s="13"/>
    </row>
    <row r="115" spans="1:3" x14ac:dyDescent="0.3">
      <c r="A115" s="5" t="s">
        <v>104</v>
      </c>
      <c r="B115" s="13">
        <v>43680186.829999998</v>
      </c>
      <c r="C115" s="13">
        <v>102964644.27</v>
      </c>
    </row>
    <row r="116" spans="1:3" x14ac:dyDescent="0.3">
      <c r="A116" s="5" t="s">
        <v>105</v>
      </c>
      <c r="B116" s="13">
        <v>1452722.38</v>
      </c>
      <c r="C116" s="13">
        <v>1919807.69</v>
      </c>
    </row>
    <row r="117" spans="1:3" x14ac:dyDescent="0.3">
      <c r="A117" s="5" t="s">
        <v>106</v>
      </c>
      <c r="B117" s="13">
        <v>42227464.450000003</v>
      </c>
      <c r="C117" s="13">
        <v>101044836.58</v>
      </c>
    </row>
    <row r="118" spans="1:3" ht="24" customHeight="1" x14ac:dyDescent="0.3">
      <c r="A118" s="17" t="s">
        <v>107</v>
      </c>
      <c r="B118" s="17"/>
      <c r="C118" s="17"/>
    </row>
    <row r="119" spans="1:3" x14ac:dyDescent="0.3">
      <c r="A119" s="10" t="s">
        <v>108</v>
      </c>
      <c r="B119" s="11"/>
      <c r="C119" s="11"/>
    </row>
    <row r="120" spans="1:3" x14ac:dyDescent="0.3">
      <c r="A120" s="12" t="s">
        <v>112</v>
      </c>
      <c r="B120" s="11"/>
      <c r="C120" s="11"/>
    </row>
    <row r="121" spans="1:3" x14ac:dyDescent="0.3">
      <c r="A121" s="10" t="s">
        <v>109</v>
      </c>
      <c r="B121" s="11"/>
      <c r="C121" s="11"/>
    </row>
  </sheetData>
  <mergeCells count="3">
    <mergeCell ref="A1:C2"/>
    <mergeCell ref="B4:C4"/>
    <mergeCell ref="A118:C1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A868-1FD1-45B7-9CD6-EA64C76EA329}">
  <dimension ref="A1:C140"/>
  <sheetViews>
    <sheetView workbookViewId="0">
      <selection activeCell="A3" sqref="A3"/>
    </sheetView>
  </sheetViews>
  <sheetFormatPr baseColWidth="10" defaultColWidth="11.44140625" defaultRowHeight="14.4" x14ac:dyDescent="0.3"/>
  <cols>
    <col min="1" max="1" width="45.88671875" style="1" customWidth="1"/>
    <col min="2" max="2" width="18.33203125" style="1" bestFit="1" customWidth="1"/>
    <col min="3" max="3" width="18.44140625" style="1" bestFit="1" customWidth="1"/>
    <col min="4" max="16384" width="11.44140625" style="1"/>
  </cols>
  <sheetData>
    <row r="1" spans="1:3" x14ac:dyDescent="0.3">
      <c r="A1" s="14" t="s">
        <v>177</v>
      </c>
      <c r="B1" s="14"/>
      <c r="C1" s="14"/>
    </row>
    <row r="2" spans="1:3" x14ac:dyDescent="0.3">
      <c r="A2" s="14"/>
      <c r="B2" s="14"/>
      <c r="C2" s="14"/>
    </row>
    <row r="3" spans="1:3" s="2" customFormat="1" ht="13.2" x14ac:dyDescent="0.25"/>
    <row r="4" spans="1:3" s="3" customFormat="1" ht="13.2" x14ac:dyDescent="0.25">
      <c r="A4" s="6"/>
      <c r="B4" s="15" t="s">
        <v>166</v>
      </c>
      <c r="C4" s="16"/>
    </row>
    <row r="5" spans="1:3" s="3" customFormat="1" ht="13.2" x14ac:dyDescent="0.25">
      <c r="A5" s="4" t="s">
        <v>2</v>
      </c>
      <c r="B5" s="7" t="s">
        <v>4</v>
      </c>
      <c r="C5" s="7" t="s">
        <v>3</v>
      </c>
    </row>
    <row r="6" spans="1:3" s="3" customFormat="1" ht="13.2" x14ac:dyDescent="0.25">
      <c r="A6" s="8"/>
      <c r="B6" s="9" t="s">
        <v>0</v>
      </c>
      <c r="C6" s="9" t="s">
        <v>1</v>
      </c>
    </row>
    <row r="8" spans="1:3" x14ac:dyDescent="0.3">
      <c r="A8" s="5" t="s">
        <v>5</v>
      </c>
      <c r="B8" s="13">
        <v>2591250473.1599998</v>
      </c>
      <c r="C8" s="13">
        <v>4573291486.8199997</v>
      </c>
    </row>
    <row r="9" spans="1:3" x14ac:dyDescent="0.3">
      <c r="A9" s="5" t="s">
        <v>6</v>
      </c>
      <c r="B9" s="13"/>
      <c r="C9" s="13"/>
    </row>
    <row r="10" spans="1:3" x14ac:dyDescent="0.3">
      <c r="A10" s="5" t="s">
        <v>7</v>
      </c>
      <c r="B10" s="13">
        <v>283722824.19999999</v>
      </c>
      <c r="C10" s="13">
        <v>582734076.67999995</v>
      </c>
    </row>
    <row r="11" spans="1:3" x14ac:dyDescent="0.3">
      <c r="A11" s="5" t="s">
        <v>8</v>
      </c>
      <c r="B11" s="13">
        <v>95465460.219999999</v>
      </c>
      <c r="C11" s="13">
        <v>182374293.31</v>
      </c>
    </row>
    <row r="12" spans="1:3" x14ac:dyDescent="0.3">
      <c r="A12" s="5" t="s">
        <v>9</v>
      </c>
      <c r="B12" s="13">
        <v>331472.63</v>
      </c>
      <c r="C12" s="13">
        <v>1719067.35</v>
      </c>
    </row>
    <row r="13" spans="1:3" x14ac:dyDescent="0.3">
      <c r="A13" s="5" t="s">
        <v>110</v>
      </c>
      <c r="B13" s="13" t="s">
        <v>114</v>
      </c>
      <c r="C13" s="13" t="s">
        <v>114</v>
      </c>
    </row>
    <row r="14" spans="1:3" x14ac:dyDescent="0.3">
      <c r="A14" s="5" t="s">
        <v>115</v>
      </c>
      <c r="B14" s="13" t="s">
        <v>114</v>
      </c>
      <c r="C14" s="13" t="s">
        <v>114</v>
      </c>
    </row>
    <row r="15" spans="1:3" x14ac:dyDescent="0.3">
      <c r="A15" s="5" t="s">
        <v>10</v>
      </c>
      <c r="B15" s="13">
        <v>103706.63</v>
      </c>
      <c r="C15" s="13">
        <v>123925.8</v>
      </c>
    </row>
    <row r="16" spans="1:3" x14ac:dyDescent="0.3">
      <c r="A16" s="5" t="s">
        <v>11</v>
      </c>
      <c r="B16" s="13">
        <v>29100.75</v>
      </c>
      <c r="C16" s="13">
        <v>51434.9</v>
      </c>
    </row>
    <row r="17" spans="1:3" x14ac:dyDescent="0.3">
      <c r="A17" s="5" t="s">
        <v>12</v>
      </c>
      <c r="B17" s="13">
        <v>74316731.510000005</v>
      </c>
      <c r="C17" s="13">
        <v>123933435.55</v>
      </c>
    </row>
    <row r="18" spans="1:3" x14ac:dyDescent="0.3">
      <c r="A18" s="5" t="s">
        <v>13</v>
      </c>
      <c r="B18" s="13">
        <v>983087.35</v>
      </c>
      <c r="C18" s="13">
        <v>4225517.5599999996</v>
      </c>
    </row>
    <row r="19" spans="1:3" x14ac:dyDescent="0.3">
      <c r="A19" s="5" t="s">
        <v>14</v>
      </c>
      <c r="B19" s="13">
        <v>745497.2</v>
      </c>
      <c r="C19" s="13">
        <v>4004131.72</v>
      </c>
    </row>
    <row r="20" spans="1:3" x14ac:dyDescent="0.3">
      <c r="A20" s="5" t="s">
        <v>116</v>
      </c>
      <c r="B20" s="13">
        <v>2373151.2799999998</v>
      </c>
      <c r="C20" s="13">
        <v>10780772</v>
      </c>
    </row>
    <row r="21" spans="1:3" x14ac:dyDescent="0.3">
      <c r="A21" s="5" t="s">
        <v>15</v>
      </c>
      <c r="B21" s="13">
        <v>5234350.16</v>
      </c>
      <c r="C21" s="13">
        <v>22094971.100000001</v>
      </c>
    </row>
    <row r="22" spans="1:3" x14ac:dyDescent="0.3">
      <c r="A22" s="5" t="s">
        <v>117</v>
      </c>
      <c r="B22" s="13">
        <v>235725.81</v>
      </c>
      <c r="C22" s="13">
        <v>1034167.2</v>
      </c>
    </row>
    <row r="23" spans="1:3" x14ac:dyDescent="0.3">
      <c r="A23" s="5" t="s">
        <v>16</v>
      </c>
      <c r="B23" s="13">
        <v>15664.79</v>
      </c>
      <c r="C23" s="13">
        <v>27380.55</v>
      </c>
    </row>
    <row r="24" spans="1:3" x14ac:dyDescent="0.3">
      <c r="A24" s="5" t="s">
        <v>17</v>
      </c>
      <c r="B24" s="13">
        <v>125725.09</v>
      </c>
      <c r="C24" s="13">
        <v>566860.36</v>
      </c>
    </row>
    <row r="25" spans="1:3" x14ac:dyDescent="0.3">
      <c r="A25" s="5" t="s">
        <v>18</v>
      </c>
      <c r="B25" s="13">
        <v>4394167.32</v>
      </c>
      <c r="C25" s="13">
        <v>19998548.539999999</v>
      </c>
    </row>
    <row r="26" spans="1:3" x14ac:dyDescent="0.3">
      <c r="A26" s="5" t="s">
        <v>19</v>
      </c>
      <c r="B26" s="13">
        <v>459906.43</v>
      </c>
      <c r="C26" s="13">
        <v>2211423.56</v>
      </c>
    </row>
    <row r="27" spans="1:3" x14ac:dyDescent="0.3">
      <c r="A27" s="5" t="s">
        <v>118</v>
      </c>
      <c r="B27" s="13" t="s">
        <v>114</v>
      </c>
      <c r="C27" s="13" t="s">
        <v>114</v>
      </c>
    </row>
    <row r="28" spans="1:3" x14ac:dyDescent="0.3">
      <c r="A28" s="5" t="s">
        <v>20</v>
      </c>
      <c r="B28" s="13">
        <v>4011346.46</v>
      </c>
      <c r="C28" s="13">
        <v>17604613.170000002</v>
      </c>
    </row>
    <row r="29" spans="1:3" x14ac:dyDescent="0.3">
      <c r="A29" s="5" t="s">
        <v>21</v>
      </c>
      <c r="B29" s="13">
        <v>915090.11</v>
      </c>
      <c r="C29" s="13">
        <v>4848998.5</v>
      </c>
    </row>
    <row r="30" spans="1:3" x14ac:dyDescent="0.3">
      <c r="A30" s="5" t="s">
        <v>119</v>
      </c>
      <c r="B30" s="13">
        <v>12183.72</v>
      </c>
      <c r="C30" s="13">
        <v>21433.17</v>
      </c>
    </row>
    <row r="31" spans="1:3" x14ac:dyDescent="0.3">
      <c r="A31" s="5" t="s">
        <v>22</v>
      </c>
      <c r="B31" s="13">
        <v>2877068.4</v>
      </c>
      <c r="C31" s="13">
        <v>12478407.039999999</v>
      </c>
    </row>
    <row r="32" spans="1:3" x14ac:dyDescent="0.3">
      <c r="A32" s="5" t="s">
        <v>120</v>
      </c>
      <c r="B32" s="13" t="s">
        <v>114</v>
      </c>
      <c r="C32" s="13" t="s">
        <v>114</v>
      </c>
    </row>
    <row r="33" spans="1:3" x14ac:dyDescent="0.3">
      <c r="A33" s="5" t="s">
        <v>23</v>
      </c>
      <c r="B33" s="13">
        <v>4673629.3499999996</v>
      </c>
      <c r="C33" s="13">
        <v>20097847.050000001</v>
      </c>
    </row>
    <row r="34" spans="1:3" x14ac:dyDescent="0.3">
      <c r="A34" s="5" t="s">
        <v>24</v>
      </c>
      <c r="B34" s="13">
        <v>510963.24</v>
      </c>
      <c r="C34" s="13">
        <v>242933.88</v>
      </c>
    </row>
    <row r="35" spans="1:3" x14ac:dyDescent="0.3">
      <c r="A35" s="5" t="s">
        <v>25</v>
      </c>
      <c r="B35" s="13">
        <v>24335396.600000001</v>
      </c>
      <c r="C35" s="13">
        <v>26155626</v>
      </c>
    </row>
    <row r="36" spans="1:3" x14ac:dyDescent="0.3">
      <c r="A36" s="5" t="s">
        <v>121</v>
      </c>
      <c r="B36" s="13">
        <v>51331.32</v>
      </c>
      <c r="C36" s="13">
        <v>91099.8</v>
      </c>
    </row>
    <row r="37" spans="1:3" x14ac:dyDescent="0.3">
      <c r="A37" s="5" t="s">
        <v>26</v>
      </c>
      <c r="B37" s="13">
        <v>61522067.829999998</v>
      </c>
      <c r="C37" s="13">
        <v>128047188.56999999</v>
      </c>
    </row>
    <row r="38" spans="1:3" x14ac:dyDescent="0.3">
      <c r="A38" s="5" t="s">
        <v>122</v>
      </c>
      <c r="B38" s="13" t="s">
        <v>114</v>
      </c>
      <c r="C38" s="13" t="s">
        <v>114</v>
      </c>
    </row>
    <row r="39" spans="1:3" x14ac:dyDescent="0.3">
      <c r="A39" s="5" t="s">
        <v>6</v>
      </c>
      <c r="B39" s="13"/>
      <c r="C39" s="13"/>
    </row>
    <row r="40" spans="1:3" x14ac:dyDescent="0.3">
      <c r="A40" s="5" t="s">
        <v>27</v>
      </c>
      <c r="B40" s="13">
        <v>450698275.04000002</v>
      </c>
      <c r="C40" s="13">
        <v>722397052.75</v>
      </c>
    </row>
    <row r="41" spans="1:3" x14ac:dyDescent="0.3">
      <c r="A41" s="5" t="s">
        <v>28</v>
      </c>
      <c r="B41" s="13">
        <v>14968438.18</v>
      </c>
      <c r="C41" s="13">
        <v>25693195.050000001</v>
      </c>
    </row>
    <row r="42" spans="1:3" x14ac:dyDescent="0.3">
      <c r="A42" s="5" t="s">
        <v>29</v>
      </c>
      <c r="B42" s="13">
        <v>212861755.97</v>
      </c>
      <c r="C42" s="13">
        <v>333791446.56999999</v>
      </c>
    </row>
    <row r="43" spans="1:3" x14ac:dyDescent="0.3">
      <c r="A43" s="5" t="s">
        <v>30</v>
      </c>
      <c r="B43" s="13">
        <v>346595.41</v>
      </c>
      <c r="C43" s="13">
        <v>99583.31</v>
      </c>
    </row>
    <row r="44" spans="1:3" x14ac:dyDescent="0.3">
      <c r="A44" s="5" t="s">
        <v>31</v>
      </c>
      <c r="B44" s="13">
        <v>6867743.9900000002</v>
      </c>
      <c r="C44" s="13">
        <v>6624495.2300000004</v>
      </c>
    </row>
    <row r="45" spans="1:3" x14ac:dyDescent="0.3">
      <c r="A45" s="5" t="s">
        <v>32</v>
      </c>
      <c r="B45" s="13">
        <v>833827.75</v>
      </c>
      <c r="C45" s="13">
        <v>883694.46</v>
      </c>
    </row>
    <row r="46" spans="1:3" x14ac:dyDescent="0.3">
      <c r="A46" s="5" t="s">
        <v>33</v>
      </c>
      <c r="B46" s="13">
        <v>13294688.890000001</v>
      </c>
      <c r="C46" s="13">
        <v>39558018.450000003</v>
      </c>
    </row>
    <row r="47" spans="1:3" x14ac:dyDescent="0.3">
      <c r="A47" s="5" t="s">
        <v>34</v>
      </c>
      <c r="B47" s="13">
        <v>74293309.849999994</v>
      </c>
      <c r="C47" s="13">
        <v>124194639.41</v>
      </c>
    </row>
    <row r="48" spans="1:3" x14ac:dyDescent="0.3">
      <c r="A48" s="5" t="s">
        <v>35</v>
      </c>
      <c r="B48" s="13">
        <v>274161.59000000003</v>
      </c>
      <c r="C48" s="13">
        <v>99158.55</v>
      </c>
    </row>
    <row r="49" spans="1:3" x14ac:dyDescent="0.3">
      <c r="A49" s="5" t="s">
        <v>36</v>
      </c>
      <c r="B49" s="13">
        <v>16186099.1</v>
      </c>
      <c r="C49" s="13">
        <v>43190487.039999999</v>
      </c>
    </row>
    <row r="50" spans="1:3" x14ac:dyDescent="0.3">
      <c r="A50" s="5" t="s">
        <v>37</v>
      </c>
      <c r="B50" s="13">
        <v>6973.61</v>
      </c>
      <c r="C50" s="13">
        <v>11643.42</v>
      </c>
    </row>
    <row r="51" spans="1:3" x14ac:dyDescent="0.3">
      <c r="A51" s="5" t="s">
        <v>38</v>
      </c>
      <c r="B51" s="13">
        <v>20819978.079999998</v>
      </c>
      <c r="C51" s="13">
        <v>6364377.3499999996</v>
      </c>
    </row>
    <row r="52" spans="1:3" x14ac:dyDescent="0.3">
      <c r="A52" s="5" t="s">
        <v>39</v>
      </c>
      <c r="B52" s="13">
        <v>2997227.47</v>
      </c>
      <c r="C52" s="13">
        <v>3081824.25</v>
      </c>
    </row>
    <row r="53" spans="1:3" x14ac:dyDescent="0.3">
      <c r="A53" s="5" t="s">
        <v>123</v>
      </c>
      <c r="B53" s="13" t="s">
        <v>114</v>
      </c>
      <c r="C53" s="13" t="s">
        <v>114</v>
      </c>
    </row>
    <row r="54" spans="1:3" x14ac:dyDescent="0.3">
      <c r="A54" s="5" t="s">
        <v>40</v>
      </c>
      <c r="B54" s="13">
        <v>241106.31</v>
      </c>
      <c r="C54" s="13">
        <v>68035.87</v>
      </c>
    </row>
    <row r="55" spans="1:3" x14ac:dyDescent="0.3">
      <c r="A55" s="5" t="s">
        <v>41</v>
      </c>
      <c r="B55" s="13">
        <v>7219303.8099999996</v>
      </c>
      <c r="C55" s="13">
        <v>8084253.3399999999</v>
      </c>
    </row>
    <row r="56" spans="1:3" x14ac:dyDescent="0.3">
      <c r="A56" s="5" t="s">
        <v>42</v>
      </c>
      <c r="B56" s="13">
        <v>399265.17</v>
      </c>
      <c r="C56" s="13">
        <v>8760.92</v>
      </c>
    </row>
    <row r="57" spans="1:3" x14ac:dyDescent="0.3">
      <c r="A57" s="5" t="s">
        <v>43</v>
      </c>
      <c r="B57" s="13">
        <v>711082.57</v>
      </c>
      <c r="C57" s="13">
        <v>858304.46</v>
      </c>
    </row>
    <row r="58" spans="1:3" x14ac:dyDescent="0.3">
      <c r="A58" s="5" t="s">
        <v>44</v>
      </c>
      <c r="B58" s="13">
        <v>19335807.16</v>
      </c>
      <c r="C58" s="13">
        <v>23094708.359999999</v>
      </c>
    </row>
    <row r="59" spans="1:3" x14ac:dyDescent="0.3">
      <c r="A59" s="5" t="s">
        <v>45</v>
      </c>
      <c r="B59" s="13">
        <v>37310211.840000004</v>
      </c>
      <c r="C59" s="13">
        <v>63899409.990000002</v>
      </c>
    </row>
    <row r="60" spans="1:3" x14ac:dyDescent="0.3">
      <c r="A60" s="5" t="s">
        <v>124</v>
      </c>
      <c r="B60" s="13" t="s">
        <v>114</v>
      </c>
      <c r="C60" s="13" t="s">
        <v>114</v>
      </c>
    </row>
    <row r="61" spans="1:3" x14ac:dyDescent="0.3">
      <c r="A61" s="5" t="s">
        <v>46</v>
      </c>
      <c r="B61" s="13">
        <v>7960.92</v>
      </c>
      <c r="C61" s="13">
        <v>11452.77</v>
      </c>
    </row>
    <row r="62" spans="1:3" x14ac:dyDescent="0.3">
      <c r="A62" s="5" t="s">
        <v>47</v>
      </c>
      <c r="B62" s="13">
        <v>20282522.190000001</v>
      </c>
      <c r="C62" s="13">
        <v>41646498.32</v>
      </c>
    </row>
    <row r="63" spans="1:3" x14ac:dyDescent="0.3">
      <c r="A63" s="5" t="s">
        <v>48</v>
      </c>
      <c r="B63" s="13">
        <v>1440215.18</v>
      </c>
      <c r="C63" s="13">
        <v>1133065.6299999999</v>
      </c>
    </row>
    <row r="64" spans="1:3" x14ac:dyDescent="0.3">
      <c r="A64" s="5" t="s">
        <v>6</v>
      </c>
      <c r="B64" s="13"/>
      <c r="C64" s="13"/>
    </row>
    <row r="65" spans="1:3" x14ac:dyDescent="0.3">
      <c r="A65" s="5" t="s">
        <v>49</v>
      </c>
      <c r="B65" s="13">
        <v>1260445368.8499999</v>
      </c>
      <c r="C65" s="13">
        <v>2130745742.6600001</v>
      </c>
    </row>
    <row r="66" spans="1:3" x14ac:dyDescent="0.3">
      <c r="A66" s="5" t="s">
        <v>50</v>
      </c>
      <c r="B66" s="13">
        <v>15693228.17</v>
      </c>
      <c r="C66" s="13">
        <v>36407905.5</v>
      </c>
    </row>
    <row r="67" spans="1:3" x14ac:dyDescent="0.3">
      <c r="A67" s="5" t="s">
        <v>51</v>
      </c>
      <c r="B67" s="13">
        <v>4397741.54</v>
      </c>
      <c r="C67" s="13">
        <v>20627421.59</v>
      </c>
    </row>
    <row r="68" spans="1:3" x14ac:dyDescent="0.3">
      <c r="A68" s="5" t="s">
        <v>52</v>
      </c>
      <c r="B68" s="13">
        <v>95531815.239999995</v>
      </c>
      <c r="C68" s="13">
        <v>60086018.969999999</v>
      </c>
    </row>
    <row r="69" spans="1:3" x14ac:dyDescent="0.3">
      <c r="A69" s="5" t="s">
        <v>53</v>
      </c>
      <c r="B69" s="13">
        <v>26533279.719999999</v>
      </c>
      <c r="C69" s="13">
        <v>65797360.659999996</v>
      </c>
    </row>
    <row r="70" spans="1:3" x14ac:dyDescent="0.3">
      <c r="A70" s="5" t="s">
        <v>54</v>
      </c>
      <c r="B70" s="13">
        <v>3932943.29</v>
      </c>
      <c r="C70" s="13">
        <v>1808001.2</v>
      </c>
    </row>
    <row r="71" spans="1:3" x14ac:dyDescent="0.3">
      <c r="A71" s="5" t="s">
        <v>55</v>
      </c>
      <c r="B71" s="13">
        <v>365019626.38</v>
      </c>
      <c r="C71" s="13">
        <v>393886252.38</v>
      </c>
    </row>
    <row r="72" spans="1:3" x14ac:dyDescent="0.3">
      <c r="A72" s="5" t="s">
        <v>56</v>
      </c>
      <c r="B72" s="13">
        <v>194258214.13</v>
      </c>
      <c r="C72" s="13">
        <v>438848734.44</v>
      </c>
    </row>
    <row r="73" spans="1:3" x14ac:dyDescent="0.3">
      <c r="A73" s="5" t="s">
        <v>113</v>
      </c>
      <c r="B73" s="13">
        <v>81896888.920000002</v>
      </c>
      <c r="C73" s="13">
        <v>108201730</v>
      </c>
    </row>
    <row r="74" spans="1:3" x14ac:dyDescent="0.3">
      <c r="A74" s="5" t="s">
        <v>57</v>
      </c>
      <c r="B74" s="13">
        <v>36095251.93</v>
      </c>
      <c r="C74" s="13">
        <v>44442629.329999998</v>
      </c>
    </row>
    <row r="75" spans="1:3" x14ac:dyDescent="0.3">
      <c r="A75" s="5" t="s">
        <v>58</v>
      </c>
      <c r="B75" s="13">
        <v>1792770.62</v>
      </c>
      <c r="C75" s="13">
        <v>559582.29</v>
      </c>
    </row>
    <row r="76" spans="1:3" x14ac:dyDescent="0.3">
      <c r="A76" s="5" t="s">
        <v>59</v>
      </c>
      <c r="B76" s="13">
        <v>7735662.5199999996</v>
      </c>
      <c r="C76" s="13">
        <v>15790557.5</v>
      </c>
    </row>
    <row r="77" spans="1:3" x14ac:dyDescent="0.3">
      <c r="A77" s="5" t="s">
        <v>125</v>
      </c>
      <c r="B77" s="13" t="s">
        <v>114</v>
      </c>
      <c r="C77" s="13" t="s">
        <v>114</v>
      </c>
    </row>
    <row r="78" spans="1:3" x14ac:dyDescent="0.3">
      <c r="A78" s="5" t="s">
        <v>60</v>
      </c>
      <c r="B78" s="13">
        <v>813581.94</v>
      </c>
      <c r="C78" s="13">
        <v>4727990.8600000003</v>
      </c>
    </row>
    <row r="79" spans="1:3" x14ac:dyDescent="0.3">
      <c r="A79" s="5" t="s">
        <v>61</v>
      </c>
      <c r="B79" s="13">
        <v>23900.03</v>
      </c>
      <c r="C79" s="13">
        <v>35001.14</v>
      </c>
    </row>
    <row r="80" spans="1:3" x14ac:dyDescent="0.3">
      <c r="A80" s="5" t="s">
        <v>62</v>
      </c>
      <c r="B80" s="13">
        <v>53805353.840000004</v>
      </c>
      <c r="C80" s="13">
        <v>145125268.03999999</v>
      </c>
    </row>
    <row r="81" spans="1:3" x14ac:dyDescent="0.3">
      <c r="A81" s="5" t="s">
        <v>126</v>
      </c>
      <c r="B81" s="13">
        <v>4175094.31</v>
      </c>
      <c r="C81" s="13">
        <v>4473673.18</v>
      </c>
    </row>
    <row r="82" spans="1:3" x14ac:dyDescent="0.3">
      <c r="A82" s="5" t="s">
        <v>63</v>
      </c>
      <c r="B82" s="13">
        <v>18754.38</v>
      </c>
      <c r="C82" s="13">
        <v>36126.839999999997</v>
      </c>
    </row>
    <row r="83" spans="1:3" x14ac:dyDescent="0.3">
      <c r="A83" s="5" t="s">
        <v>64</v>
      </c>
      <c r="B83" s="13">
        <v>4963550.38</v>
      </c>
      <c r="C83" s="13">
        <v>14543104.119999999</v>
      </c>
    </row>
    <row r="84" spans="1:3" x14ac:dyDescent="0.3">
      <c r="A84" s="5" t="s">
        <v>65</v>
      </c>
      <c r="B84" s="13">
        <v>2642918.5699999998</v>
      </c>
      <c r="C84" s="13">
        <v>9540544.5500000007</v>
      </c>
    </row>
    <row r="85" spans="1:3" x14ac:dyDescent="0.3">
      <c r="A85" s="5" t="s">
        <v>66</v>
      </c>
      <c r="B85" s="13">
        <v>41529.79</v>
      </c>
      <c r="C85" s="13">
        <v>103599.41</v>
      </c>
    </row>
    <row r="86" spans="1:3" x14ac:dyDescent="0.3">
      <c r="A86" s="5" t="s">
        <v>67</v>
      </c>
      <c r="B86" s="13">
        <v>24502647.690000001</v>
      </c>
      <c r="C86" s="13">
        <v>49117845.030000001</v>
      </c>
    </row>
    <row r="87" spans="1:3" x14ac:dyDescent="0.3">
      <c r="A87" s="5" t="s">
        <v>68</v>
      </c>
      <c r="B87" s="13">
        <v>261463074.69999999</v>
      </c>
      <c r="C87" s="13">
        <v>591483645.88</v>
      </c>
    </row>
    <row r="88" spans="1:3" x14ac:dyDescent="0.3">
      <c r="A88" s="5" t="s">
        <v>69</v>
      </c>
      <c r="B88" s="13">
        <v>1170781.1299999999</v>
      </c>
      <c r="C88" s="13">
        <v>649065.38</v>
      </c>
    </row>
    <row r="89" spans="1:3" x14ac:dyDescent="0.3">
      <c r="A89" s="5" t="s">
        <v>70</v>
      </c>
      <c r="B89" s="13">
        <v>71964044.560000002</v>
      </c>
      <c r="C89" s="13">
        <v>113794179.3</v>
      </c>
    </row>
    <row r="90" spans="1:3" x14ac:dyDescent="0.3">
      <c r="A90" s="5" t="s">
        <v>71</v>
      </c>
      <c r="B90" s="13">
        <v>1952121.51</v>
      </c>
      <c r="C90" s="13">
        <v>10629409.32</v>
      </c>
    </row>
    <row r="91" spans="1:3" x14ac:dyDescent="0.3">
      <c r="A91" s="5" t="s">
        <v>127</v>
      </c>
      <c r="B91" s="13">
        <v>19682.77</v>
      </c>
      <c r="C91" s="13">
        <v>30052.06</v>
      </c>
    </row>
    <row r="92" spans="1:3" x14ac:dyDescent="0.3">
      <c r="A92" s="5" t="s">
        <v>128</v>
      </c>
      <c r="B92" s="13">
        <v>910.79</v>
      </c>
      <c r="C92" s="13">
        <v>43.69</v>
      </c>
    </row>
    <row r="93" spans="1:3" x14ac:dyDescent="0.3">
      <c r="A93" s="5" t="s">
        <v>6</v>
      </c>
      <c r="B93" s="13"/>
      <c r="C93" s="13"/>
    </row>
    <row r="94" spans="1:3" x14ac:dyDescent="0.3">
      <c r="A94" s="5" t="s">
        <v>72</v>
      </c>
      <c r="B94" s="13">
        <v>518422524.81</v>
      </c>
      <c r="C94" s="13">
        <v>984188262.45000005</v>
      </c>
    </row>
    <row r="95" spans="1:3" x14ac:dyDescent="0.3">
      <c r="A95" s="5" t="s">
        <v>129</v>
      </c>
      <c r="B95" s="13" t="s">
        <v>114</v>
      </c>
      <c r="C95" s="13" t="s">
        <v>114</v>
      </c>
    </row>
    <row r="96" spans="1:3" x14ac:dyDescent="0.3">
      <c r="A96" s="5" t="s">
        <v>73</v>
      </c>
      <c r="B96" s="13">
        <v>267572.71999999997</v>
      </c>
      <c r="C96" s="13">
        <v>6720.56</v>
      </c>
    </row>
    <row r="97" spans="1:3" x14ac:dyDescent="0.3">
      <c r="A97" s="5" t="s">
        <v>74</v>
      </c>
      <c r="B97" s="13">
        <v>4007650.1</v>
      </c>
      <c r="C97" s="13">
        <v>174528.79</v>
      </c>
    </row>
    <row r="98" spans="1:3" x14ac:dyDescent="0.3">
      <c r="A98" s="5" t="s">
        <v>75</v>
      </c>
      <c r="B98" s="13">
        <v>27965.64</v>
      </c>
      <c r="C98" s="13">
        <v>30474.93</v>
      </c>
    </row>
    <row r="99" spans="1:3" x14ac:dyDescent="0.3">
      <c r="A99" s="5" t="s">
        <v>76</v>
      </c>
      <c r="B99" s="13">
        <v>6543247.5899999999</v>
      </c>
      <c r="C99" s="13">
        <v>16300004.960000001</v>
      </c>
    </row>
    <row r="100" spans="1:3" x14ac:dyDescent="0.3">
      <c r="A100" s="5" t="s">
        <v>77</v>
      </c>
      <c r="B100" s="13">
        <v>86146337.439999998</v>
      </c>
      <c r="C100" s="13">
        <v>200769129.33000001</v>
      </c>
    </row>
    <row r="101" spans="1:3" x14ac:dyDescent="0.3">
      <c r="A101" s="5" t="s">
        <v>78</v>
      </c>
      <c r="B101" s="13">
        <v>1117.8900000000001</v>
      </c>
      <c r="C101" s="13">
        <v>1215.97</v>
      </c>
    </row>
    <row r="102" spans="1:3" x14ac:dyDescent="0.3">
      <c r="A102" s="5" t="s">
        <v>79</v>
      </c>
      <c r="B102" s="13">
        <v>51757358.719999999</v>
      </c>
      <c r="C102" s="13">
        <v>107735342.04000001</v>
      </c>
    </row>
    <row r="103" spans="1:3" x14ac:dyDescent="0.3">
      <c r="A103" s="5" t="s">
        <v>80</v>
      </c>
      <c r="B103" s="13">
        <v>22564854.34</v>
      </c>
      <c r="C103" s="13">
        <v>50791252.780000001</v>
      </c>
    </row>
    <row r="104" spans="1:3" x14ac:dyDescent="0.3">
      <c r="A104" s="5" t="s">
        <v>81</v>
      </c>
      <c r="B104" s="13">
        <v>21184.17</v>
      </c>
      <c r="C104" s="13">
        <v>16609.54</v>
      </c>
    </row>
    <row r="105" spans="1:3" x14ac:dyDescent="0.3">
      <c r="A105" s="5" t="s">
        <v>82</v>
      </c>
      <c r="B105" s="13">
        <v>18420536.550000001</v>
      </c>
      <c r="C105" s="13">
        <v>75905430.420000002</v>
      </c>
    </row>
    <row r="106" spans="1:3" x14ac:dyDescent="0.3">
      <c r="A106" s="5" t="s">
        <v>83</v>
      </c>
      <c r="B106" s="13">
        <v>39842460.539999999</v>
      </c>
      <c r="C106" s="13">
        <v>87700505.430000007</v>
      </c>
    </row>
    <row r="107" spans="1:3" x14ac:dyDescent="0.3">
      <c r="A107" s="5" t="s">
        <v>84</v>
      </c>
      <c r="B107" s="13">
        <v>26501.49</v>
      </c>
      <c r="C107" s="13">
        <v>16856.77</v>
      </c>
    </row>
    <row r="108" spans="1:3" x14ac:dyDescent="0.3">
      <c r="A108" s="5" t="s">
        <v>85</v>
      </c>
      <c r="B108" s="13">
        <v>132564404.95999999</v>
      </c>
      <c r="C108" s="13">
        <v>170371786.63</v>
      </c>
    </row>
    <row r="109" spans="1:3" x14ac:dyDescent="0.3">
      <c r="A109" s="5" t="s">
        <v>86</v>
      </c>
      <c r="B109" s="13">
        <v>85205275.340000004</v>
      </c>
      <c r="C109" s="13">
        <v>172394604.80000001</v>
      </c>
    </row>
    <row r="110" spans="1:3" x14ac:dyDescent="0.3">
      <c r="A110" s="5" t="s">
        <v>87</v>
      </c>
      <c r="B110" s="13">
        <v>224055.57</v>
      </c>
      <c r="C110" s="13">
        <v>122097.87</v>
      </c>
    </row>
    <row r="111" spans="1:3" x14ac:dyDescent="0.3">
      <c r="A111" s="5" t="s">
        <v>88</v>
      </c>
      <c r="B111" s="13">
        <v>44663087.450000003</v>
      </c>
      <c r="C111" s="13">
        <v>95834716.959999993</v>
      </c>
    </row>
    <row r="112" spans="1:3" x14ac:dyDescent="0.3">
      <c r="A112" s="5" t="s">
        <v>89</v>
      </c>
      <c r="B112" s="13">
        <v>8571.65</v>
      </c>
      <c r="C112" s="13">
        <v>5924.45</v>
      </c>
    </row>
    <row r="113" spans="1:3" x14ac:dyDescent="0.3">
      <c r="A113" s="5" t="s">
        <v>90</v>
      </c>
      <c r="B113" s="13">
        <v>2145.33</v>
      </c>
      <c r="C113" s="13">
        <v>1949.18</v>
      </c>
    </row>
    <row r="114" spans="1:3" x14ac:dyDescent="0.3">
      <c r="A114" s="5" t="s">
        <v>130</v>
      </c>
      <c r="B114" s="13">
        <v>218743.24</v>
      </c>
      <c r="C114" s="13">
        <v>63350.77</v>
      </c>
    </row>
    <row r="115" spans="1:3" x14ac:dyDescent="0.3">
      <c r="A115" s="5" t="s">
        <v>91</v>
      </c>
      <c r="B115" s="13">
        <v>5510.97</v>
      </c>
      <c r="C115" s="13">
        <v>7333.94</v>
      </c>
    </row>
    <row r="116" spans="1:3" x14ac:dyDescent="0.3">
      <c r="A116" s="5" t="s">
        <v>92</v>
      </c>
      <c r="B116" s="13">
        <v>616890.99</v>
      </c>
      <c r="C116" s="13">
        <v>485456.04</v>
      </c>
    </row>
    <row r="117" spans="1:3" x14ac:dyDescent="0.3">
      <c r="A117" s="5" t="s">
        <v>93</v>
      </c>
      <c r="B117" s="13">
        <v>10839103.869999999</v>
      </c>
      <c r="C117" s="13">
        <v>1288981.8700000001</v>
      </c>
    </row>
    <row r="118" spans="1:3" x14ac:dyDescent="0.3">
      <c r="A118" s="5" t="s">
        <v>131</v>
      </c>
      <c r="B118" s="13">
        <v>1247.03</v>
      </c>
      <c r="C118" s="13">
        <v>808.22</v>
      </c>
    </row>
    <row r="119" spans="1:3" x14ac:dyDescent="0.3">
      <c r="A119" s="5" t="s">
        <v>94</v>
      </c>
      <c r="B119" s="13">
        <v>17885.55</v>
      </c>
      <c r="C119" s="13">
        <v>15335.85</v>
      </c>
    </row>
    <row r="120" spans="1:3" x14ac:dyDescent="0.3">
      <c r="A120" s="5" t="s">
        <v>132</v>
      </c>
      <c r="B120" s="13" t="s">
        <v>114</v>
      </c>
      <c r="C120" s="13" t="s">
        <v>114</v>
      </c>
    </row>
    <row r="121" spans="1:3" x14ac:dyDescent="0.3">
      <c r="A121" s="5" t="s">
        <v>95</v>
      </c>
      <c r="B121" s="13">
        <v>14089093.789999999</v>
      </c>
      <c r="C121" s="13">
        <v>4058943.93</v>
      </c>
    </row>
    <row r="122" spans="1:3" x14ac:dyDescent="0.3">
      <c r="A122" s="5" t="s">
        <v>96</v>
      </c>
      <c r="B122" s="13">
        <v>3506.42</v>
      </c>
      <c r="C122" s="13">
        <v>3218.62</v>
      </c>
    </row>
    <row r="123" spans="1:3" x14ac:dyDescent="0.3">
      <c r="A123" s="5" t="s">
        <v>133</v>
      </c>
      <c r="B123" s="13" t="s">
        <v>114</v>
      </c>
      <c r="C123" s="13" t="s">
        <v>114</v>
      </c>
    </row>
    <row r="124" spans="1:3" x14ac:dyDescent="0.3">
      <c r="A124" s="5" t="s">
        <v>97</v>
      </c>
      <c r="B124" s="13">
        <v>13066.25</v>
      </c>
      <c r="C124" s="13">
        <v>15231.46</v>
      </c>
    </row>
    <row r="125" spans="1:3" x14ac:dyDescent="0.3">
      <c r="A125" s="5" t="s">
        <v>98</v>
      </c>
      <c r="B125" s="13">
        <v>11155.43</v>
      </c>
      <c r="C125" s="13">
        <v>16598.62</v>
      </c>
    </row>
    <row r="126" spans="1:3" x14ac:dyDescent="0.3">
      <c r="A126" s="5" t="s">
        <v>99</v>
      </c>
      <c r="B126" s="13">
        <v>306112.82</v>
      </c>
      <c r="C126" s="13">
        <v>49842.71</v>
      </c>
    </row>
    <row r="127" spans="1:3" x14ac:dyDescent="0.3">
      <c r="A127" s="5" t="s">
        <v>111</v>
      </c>
      <c r="B127" s="13" t="s">
        <v>114</v>
      </c>
      <c r="C127" s="13" t="s">
        <v>114</v>
      </c>
    </row>
    <row r="128" spans="1:3" x14ac:dyDescent="0.3">
      <c r="A128" s="5" t="s">
        <v>100</v>
      </c>
      <c r="B128" s="13">
        <v>5880.96</v>
      </c>
      <c r="C128" s="13">
        <v>4009.01</v>
      </c>
    </row>
    <row r="129" spans="1:3" x14ac:dyDescent="0.3">
      <c r="A129" s="5" t="s">
        <v>6</v>
      </c>
      <c r="B129" s="13"/>
      <c r="C129" s="13"/>
    </row>
    <row r="130" spans="1:3" x14ac:dyDescent="0.3">
      <c r="A130" s="5" t="s">
        <v>101</v>
      </c>
      <c r="B130" s="13">
        <v>3946402.71</v>
      </c>
      <c r="C130" s="13">
        <v>3652775.13</v>
      </c>
    </row>
    <row r="131" spans="1:3" x14ac:dyDescent="0.3">
      <c r="A131" s="5" t="s">
        <v>102</v>
      </c>
      <c r="B131" s="13">
        <v>3852542.02</v>
      </c>
      <c r="C131" s="13">
        <v>3604394.39</v>
      </c>
    </row>
    <row r="132" spans="1:3" x14ac:dyDescent="0.3">
      <c r="A132" s="5" t="s">
        <v>103</v>
      </c>
      <c r="B132" s="13">
        <v>93860.69</v>
      </c>
      <c r="C132" s="13">
        <v>48380.74</v>
      </c>
    </row>
    <row r="133" spans="1:3" x14ac:dyDescent="0.3">
      <c r="A133" s="5" t="s">
        <v>6</v>
      </c>
      <c r="B133" s="13"/>
      <c r="C133" s="13"/>
    </row>
    <row r="134" spans="1:3" x14ac:dyDescent="0.3">
      <c r="A134" s="5" t="s">
        <v>104</v>
      </c>
      <c r="B134" s="13">
        <v>74015077.549999997</v>
      </c>
      <c r="C134" s="13">
        <v>149573577.15000001</v>
      </c>
    </row>
    <row r="135" spans="1:3" x14ac:dyDescent="0.3">
      <c r="A135" s="5" t="s">
        <v>105</v>
      </c>
      <c r="B135" s="13">
        <v>2274304.66</v>
      </c>
      <c r="C135" s="13">
        <v>3139734.07</v>
      </c>
    </row>
    <row r="136" spans="1:3" x14ac:dyDescent="0.3">
      <c r="A136" s="5" t="s">
        <v>106</v>
      </c>
      <c r="B136" s="13">
        <v>71740772.890000001</v>
      </c>
      <c r="C136" s="13">
        <v>146433843.08000001</v>
      </c>
    </row>
    <row r="137" spans="1:3" ht="24" customHeight="1" x14ac:dyDescent="0.3">
      <c r="A137" s="17" t="s">
        <v>107</v>
      </c>
      <c r="B137" s="17"/>
      <c r="C137" s="17"/>
    </row>
    <row r="138" spans="1:3" x14ac:dyDescent="0.3">
      <c r="A138" s="10" t="s">
        <v>108</v>
      </c>
      <c r="B138" s="11"/>
      <c r="C138" s="11"/>
    </row>
    <row r="139" spans="1:3" x14ac:dyDescent="0.3">
      <c r="A139" s="12" t="s">
        <v>112</v>
      </c>
      <c r="B139" s="11"/>
      <c r="C139" s="11"/>
    </row>
    <row r="140" spans="1:3" x14ac:dyDescent="0.3">
      <c r="A140" s="10" t="s">
        <v>109</v>
      </c>
      <c r="B140" s="11"/>
      <c r="C140" s="11"/>
    </row>
  </sheetData>
  <mergeCells count="3">
    <mergeCell ref="A1:C2"/>
    <mergeCell ref="B4:C4"/>
    <mergeCell ref="A137:C1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25B54-3AF6-4229-983D-8348F0B3BE2E}">
  <dimension ref="A1:C150"/>
  <sheetViews>
    <sheetView workbookViewId="0">
      <selection activeCell="A3" sqref="A3"/>
    </sheetView>
  </sheetViews>
  <sheetFormatPr baseColWidth="10" defaultColWidth="11.44140625" defaultRowHeight="14.4" x14ac:dyDescent="0.3"/>
  <cols>
    <col min="1" max="1" width="45.88671875" style="1" customWidth="1"/>
    <col min="2" max="2" width="18.33203125" style="1" bestFit="1" customWidth="1"/>
    <col min="3" max="3" width="18.44140625" style="1" bestFit="1" customWidth="1"/>
    <col min="4" max="16384" width="11.44140625" style="1"/>
  </cols>
  <sheetData>
    <row r="1" spans="1:3" x14ac:dyDescent="0.3">
      <c r="A1" s="14" t="s">
        <v>178</v>
      </c>
      <c r="B1" s="14"/>
      <c r="C1" s="14"/>
    </row>
    <row r="2" spans="1:3" x14ac:dyDescent="0.3">
      <c r="A2" s="14"/>
      <c r="B2" s="14"/>
      <c r="C2" s="14"/>
    </row>
    <row r="3" spans="1:3" s="2" customFormat="1" ht="13.2" x14ac:dyDescent="0.25"/>
    <row r="4" spans="1:3" s="3" customFormat="1" ht="13.2" x14ac:dyDescent="0.25">
      <c r="A4" s="6"/>
      <c r="B4" s="15" t="s">
        <v>167</v>
      </c>
      <c r="C4" s="16"/>
    </row>
    <row r="5" spans="1:3" s="3" customFormat="1" ht="13.2" x14ac:dyDescent="0.25">
      <c r="A5" s="4" t="s">
        <v>2</v>
      </c>
      <c r="B5" s="7" t="s">
        <v>4</v>
      </c>
      <c r="C5" s="7" t="s">
        <v>3</v>
      </c>
    </row>
    <row r="6" spans="1:3" s="3" customFormat="1" ht="13.2" x14ac:dyDescent="0.25">
      <c r="A6" s="8"/>
      <c r="B6" s="9" t="s">
        <v>0</v>
      </c>
      <c r="C6" s="9" t="s">
        <v>1</v>
      </c>
    </row>
    <row r="8" spans="1:3" x14ac:dyDescent="0.3">
      <c r="A8" s="5" t="s">
        <v>5</v>
      </c>
      <c r="B8" s="13">
        <v>4038398146.6900001</v>
      </c>
      <c r="C8" s="13">
        <v>7146392099.5</v>
      </c>
    </row>
    <row r="9" spans="1:3" x14ac:dyDescent="0.3">
      <c r="A9" s="5" t="s">
        <v>6</v>
      </c>
      <c r="B9" s="13"/>
      <c r="C9" s="13"/>
    </row>
    <row r="10" spans="1:3" x14ac:dyDescent="0.3">
      <c r="A10" s="5" t="s">
        <v>7</v>
      </c>
      <c r="B10" s="13">
        <v>407286133.70999998</v>
      </c>
      <c r="C10" s="13">
        <v>948337563.79999995</v>
      </c>
    </row>
    <row r="11" spans="1:3" x14ac:dyDescent="0.3">
      <c r="A11" s="5" t="s">
        <v>8</v>
      </c>
      <c r="B11" s="13">
        <v>121010187.84</v>
      </c>
      <c r="C11" s="13">
        <v>254312822.68000001</v>
      </c>
    </row>
    <row r="12" spans="1:3" x14ac:dyDescent="0.3">
      <c r="A12" s="5" t="s">
        <v>9</v>
      </c>
      <c r="B12" s="13">
        <v>342950.07</v>
      </c>
      <c r="C12" s="13">
        <v>1742640.31</v>
      </c>
    </row>
    <row r="13" spans="1:3" x14ac:dyDescent="0.3">
      <c r="A13" s="5" t="s">
        <v>110</v>
      </c>
      <c r="B13" s="13">
        <v>511153.4</v>
      </c>
      <c r="C13" s="13">
        <v>1803418.78</v>
      </c>
    </row>
    <row r="14" spans="1:3" x14ac:dyDescent="0.3">
      <c r="A14" s="5" t="s">
        <v>115</v>
      </c>
      <c r="B14" s="13" t="s">
        <v>114</v>
      </c>
      <c r="C14" s="13" t="s">
        <v>114</v>
      </c>
    </row>
    <row r="15" spans="1:3" x14ac:dyDescent="0.3">
      <c r="A15" s="5" t="s">
        <v>10</v>
      </c>
      <c r="B15" s="13">
        <v>1944005.97</v>
      </c>
      <c r="C15" s="13">
        <v>8803726.1999999993</v>
      </c>
    </row>
    <row r="16" spans="1:3" x14ac:dyDescent="0.3">
      <c r="A16" s="5" t="s">
        <v>11</v>
      </c>
      <c r="B16" s="13">
        <v>30841.53</v>
      </c>
      <c r="C16" s="13">
        <v>54436.25</v>
      </c>
    </row>
    <row r="17" spans="1:3" x14ac:dyDescent="0.3">
      <c r="A17" s="5" t="s">
        <v>12</v>
      </c>
      <c r="B17" s="13">
        <v>104854783.95999999</v>
      </c>
      <c r="C17" s="13">
        <v>213852433.47</v>
      </c>
    </row>
    <row r="18" spans="1:3" x14ac:dyDescent="0.3">
      <c r="A18" s="5" t="s">
        <v>13</v>
      </c>
      <c r="B18" s="13">
        <v>1392241.98</v>
      </c>
      <c r="C18" s="13">
        <v>6047367.1600000001</v>
      </c>
    </row>
    <row r="19" spans="1:3" x14ac:dyDescent="0.3">
      <c r="A19" s="5" t="s">
        <v>14</v>
      </c>
      <c r="B19" s="13">
        <v>819474.2</v>
      </c>
      <c r="C19" s="13">
        <v>4061851.72</v>
      </c>
    </row>
    <row r="20" spans="1:3" x14ac:dyDescent="0.3">
      <c r="A20" s="5" t="s">
        <v>116</v>
      </c>
      <c r="B20" s="13">
        <v>2539434.69</v>
      </c>
      <c r="C20" s="13">
        <v>11416701.58</v>
      </c>
    </row>
    <row r="21" spans="1:3" x14ac:dyDescent="0.3">
      <c r="A21" s="5" t="s">
        <v>15</v>
      </c>
      <c r="B21" s="13">
        <v>6432595.0099999998</v>
      </c>
      <c r="C21" s="13">
        <v>26959925.649999999</v>
      </c>
    </row>
    <row r="22" spans="1:3" x14ac:dyDescent="0.3">
      <c r="A22" s="5" t="s">
        <v>117</v>
      </c>
      <c r="B22" s="13">
        <v>240550.64</v>
      </c>
      <c r="C22" s="13">
        <v>1047168.2</v>
      </c>
    </row>
    <row r="23" spans="1:3" x14ac:dyDescent="0.3">
      <c r="A23" s="5" t="s">
        <v>16</v>
      </c>
      <c r="B23" s="13">
        <v>27201.22</v>
      </c>
      <c r="C23" s="13">
        <v>44706.87</v>
      </c>
    </row>
    <row r="24" spans="1:3" x14ac:dyDescent="0.3">
      <c r="A24" s="5" t="s">
        <v>17</v>
      </c>
      <c r="B24" s="13">
        <v>313806.64</v>
      </c>
      <c r="C24" s="13">
        <v>1436205.36</v>
      </c>
    </row>
    <row r="25" spans="1:3" x14ac:dyDescent="0.3">
      <c r="A25" s="5" t="s">
        <v>18</v>
      </c>
      <c r="B25" s="13">
        <v>28297338.5</v>
      </c>
      <c r="C25" s="13">
        <v>106400378.44</v>
      </c>
    </row>
    <row r="26" spans="1:3" x14ac:dyDescent="0.3">
      <c r="A26" s="5" t="s">
        <v>19</v>
      </c>
      <c r="B26" s="13">
        <v>461815.06</v>
      </c>
      <c r="C26" s="13">
        <v>2216393.96</v>
      </c>
    </row>
    <row r="27" spans="1:3" x14ac:dyDescent="0.3">
      <c r="A27" s="5" t="s">
        <v>118</v>
      </c>
      <c r="B27" s="13">
        <v>2928527.89</v>
      </c>
      <c r="C27" s="13">
        <v>11692916.4</v>
      </c>
    </row>
    <row r="28" spans="1:3" x14ac:dyDescent="0.3">
      <c r="A28" s="5" t="s">
        <v>134</v>
      </c>
      <c r="B28" s="13">
        <v>24174.87</v>
      </c>
      <c r="C28" s="13">
        <v>42430.85</v>
      </c>
    </row>
    <row r="29" spans="1:3" x14ac:dyDescent="0.3">
      <c r="A29" s="5" t="s">
        <v>20</v>
      </c>
      <c r="B29" s="13">
        <v>5547555.2199999997</v>
      </c>
      <c r="C29" s="13">
        <v>23542403.170000002</v>
      </c>
    </row>
    <row r="30" spans="1:3" x14ac:dyDescent="0.3">
      <c r="A30" s="5" t="s">
        <v>21</v>
      </c>
      <c r="B30" s="13">
        <v>9273589.9700000007</v>
      </c>
      <c r="C30" s="13">
        <v>28882205.699999999</v>
      </c>
    </row>
    <row r="31" spans="1:3" x14ac:dyDescent="0.3">
      <c r="A31" s="5" t="s">
        <v>119</v>
      </c>
      <c r="B31" s="13">
        <v>15121.51</v>
      </c>
      <c r="C31" s="13">
        <v>27553.57</v>
      </c>
    </row>
    <row r="32" spans="1:3" x14ac:dyDescent="0.3">
      <c r="A32" s="5" t="s">
        <v>22</v>
      </c>
      <c r="B32" s="13">
        <v>2880526.43</v>
      </c>
      <c r="C32" s="13">
        <v>12484527.439999999</v>
      </c>
    </row>
    <row r="33" spans="1:3" x14ac:dyDescent="0.3">
      <c r="A33" s="5" t="s">
        <v>120</v>
      </c>
      <c r="B33" s="13">
        <v>1729755.77</v>
      </c>
      <c r="C33" s="13">
        <v>7499403.5599999996</v>
      </c>
    </row>
    <row r="34" spans="1:3" x14ac:dyDescent="0.3">
      <c r="A34" s="5" t="s">
        <v>23</v>
      </c>
      <c r="B34" s="13">
        <v>5434287.5999999996</v>
      </c>
      <c r="C34" s="13">
        <v>22885797.050000001</v>
      </c>
    </row>
    <row r="35" spans="1:3" x14ac:dyDescent="0.3">
      <c r="A35" s="5" t="s">
        <v>24</v>
      </c>
      <c r="B35" s="13">
        <v>587791.79</v>
      </c>
      <c r="C35" s="13">
        <v>338794.68</v>
      </c>
    </row>
    <row r="36" spans="1:3" x14ac:dyDescent="0.3">
      <c r="A36" s="5" t="s">
        <v>25</v>
      </c>
      <c r="B36" s="13">
        <v>24335396.600000001</v>
      </c>
      <c r="C36" s="13">
        <v>26155626</v>
      </c>
    </row>
    <row r="37" spans="1:3" x14ac:dyDescent="0.3">
      <c r="A37" s="5" t="s">
        <v>121</v>
      </c>
      <c r="B37" s="13">
        <v>68783.88</v>
      </c>
      <c r="C37" s="13">
        <v>121701.8</v>
      </c>
    </row>
    <row r="38" spans="1:3" x14ac:dyDescent="0.3">
      <c r="A38" s="5" t="s">
        <v>26</v>
      </c>
      <c r="B38" s="13">
        <v>85242241.469999999</v>
      </c>
      <c r="C38" s="13">
        <v>174464026.94999999</v>
      </c>
    </row>
    <row r="39" spans="1:3" x14ac:dyDescent="0.3">
      <c r="A39" s="5" t="s">
        <v>122</v>
      </c>
      <c r="B39" s="13" t="s">
        <v>114</v>
      </c>
      <c r="C39" s="13" t="s">
        <v>114</v>
      </c>
    </row>
    <row r="40" spans="1:3" x14ac:dyDescent="0.3">
      <c r="A40" s="5" t="s">
        <v>6</v>
      </c>
      <c r="B40" s="13"/>
      <c r="C40" s="13"/>
    </row>
    <row r="41" spans="1:3" x14ac:dyDescent="0.3">
      <c r="A41" s="5" t="s">
        <v>27</v>
      </c>
      <c r="B41" s="13">
        <v>736382303.49000001</v>
      </c>
      <c r="C41" s="13">
        <v>1156785604.3599999</v>
      </c>
    </row>
    <row r="42" spans="1:3" x14ac:dyDescent="0.3">
      <c r="A42" s="5" t="s">
        <v>28</v>
      </c>
      <c r="B42" s="13">
        <v>23223518.859999999</v>
      </c>
      <c r="C42" s="13">
        <v>38495978.280000001</v>
      </c>
    </row>
    <row r="43" spans="1:3" x14ac:dyDescent="0.3">
      <c r="A43" s="5" t="s">
        <v>29</v>
      </c>
      <c r="B43" s="13">
        <v>281911138.04000002</v>
      </c>
      <c r="C43" s="13">
        <v>422061801</v>
      </c>
    </row>
    <row r="44" spans="1:3" x14ac:dyDescent="0.3">
      <c r="A44" s="5" t="s">
        <v>30</v>
      </c>
      <c r="B44" s="13">
        <v>631595.21</v>
      </c>
      <c r="C44" s="13">
        <v>185339.2</v>
      </c>
    </row>
    <row r="45" spans="1:3" x14ac:dyDescent="0.3">
      <c r="A45" s="5" t="s">
        <v>31</v>
      </c>
      <c r="B45" s="13">
        <v>15134443.630000001</v>
      </c>
      <c r="C45" s="13">
        <v>20711923.199999999</v>
      </c>
    </row>
    <row r="46" spans="1:3" x14ac:dyDescent="0.3">
      <c r="A46" s="5" t="s">
        <v>32</v>
      </c>
      <c r="B46" s="13">
        <v>1106268.1000000001</v>
      </c>
      <c r="C46" s="13">
        <v>1075805.31</v>
      </c>
    </row>
    <row r="47" spans="1:3" x14ac:dyDescent="0.3">
      <c r="A47" s="5" t="s">
        <v>33</v>
      </c>
      <c r="B47" s="13">
        <v>24160916.300000001</v>
      </c>
      <c r="C47" s="13">
        <v>65656905.700000003</v>
      </c>
    </row>
    <row r="48" spans="1:3" x14ac:dyDescent="0.3">
      <c r="A48" s="5" t="s">
        <v>34</v>
      </c>
      <c r="B48" s="13">
        <v>109447125.38</v>
      </c>
      <c r="C48" s="13">
        <v>173396814.03</v>
      </c>
    </row>
    <row r="49" spans="1:3" x14ac:dyDescent="0.3">
      <c r="A49" s="5" t="s">
        <v>35</v>
      </c>
      <c r="B49" s="13">
        <v>12933187.91</v>
      </c>
      <c r="C49" s="13">
        <v>13474076.109999999</v>
      </c>
    </row>
    <row r="50" spans="1:3" x14ac:dyDescent="0.3">
      <c r="A50" s="5" t="s">
        <v>36</v>
      </c>
      <c r="B50" s="13">
        <v>65610874.82</v>
      </c>
      <c r="C50" s="13">
        <v>148379764.47999999</v>
      </c>
    </row>
    <row r="51" spans="1:3" x14ac:dyDescent="0.3">
      <c r="A51" s="5" t="s">
        <v>37</v>
      </c>
      <c r="B51" s="13">
        <v>19481.53</v>
      </c>
      <c r="C51" s="13">
        <v>32807.769999999997</v>
      </c>
    </row>
    <row r="52" spans="1:3" x14ac:dyDescent="0.3">
      <c r="A52" s="5" t="s">
        <v>38</v>
      </c>
      <c r="B52" s="13">
        <v>34225435.240000002</v>
      </c>
      <c r="C52" s="13">
        <v>13292691.41</v>
      </c>
    </row>
    <row r="53" spans="1:3" x14ac:dyDescent="0.3">
      <c r="A53" s="5" t="s">
        <v>39</v>
      </c>
      <c r="B53" s="13">
        <v>3106988.69</v>
      </c>
      <c r="C53" s="13">
        <v>3123873.59</v>
      </c>
    </row>
    <row r="54" spans="1:3" x14ac:dyDescent="0.3">
      <c r="A54" s="5" t="s">
        <v>135</v>
      </c>
      <c r="B54" s="13">
        <v>244031.42</v>
      </c>
      <c r="C54" s="13">
        <v>175847.36</v>
      </c>
    </row>
    <row r="55" spans="1:3" x14ac:dyDescent="0.3">
      <c r="A55" s="5" t="s">
        <v>123</v>
      </c>
      <c r="B55" s="13">
        <v>33336.17</v>
      </c>
      <c r="C55" s="13">
        <v>79526.399999999994</v>
      </c>
    </row>
    <row r="56" spans="1:3" x14ac:dyDescent="0.3">
      <c r="A56" s="5" t="s">
        <v>40</v>
      </c>
      <c r="B56" s="13">
        <v>345361.41</v>
      </c>
      <c r="C56" s="13">
        <v>201436.37</v>
      </c>
    </row>
    <row r="57" spans="1:3" x14ac:dyDescent="0.3">
      <c r="A57" s="5" t="s">
        <v>41</v>
      </c>
      <c r="B57" s="13">
        <v>11186922.16</v>
      </c>
      <c r="C57" s="13">
        <v>10502262.550000001</v>
      </c>
    </row>
    <row r="58" spans="1:3" x14ac:dyDescent="0.3">
      <c r="A58" s="5" t="s">
        <v>42</v>
      </c>
      <c r="B58" s="13">
        <v>701055.93</v>
      </c>
      <c r="C58" s="13">
        <v>65943.289999999994</v>
      </c>
    </row>
    <row r="59" spans="1:3" x14ac:dyDescent="0.3">
      <c r="A59" s="5" t="s">
        <v>43</v>
      </c>
      <c r="B59" s="13">
        <v>1046948.79</v>
      </c>
      <c r="C59" s="13">
        <v>1078237.52</v>
      </c>
    </row>
    <row r="60" spans="1:3" x14ac:dyDescent="0.3">
      <c r="A60" s="5" t="s">
        <v>44</v>
      </c>
      <c r="B60" s="13">
        <v>33890478.490000002</v>
      </c>
      <c r="C60" s="13">
        <v>36899824.689999998</v>
      </c>
    </row>
    <row r="61" spans="1:3" x14ac:dyDescent="0.3">
      <c r="A61" s="5" t="s">
        <v>45</v>
      </c>
      <c r="B61" s="13">
        <v>76994608.230000004</v>
      </c>
      <c r="C61" s="13">
        <v>130453586.89</v>
      </c>
    </row>
    <row r="62" spans="1:3" x14ac:dyDescent="0.3">
      <c r="A62" s="5" t="s">
        <v>124</v>
      </c>
      <c r="B62" s="13">
        <v>356815.64</v>
      </c>
      <c r="C62" s="13">
        <v>1118798</v>
      </c>
    </row>
    <row r="63" spans="1:3" x14ac:dyDescent="0.3">
      <c r="A63" s="5" t="s">
        <v>46</v>
      </c>
      <c r="B63" s="13">
        <v>12013.2</v>
      </c>
      <c r="C63" s="13">
        <v>16743.13</v>
      </c>
    </row>
    <row r="64" spans="1:3" x14ac:dyDescent="0.3">
      <c r="A64" s="5" t="s">
        <v>47</v>
      </c>
      <c r="B64" s="13">
        <v>34571042.659999996</v>
      </c>
      <c r="C64" s="13">
        <v>71813319.230000004</v>
      </c>
    </row>
    <row r="65" spans="1:3" x14ac:dyDescent="0.3">
      <c r="A65" s="5" t="s">
        <v>48</v>
      </c>
      <c r="B65" s="13">
        <v>5026052.0599999996</v>
      </c>
      <c r="C65" s="13">
        <v>4403617.49</v>
      </c>
    </row>
    <row r="66" spans="1:3" x14ac:dyDescent="0.3">
      <c r="A66" s="5" t="s">
        <v>136</v>
      </c>
      <c r="B66" s="13">
        <v>462663.62</v>
      </c>
      <c r="C66" s="13">
        <v>88681.36</v>
      </c>
    </row>
    <row r="67" spans="1:3" x14ac:dyDescent="0.3">
      <c r="A67" s="5" t="s">
        <v>6</v>
      </c>
      <c r="B67" s="13"/>
      <c r="C67" s="13"/>
    </row>
    <row r="68" spans="1:3" x14ac:dyDescent="0.3">
      <c r="A68" s="5" t="s">
        <v>49</v>
      </c>
      <c r="B68" s="13">
        <v>1938645314.26</v>
      </c>
      <c r="C68" s="13">
        <v>3259072056.1199999</v>
      </c>
    </row>
    <row r="69" spans="1:3" x14ac:dyDescent="0.3">
      <c r="A69" s="5" t="s">
        <v>50</v>
      </c>
      <c r="B69" s="13">
        <v>32521623.140000001</v>
      </c>
      <c r="C69" s="13">
        <v>84711244.269999996</v>
      </c>
    </row>
    <row r="70" spans="1:3" x14ac:dyDescent="0.3">
      <c r="A70" s="5" t="s">
        <v>137</v>
      </c>
      <c r="B70" s="13" t="s">
        <v>114</v>
      </c>
      <c r="C70" s="13" t="s">
        <v>114</v>
      </c>
    </row>
    <row r="71" spans="1:3" x14ac:dyDescent="0.3">
      <c r="A71" s="5" t="s">
        <v>51</v>
      </c>
      <c r="B71" s="13">
        <v>10756195.220000001</v>
      </c>
      <c r="C71" s="13">
        <v>40767813.109999999</v>
      </c>
    </row>
    <row r="72" spans="1:3" x14ac:dyDescent="0.3">
      <c r="A72" s="5" t="s">
        <v>52</v>
      </c>
      <c r="B72" s="13">
        <v>220023525.93000001</v>
      </c>
      <c r="C72" s="13">
        <v>152160317.05000001</v>
      </c>
    </row>
    <row r="73" spans="1:3" x14ac:dyDescent="0.3">
      <c r="A73" s="5" t="s">
        <v>53</v>
      </c>
      <c r="B73" s="13">
        <v>27114128.800000001</v>
      </c>
      <c r="C73" s="13">
        <v>66829963.140000001</v>
      </c>
    </row>
    <row r="74" spans="1:3" x14ac:dyDescent="0.3">
      <c r="A74" s="5" t="s">
        <v>54</v>
      </c>
      <c r="B74" s="13">
        <v>4972406.29</v>
      </c>
      <c r="C74" s="13">
        <v>2157584.3199999998</v>
      </c>
    </row>
    <row r="75" spans="1:3" x14ac:dyDescent="0.3">
      <c r="A75" s="5" t="s">
        <v>55</v>
      </c>
      <c r="B75" s="13">
        <v>456207458.77999997</v>
      </c>
      <c r="C75" s="13">
        <v>482635835.39999998</v>
      </c>
    </row>
    <row r="76" spans="1:3" x14ac:dyDescent="0.3">
      <c r="A76" s="5" t="s">
        <v>56</v>
      </c>
      <c r="B76" s="13">
        <v>251180236.83000001</v>
      </c>
      <c r="C76" s="13">
        <v>561306737.08000004</v>
      </c>
    </row>
    <row r="77" spans="1:3" x14ac:dyDescent="0.3">
      <c r="A77" s="5" t="s">
        <v>138</v>
      </c>
      <c r="B77" s="13">
        <v>54223456.07</v>
      </c>
      <c r="C77" s="13">
        <v>80274003.670000002</v>
      </c>
    </row>
    <row r="78" spans="1:3" x14ac:dyDescent="0.3">
      <c r="A78" s="5" t="s">
        <v>113</v>
      </c>
      <c r="B78" s="13">
        <v>107779723.92</v>
      </c>
      <c r="C78" s="13">
        <v>138201730</v>
      </c>
    </row>
    <row r="79" spans="1:3" x14ac:dyDescent="0.3">
      <c r="A79" s="5" t="s">
        <v>57</v>
      </c>
      <c r="B79" s="13">
        <v>41183188.829999998</v>
      </c>
      <c r="C79" s="13">
        <v>45193940.090000004</v>
      </c>
    </row>
    <row r="80" spans="1:3" x14ac:dyDescent="0.3">
      <c r="A80" s="5" t="s">
        <v>58</v>
      </c>
      <c r="B80" s="13">
        <v>2983830.24</v>
      </c>
      <c r="C80" s="13">
        <v>880869.81</v>
      </c>
    </row>
    <row r="81" spans="1:3" x14ac:dyDescent="0.3">
      <c r="A81" s="5" t="s">
        <v>59</v>
      </c>
      <c r="B81" s="13">
        <v>7837796.2400000002</v>
      </c>
      <c r="C81" s="13">
        <v>15821462.130000001</v>
      </c>
    </row>
    <row r="82" spans="1:3" x14ac:dyDescent="0.3">
      <c r="A82" s="5" t="s">
        <v>125</v>
      </c>
      <c r="B82" s="13">
        <v>1075473.8600000001</v>
      </c>
      <c r="C82" s="13">
        <v>2369197.33</v>
      </c>
    </row>
    <row r="83" spans="1:3" x14ac:dyDescent="0.3">
      <c r="A83" s="5" t="s">
        <v>60</v>
      </c>
      <c r="B83" s="13">
        <v>822768.25</v>
      </c>
      <c r="C83" s="13">
        <v>4747112.26</v>
      </c>
    </row>
    <row r="84" spans="1:3" x14ac:dyDescent="0.3">
      <c r="A84" s="5" t="s">
        <v>61</v>
      </c>
      <c r="B84" s="13">
        <v>3403775.71</v>
      </c>
      <c r="C84" s="13">
        <v>7060179.4299999997</v>
      </c>
    </row>
    <row r="85" spans="1:3" x14ac:dyDescent="0.3">
      <c r="A85" s="5" t="s">
        <v>62</v>
      </c>
      <c r="B85" s="13">
        <v>131122693.63</v>
      </c>
      <c r="C85" s="13">
        <v>334084538.56999999</v>
      </c>
    </row>
    <row r="86" spans="1:3" x14ac:dyDescent="0.3">
      <c r="A86" s="5" t="s">
        <v>126</v>
      </c>
      <c r="B86" s="13">
        <v>4299453.51</v>
      </c>
      <c r="C86" s="13">
        <v>4583800.4000000004</v>
      </c>
    </row>
    <row r="87" spans="1:3" x14ac:dyDescent="0.3">
      <c r="A87" s="5" t="s">
        <v>63</v>
      </c>
      <c r="B87" s="13">
        <v>106740.54</v>
      </c>
      <c r="C87" s="13">
        <v>196673.17</v>
      </c>
    </row>
    <row r="88" spans="1:3" x14ac:dyDescent="0.3">
      <c r="A88" s="5" t="s">
        <v>64</v>
      </c>
      <c r="B88" s="13">
        <v>10054884.119999999</v>
      </c>
      <c r="C88" s="13">
        <v>25803991.079999998</v>
      </c>
    </row>
    <row r="89" spans="1:3" x14ac:dyDescent="0.3">
      <c r="A89" s="5" t="s">
        <v>65</v>
      </c>
      <c r="B89" s="13">
        <v>3270920.14</v>
      </c>
      <c r="C89" s="13">
        <v>10196271.859999999</v>
      </c>
    </row>
    <row r="90" spans="1:3" x14ac:dyDescent="0.3">
      <c r="A90" s="5" t="s">
        <v>66</v>
      </c>
      <c r="B90" s="13">
        <v>115689.2</v>
      </c>
      <c r="C90" s="13">
        <v>169214.54</v>
      </c>
    </row>
    <row r="91" spans="1:3" x14ac:dyDescent="0.3">
      <c r="A91" s="5" t="s">
        <v>139</v>
      </c>
      <c r="B91" s="13" t="s">
        <v>114</v>
      </c>
      <c r="C91" s="13" t="s">
        <v>114</v>
      </c>
    </row>
    <row r="92" spans="1:3" x14ac:dyDescent="0.3">
      <c r="A92" s="5" t="s">
        <v>67</v>
      </c>
      <c r="B92" s="13">
        <v>53192131.5</v>
      </c>
      <c r="C92" s="13">
        <v>99550117.540000007</v>
      </c>
    </row>
    <row r="93" spans="1:3" x14ac:dyDescent="0.3">
      <c r="A93" s="5" t="s">
        <v>68</v>
      </c>
      <c r="B93" s="13">
        <v>389070645</v>
      </c>
      <c r="C93" s="13">
        <v>912467807.10000002</v>
      </c>
    </row>
    <row r="94" spans="1:3" x14ac:dyDescent="0.3">
      <c r="A94" s="5" t="s">
        <v>69</v>
      </c>
      <c r="B94" s="13">
        <v>2020380.81</v>
      </c>
      <c r="C94" s="13">
        <v>1127343.1000000001</v>
      </c>
    </row>
    <row r="95" spans="1:3" x14ac:dyDescent="0.3">
      <c r="A95" s="5" t="s">
        <v>70</v>
      </c>
      <c r="B95" s="13">
        <v>119586277.47</v>
      </c>
      <c r="C95" s="13">
        <v>165989722.30000001</v>
      </c>
    </row>
    <row r="96" spans="1:3" x14ac:dyDescent="0.3">
      <c r="A96" s="5" t="s">
        <v>71</v>
      </c>
      <c r="B96" s="13">
        <v>3692248.54</v>
      </c>
      <c r="C96" s="13">
        <v>19746363.039999999</v>
      </c>
    </row>
    <row r="97" spans="1:3" x14ac:dyDescent="0.3">
      <c r="A97" s="5" t="s">
        <v>127</v>
      </c>
      <c r="B97" s="13">
        <v>26750.9</v>
      </c>
      <c r="C97" s="13">
        <v>38180.639999999999</v>
      </c>
    </row>
    <row r="98" spans="1:3" x14ac:dyDescent="0.3">
      <c r="A98" s="5" t="s">
        <v>128</v>
      </c>
      <c r="B98" s="13">
        <v>910.79</v>
      </c>
      <c r="C98" s="13">
        <v>43.69</v>
      </c>
    </row>
    <row r="99" spans="1:3" x14ac:dyDescent="0.3">
      <c r="A99" s="5" t="s">
        <v>6</v>
      </c>
      <c r="B99" s="13"/>
      <c r="C99" s="13"/>
    </row>
    <row r="100" spans="1:3" x14ac:dyDescent="0.3">
      <c r="A100" s="5" t="s">
        <v>72</v>
      </c>
      <c r="B100" s="13">
        <v>847509659.53999996</v>
      </c>
      <c r="C100" s="13">
        <v>1564993956.8399999</v>
      </c>
    </row>
    <row r="101" spans="1:3" x14ac:dyDescent="0.3">
      <c r="A101" s="5" t="s">
        <v>129</v>
      </c>
      <c r="B101" s="13">
        <v>4603.83</v>
      </c>
      <c r="C101" s="13">
        <v>6896.38</v>
      </c>
    </row>
    <row r="102" spans="1:3" x14ac:dyDescent="0.3">
      <c r="A102" s="5" t="s">
        <v>73</v>
      </c>
      <c r="B102" s="13">
        <v>361137.22</v>
      </c>
      <c r="C102" s="13">
        <v>9751.61</v>
      </c>
    </row>
    <row r="103" spans="1:3" x14ac:dyDescent="0.3">
      <c r="A103" s="5" t="s">
        <v>74</v>
      </c>
      <c r="B103" s="13">
        <v>6149242.1699999999</v>
      </c>
      <c r="C103" s="13">
        <v>269457.87</v>
      </c>
    </row>
    <row r="104" spans="1:3" x14ac:dyDescent="0.3">
      <c r="A104" s="5" t="s">
        <v>75</v>
      </c>
      <c r="B104" s="13">
        <v>57195.1</v>
      </c>
      <c r="C104" s="13">
        <v>65759.78</v>
      </c>
    </row>
    <row r="105" spans="1:3" x14ac:dyDescent="0.3">
      <c r="A105" s="5" t="s">
        <v>76</v>
      </c>
      <c r="B105" s="13">
        <v>29588697.699999999</v>
      </c>
      <c r="C105" s="13">
        <v>66637093.990000002</v>
      </c>
    </row>
    <row r="106" spans="1:3" x14ac:dyDescent="0.3">
      <c r="A106" s="5" t="s">
        <v>77</v>
      </c>
      <c r="B106" s="13">
        <v>169778122.78</v>
      </c>
      <c r="C106" s="13">
        <v>357624757.89999998</v>
      </c>
    </row>
    <row r="107" spans="1:3" x14ac:dyDescent="0.3">
      <c r="A107" s="5" t="s">
        <v>78</v>
      </c>
      <c r="B107" s="13">
        <v>4885.12</v>
      </c>
      <c r="C107" s="13">
        <v>4455</v>
      </c>
    </row>
    <row r="108" spans="1:3" x14ac:dyDescent="0.3">
      <c r="A108" s="5" t="s">
        <v>79</v>
      </c>
      <c r="B108" s="13">
        <v>65605659.579999998</v>
      </c>
      <c r="C108" s="13">
        <v>137466188.52000001</v>
      </c>
    </row>
    <row r="109" spans="1:3" x14ac:dyDescent="0.3">
      <c r="A109" s="5" t="s">
        <v>80</v>
      </c>
      <c r="B109" s="13">
        <v>22664074.690000001</v>
      </c>
      <c r="C109" s="13">
        <v>50889173.810000002</v>
      </c>
    </row>
    <row r="110" spans="1:3" x14ac:dyDescent="0.3">
      <c r="A110" s="5" t="s">
        <v>81</v>
      </c>
      <c r="B110" s="13">
        <v>28748.16</v>
      </c>
      <c r="C110" s="13">
        <v>22647.599999999999</v>
      </c>
    </row>
    <row r="111" spans="1:3" x14ac:dyDescent="0.3">
      <c r="A111" s="5" t="s">
        <v>82</v>
      </c>
      <c r="B111" s="13">
        <v>18422478.02</v>
      </c>
      <c r="C111" s="13">
        <v>75907040.219999999</v>
      </c>
    </row>
    <row r="112" spans="1:3" x14ac:dyDescent="0.3">
      <c r="A112" s="5" t="s">
        <v>83</v>
      </c>
      <c r="B112" s="13">
        <v>84596324.280000001</v>
      </c>
      <c r="C112" s="13">
        <v>183320251.18000001</v>
      </c>
    </row>
    <row r="113" spans="1:3" x14ac:dyDescent="0.3">
      <c r="A113" s="5" t="s">
        <v>140</v>
      </c>
      <c r="B113" s="13">
        <v>489.37</v>
      </c>
      <c r="C113" s="13">
        <v>307.14999999999998</v>
      </c>
    </row>
    <row r="114" spans="1:3" x14ac:dyDescent="0.3">
      <c r="A114" s="5" t="s">
        <v>84</v>
      </c>
      <c r="B114" s="13">
        <v>31514.46</v>
      </c>
      <c r="C114" s="13">
        <v>20055.95</v>
      </c>
    </row>
    <row r="115" spans="1:3" x14ac:dyDescent="0.3">
      <c r="A115" s="5" t="s">
        <v>85</v>
      </c>
      <c r="B115" s="13">
        <v>205383964.62</v>
      </c>
      <c r="C115" s="13">
        <v>261116455.16</v>
      </c>
    </row>
    <row r="116" spans="1:3" x14ac:dyDescent="0.3">
      <c r="A116" s="5" t="s">
        <v>86</v>
      </c>
      <c r="B116" s="13">
        <v>115440334.23999999</v>
      </c>
      <c r="C116" s="13">
        <v>239760119.46000001</v>
      </c>
    </row>
    <row r="117" spans="1:3" x14ac:dyDescent="0.3">
      <c r="A117" s="5" t="s">
        <v>87</v>
      </c>
      <c r="B117" s="13">
        <v>280221.99</v>
      </c>
      <c r="C117" s="13">
        <v>270230.76</v>
      </c>
    </row>
    <row r="118" spans="1:3" x14ac:dyDescent="0.3">
      <c r="A118" s="5" t="s">
        <v>88</v>
      </c>
      <c r="B118" s="13">
        <v>80298950.409999996</v>
      </c>
      <c r="C118" s="13">
        <v>177087229.84</v>
      </c>
    </row>
    <row r="119" spans="1:3" x14ac:dyDescent="0.3">
      <c r="A119" s="5" t="s">
        <v>89</v>
      </c>
      <c r="B119" s="13">
        <v>2740936.44</v>
      </c>
      <c r="C119" s="13">
        <v>4714121.74</v>
      </c>
    </row>
    <row r="120" spans="1:3" x14ac:dyDescent="0.3">
      <c r="A120" s="5" t="s">
        <v>90</v>
      </c>
      <c r="B120" s="13">
        <v>3402.71</v>
      </c>
      <c r="C120" s="13">
        <v>2730.83</v>
      </c>
    </row>
    <row r="121" spans="1:3" x14ac:dyDescent="0.3">
      <c r="A121" s="5" t="s">
        <v>130</v>
      </c>
      <c r="B121" s="13">
        <v>384845.52</v>
      </c>
      <c r="C121" s="13">
        <v>217156.01</v>
      </c>
    </row>
    <row r="122" spans="1:3" x14ac:dyDescent="0.3">
      <c r="A122" s="5" t="s">
        <v>91</v>
      </c>
      <c r="B122" s="13">
        <v>7661.35</v>
      </c>
      <c r="C122" s="13">
        <v>10405.91</v>
      </c>
    </row>
    <row r="123" spans="1:3" x14ac:dyDescent="0.3">
      <c r="A123" s="5" t="s">
        <v>92</v>
      </c>
      <c r="B123" s="13">
        <v>1274167.57</v>
      </c>
      <c r="C123" s="13">
        <v>882003.33</v>
      </c>
    </row>
    <row r="124" spans="1:3" x14ac:dyDescent="0.3">
      <c r="A124" s="5" t="s">
        <v>93</v>
      </c>
      <c r="B124" s="13">
        <v>20195324.469999999</v>
      </c>
      <c r="C124" s="13">
        <v>2159251.7000000002</v>
      </c>
    </row>
    <row r="125" spans="1:3" x14ac:dyDescent="0.3">
      <c r="A125" s="5" t="s">
        <v>141</v>
      </c>
      <c r="B125" s="13" t="s">
        <v>114</v>
      </c>
      <c r="C125" s="13" t="s">
        <v>114</v>
      </c>
    </row>
    <row r="126" spans="1:3" x14ac:dyDescent="0.3">
      <c r="A126" s="5" t="s">
        <v>131</v>
      </c>
      <c r="B126" s="13">
        <v>2299.02</v>
      </c>
      <c r="C126" s="13">
        <v>1616.6</v>
      </c>
    </row>
    <row r="127" spans="1:3" x14ac:dyDescent="0.3">
      <c r="A127" s="5" t="s">
        <v>94</v>
      </c>
      <c r="B127" s="13">
        <v>28065.19</v>
      </c>
      <c r="C127" s="13">
        <v>22942.62</v>
      </c>
    </row>
    <row r="128" spans="1:3" x14ac:dyDescent="0.3">
      <c r="A128" s="5" t="s">
        <v>132</v>
      </c>
      <c r="B128" s="13">
        <v>2644.39</v>
      </c>
      <c r="C128" s="13">
        <v>1913.54</v>
      </c>
    </row>
    <row r="129" spans="1:3" x14ac:dyDescent="0.3">
      <c r="A129" s="5" t="s">
        <v>95</v>
      </c>
      <c r="B129" s="13">
        <v>20733192.460000001</v>
      </c>
      <c r="C129" s="13">
        <v>6078880.2599999998</v>
      </c>
    </row>
    <row r="130" spans="1:3" x14ac:dyDescent="0.3">
      <c r="A130" s="5" t="s">
        <v>96</v>
      </c>
      <c r="B130" s="13">
        <v>79444.62</v>
      </c>
      <c r="C130" s="13">
        <v>14094.9</v>
      </c>
    </row>
    <row r="131" spans="1:3" x14ac:dyDescent="0.3">
      <c r="A131" s="5" t="s">
        <v>133</v>
      </c>
      <c r="B131" s="13" t="s">
        <v>114</v>
      </c>
      <c r="C131" s="13" t="s">
        <v>114</v>
      </c>
    </row>
    <row r="132" spans="1:3" x14ac:dyDescent="0.3">
      <c r="A132" s="5" t="s">
        <v>97</v>
      </c>
      <c r="B132" s="13">
        <v>25990.43</v>
      </c>
      <c r="C132" s="13">
        <v>31407.48</v>
      </c>
    </row>
    <row r="133" spans="1:3" x14ac:dyDescent="0.3">
      <c r="A133" s="5" t="s">
        <v>142</v>
      </c>
      <c r="B133" s="13">
        <v>2218344.17</v>
      </c>
      <c r="C133" s="13">
        <v>274674.51</v>
      </c>
    </row>
    <row r="134" spans="1:3" x14ac:dyDescent="0.3">
      <c r="A134" s="5" t="s">
        <v>143</v>
      </c>
      <c r="B134" s="13">
        <v>2193.81</v>
      </c>
      <c r="C134" s="13">
        <v>1615.79</v>
      </c>
    </row>
    <row r="135" spans="1:3" x14ac:dyDescent="0.3">
      <c r="A135" s="5" t="s">
        <v>98</v>
      </c>
      <c r="B135" s="13">
        <v>17798.900000000001</v>
      </c>
      <c r="C135" s="13">
        <v>21017.81</v>
      </c>
    </row>
    <row r="136" spans="1:3" x14ac:dyDescent="0.3">
      <c r="A136" s="5" t="s">
        <v>99</v>
      </c>
      <c r="B136" s="13">
        <v>1086845.8899999999</v>
      </c>
      <c r="C136" s="13">
        <v>75412.479999999996</v>
      </c>
    </row>
    <row r="137" spans="1:3" x14ac:dyDescent="0.3">
      <c r="A137" s="5" t="s">
        <v>111</v>
      </c>
      <c r="B137" s="13" t="s">
        <v>114</v>
      </c>
      <c r="C137" s="13" t="s">
        <v>114</v>
      </c>
    </row>
    <row r="138" spans="1:3" x14ac:dyDescent="0.3">
      <c r="A138" s="5" t="s">
        <v>100</v>
      </c>
      <c r="B138" s="13">
        <v>9858.86</v>
      </c>
      <c r="C138" s="13">
        <v>6839.15</v>
      </c>
    </row>
    <row r="139" spans="1:3" x14ac:dyDescent="0.3">
      <c r="A139" s="5" t="s">
        <v>6</v>
      </c>
      <c r="B139" s="13"/>
      <c r="C139" s="13"/>
    </row>
    <row r="140" spans="1:3" x14ac:dyDescent="0.3">
      <c r="A140" s="5" t="s">
        <v>101</v>
      </c>
      <c r="B140" s="13">
        <v>19984837.129999999</v>
      </c>
      <c r="C140" s="13">
        <v>36810101.009999998</v>
      </c>
    </row>
    <row r="141" spans="1:3" x14ac:dyDescent="0.3">
      <c r="A141" s="5" t="s">
        <v>102</v>
      </c>
      <c r="B141" s="13">
        <v>19880859.07</v>
      </c>
      <c r="C141" s="13">
        <v>36741152.270000003</v>
      </c>
    </row>
    <row r="142" spans="1:3" x14ac:dyDescent="0.3">
      <c r="A142" s="5" t="s">
        <v>103</v>
      </c>
      <c r="B142" s="13">
        <v>103978.06</v>
      </c>
      <c r="C142" s="13">
        <v>68948.740000000005</v>
      </c>
    </row>
    <row r="143" spans="1:3" x14ac:dyDescent="0.3">
      <c r="A143" s="5" t="s">
        <v>6</v>
      </c>
      <c r="B143" s="13"/>
      <c r="C143" s="13"/>
    </row>
    <row r="144" spans="1:3" x14ac:dyDescent="0.3">
      <c r="A144" s="5" t="s">
        <v>104</v>
      </c>
      <c r="B144" s="13">
        <v>88589898.560000002</v>
      </c>
      <c r="C144" s="13">
        <v>180392817.37</v>
      </c>
    </row>
    <row r="145" spans="1:3" x14ac:dyDescent="0.3">
      <c r="A145" s="5" t="s">
        <v>105</v>
      </c>
      <c r="B145" s="13">
        <v>3294159.64</v>
      </c>
      <c r="C145" s="13">
        <v>4745980</v>
      </c>
    </row>
    <row r="146" spans="1:3" x14ac:dyDescent="0.3">
      <c r="A146" s="5" t="s">
        <v>106</v>
      </c>
      <c r="B146" s="13">
        <v>85295738.920000002</v>
      </c>
      <c r="C146" s="13">
        <v>175646837.37</v>
      </c>
    </row>
    <row r="147" spans="1:3" ht="24" customHeight="1" x14ac:dyDescent="0.3">
      <c r="A147" s="17" t="s">
        <v>107</v>
      </c>
      <c r="B147" s="17"/>
      <c r="C147" s="17"/>
    </row>
    <row r="148" spans="1:3" x14ac:dyDescent="0.3">
      <c r="A148" s="10" t="s">
        <v>108</v>
      </c>
      <c r="B148" s="11"/>
      <c r="C148" s="11"/>
    </row>
    <row r="149" spans="1:3" x14ac:dyDescent="0.3">
      <c r="A149" s="12" t="s">
        <v>112</v>
      </c>
      <c r="B149" s="11"/>
      <c r="C149" s="11"/>
    </row>
    <row r="150" spans="1:3" x14ac:dyDescent="0.3">
      <c r="A150" s="10" t="s">
        <v>109</v>
      </c>
      <c r="B150" s="11"/>
      <c r="C150" s="11"/>
    </row>
  </sheetData>
  <mergeCells count="3">
    <mergeCell ref="A1:C2"/>
    <mergeCell ref="B4:C4"/>
    <mergeCell ref="A147:C14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04FEB-2E1D-4D2D-A5BD-7765CC6F0248}">
  <dimension ref="A1:C155"/>
  <sheetViews>
    <sheetView workbookViewId="0">
      <selection activeCell="A23" sqref="A23"/>
    </sheetView>
  </sheetViews>
  <sheetFormatPr baseColWidth="10" defaultColWidth="11.44140625" defaultRowHeight="14.4" x14ac:dyDescent="0.3"/>
  <cols>
    <col min="1" max="1" width="45.88671875" style="1" customWidth="1"/>
    <col min="2" max="2" width="18.33203125" style="1" bestFit="1" customWidth="1"/>
    <col min="3" max="3" width="18.44140625" style="1" bestFit="1" customWidth="1"/>
    <col min="4" max="16384" width="11.44140625" style="1"/>
  </cols>
  <sheetData>
    <row r="1" spans="1:3" x14ac:dyDescent="0.3">
      <c r="A1" s="14" t="s">
        <v>179</v>
      </c>
      <c r="B1" s="14"/>
      <c r="C1" s="14"/>
    </row>
    <row r="2" spans="1:3" x14ac:dyDescent="0.3">
      <c r="A2" s="14"/>
      <c r="B2" s="14"/>
      <c r="C2" s="14"/>
    </row>
    <row r="3" spans="1:3" s="2" customFormat="1" ht="13.2" x14ac:dyDescent="0.25"/>
    <row r="4" spans="1:3" s="3" customFormat="1" ht="13.2" x14ac:dyDescent="0.25">
      <c r="A4" s="6"/>
      <c r="B4" s="15" t="s">
        <v>168</v>
      </c>
      <c r="C4" s="16"/>
    </row>
    <row r="5" spans="1:3" s="3" customFormat="1" ht="13.2" x14ac:dyDescent="0.25">
      <c r="A5" s="4" t="s">
        <v>2</v>
      </c>
      <c r="B5" s="7" t="s">
        <v>4</v>
      </c>
      <c r="C5" s="7" t="s">
        <v>3</v>
      </c>
    </row>
    <row r="6" spans="1:3" s="3" customFormat="1" ht="13.2" x14ac:dyDescent="0.25">
      <c r="A6" s="8"/>
      <c r="B6" s="9" t="s">
        <v>0</v>
      </c>
      <c r="C6" s="9" t="s">
        <v>1</v>
      </c>
    </row>
    <row r="8" spans="1:3" x14ac:dyDescent="0.3">
      <c r="A8" s="5" t="s">
        <v>5</v>
      </c>
      <c r="B8" s="13">
        <v>5671686913.8299999</v>
      </c>
      <c r="C8" s="13">
        <v>10285642285.940001</v>
      </c>
    </row>
    <row r="9" spans="1:3" x14ac:dyDescent="0.3">
      <c r="A9" s="5" t="s">
        <v>6</v>
      </c>
      <c r="B9" s="13"/>
      <c r="C9" s="13"/>
    </row>
    <row r="10" spans="1:3" x14ac:dyDescent="0.3">
      <c r="A10" s="5" t="s">
        <v>7</v>
      </c>
      <c r="B10" s="13">
        <v>609096751.11000001</v>
      </c>
      <c r="C10" s="13">
        <v>1408069016.97</v>
      </c>
    </row>
    <row r="11" spans="1:3" x14ac:dyDescent="0.3">
      <c r="A11" s="5" t="s">
        <v>6</v>
      </c>
      <c r="B11" s="13"/>
      <c r="C11" s="13"/>
    </row>
    <row r="12" spans="1:3" x14ac:dyDescent="0.3">
      <c r="A12" s="5" t="s">
        <v>6</v>
      </c>
      <c r="B12" s="13"/>
      <c r="C12" s="13"/>
    </row>
    <row r="13" spans="1:3" x14ac:dyDescent="0.3">
      <c r="A13" s="5" t="s">
        <v>6</v>
      </c>
      <c r="B13" s="13"/>
      <c r="C13" s="13"/>
    </row>
    <row r="14" spans="1:3" x14ac:dyDescent="0.3">
      <c r="A14" s="5" t="s">
        <v>6</v>
      </c>
      <c r="B14" s="13"/>
      <c r="C14" s="13"/>
    </row>
    <row r="15" spans="1:3" x14ac:dyDescent="0.3">
      <c r="A15" s="5" t="s">
        <v>6</v>
      </c>
      <c r="B15" s="13"/>
      <c r="C15" s="13"/>
    </row>
    <row r="16" spans="1:3" x14ac:dyDescent="0.3">
      <c r="A16" s="5" t="s">
        <v>129</v>
      </c>
      <c r="B16" s="13">
        <v>8054.82</v>
      </c>
      <c r="C16" s="13">
        <v>13016.78</v>
      </c>
    </row>
    <row r="17" spans="1:3" x14ac:dyDescent="0.3">
      <c r="A17" s="5" t="s">
        <v>24</v>
      </c>
      <c r="B17" s="13">
        <v>2917516.88</v>
      </c>
      <c r="C17" s="13">
        <v>9211850.4000000004</v>
      </c>
    </row>
    <row r="18" spans="1:3" x14ac:dyDescent="0.3">
      <c r="A18" s="5" t="s">
        <v>50</v>
      </c>
      <c r="B18" s="13">
        <v>57869066.520000003</v>
      </c>
      <c r="C18" s="13">
        <v>154776137.13999999</v>
      </c>
    </row>
    <row r="19" spans="1:3" x14ac:dyDescent="0.3">
      <c r="A19" s="5" t="s">
        <v>8</v>
      </c>
      <c r="B19" s="13">
        <v>166431353.03</v>
      </c>
      <c r="C19" s="13">
        <v>353465579.54000002</v>
      </c>
    </row>
    <row r="20" spans="1:3" x14ac:dyDescent="0.3">
      <c r="A20" s="5" t="s">
        <v>102</v>
      </c>
      <c r="B20" s="13">
        <v>20483280.93</v>
      </c>
      <c r="C20" s="13">
        <v>38203648.560000002</v>
      </c>
    </row>
    <row r="21" spans="1:3" x14ac:dyDescent="0.3">
      <c r="A21" s="5" t="s">
        <v>73</v>
      </c>
      <c r="B21" s="13">
        <v>579673.30000000005</v>
      </c>
      <c r="C21" s="13">
        <v>17853.830000000002</v>
      </c>
    </row>
    <row r="22" spans="1:3" x14ac:dyDescent="0.3">
      <c r="A22" s="5" t="s">
        <v>127</v>
      </c>
      <c r="B22" s="13">
        <v>27866.27</v>
      </c>
      <c r="C22" s="13">
        <v>38990.639999999999</v>
      </c>
    </row>
    <row r="23" spans="1:3" x14ac:dyDescent="0.3">
      <c r="A23" s="5" t="s">
        <v>137</v>
      </c>
      <c r="B23" s="13">
        <v>7882.77</v>
      </c>
      <c r="C23" s="13">
        <v>14485.38</v>
      </c>
    </row>
    <row r="24" spans="1:3" x14ac:dyDescent="0.3">
      <c r="A24" s="5" t="s">
        <v>70</v>
      </c>
      <c r="B24" s="13">
        <v>172241321.68000001</v>
      </c>
      <c r="C24" s="13">
        <v>218692404.19999999</v>
      </c>
    </row>
    <row r="25" spans="1:3" x14ac:dyDescent="0.3">
      <c r="A25" s="5" t="s">
        <v>74</v>
      </c>
      <c r="B25" s="13">
        <v>19717744.420000002</v>
      </c>
      <c r="C25" s="13">
        <v>28520083.550000001</v>
      </c>
    </row>
    <row r="26" spans="1:3" x14ac:dyDescent="0.3">
      <c r="A26" s="5" t="s">
        <v>11</v>
      </c>
      <c r="B26" s="13">
        <v>63987.81</v>
      </c>
      <c r="C26" s="13">
        <v>108990.2</v>
      </c>
    </row>
    <row r="27" spans="1:3" x14ac:dyDescent="0.3">
      <c r="A27" s="5" t="s">
        <v>148</v>
      </c>
      <c r="B27" s="13">
        <v>2989.7</v>
      </c>
      <c r="C27" s="13">
        <v>2334.2600000000002</v>
      </c>
    </row>
    <row r="28" spans="1:3" x14ac:dyDescent="0.3">
      <c r="A28" s="5" t="s">
        <v>28</v>
      </c>
      <c r="B28" s="13">
        <v>30179754.780000001</v>
      </c>
      <c r="C28" s="13">
        <v>49741746.469999999</v>
      </c>
    </row>
    <row r="29" spans="1:3" x14ac:dyDescent="0.3">
      <c r="A29" s="5" t="s">
        <v>133</v>
      </c>
      <c r="B29" s="13" t="s">
        <v>114</v>
      </c>
      <c r="C29" s="13" t="s">
        <v>114</v>
      </c>
    </row>
    <row r="30" spans="1:3" x14ac:dyDescent="0.3">
      <c r="A30" s="5" t="s">
        <v>29</v>
      </c>
      <c r="B30" s="13">
        <v>360649807.19</v>
      </c>
      <c r="C30" s="13">
        <v>532078245.06</v>
      </c>
    </row>
    <row r="31" spans="1:3" x14ac:dyDescent="0.3">
      <c r="A31" s="5" t="s">
        <v>75</v>
      </c>
      <c r="B31" s="13">
        <v>620912.11</v>
      </c>
      <c r="C31" s="13">
        <v>464093.56</v>
      </c>
    </row>
    <row r="32" spans="1:3" x14ac:dyDescent="0.3">
      <c r="A32" s="5" t="s">
        <v>9</v>
      </c>
      <c r="B32" s="13">
        <v>342950.07</v>
      </c>
      <c r="C32" s="13">
        <v>1742640.31</v>
      </c>
    </row>
    <row r="33" spans="1:3" x14ac:dyDescent="0.3">
      <c r="A33" s="5" t="s">
        <v>30</v>
      </c>
      <c r="B33" s="13">
        <v>793302.25</v>
      </c>
      <c r="C33" s="13">
        <v>209926.09</v>
      </c>
    </row>
    <row r="34" spans="1:3" x14ac:dyDescent="0.3">
      <c r="A34" s="5" t="s">
        <v>34</v>
      </c>
      <c r="B34" s="13">
        <v>167420164.46000001</v>
      </c>
      <c r="C34" s="13">
        <v>269358396.07999998</v>
      </c>
    </row>
    <row r="35" spans="1:3" x14ac:dyDescent="0.3">
      <c r="A35" s="5" t="s">
        <v>52</v>
      </c>
      <c r="B35" s="13">
        <v>363805286.94</v>
      </c>
      <c r="C35" s="13">
        <v>292732917.75</v>
      </c>
    </row>
    <row r="36" spans="1:3" x14ac:dyDescent="0.3">
      <c r="A36" s="5" t="s">
        <v>91</v>
      </c>
      <c r="B36" s="13">
        <v>7661.35</v>
      </c>
      <c r="C36" s="13">
        <v>10405.91</v>
      </c>
    </row>
    <row r="37" spans="1:3" x14ac:dyDescent="0.3">
      <c r="A37" s="5" t="s">
        <v>31</v>
      </c>
      <c r="B37" s="13">
        <v>44130364.18</v>
      </c>
      <c r="C37" s="13">
        <v>91834378.049999997</v>
      </c>
    </row>
    <row r="38" spans="1:3" x14ac:dyDescent="0.3">
      <c r="A38" s="5" t="s">
        <v>110</v>
      </c>
      <c r="B38" s="13">
        <v>567330.96</v>
      </c>
      <c r="C38" s="13">
        <v>1873219.78</v>
      </c>
    </row>
    <row r="39" spans="1:3" x14ac:dyDescent="0.3">
      <c r="A39" s="5" t="s">
        <v>51</v>
      </c>
      <c r="B39" s="13">
        <v>26789891.399999999</v>
      </c>
      <c r="C39" s="13">
        <v>84472171.510000005</v>
      </c>
    </row>
    <row r="40" spans="1:3" x14ac:dyDescent="0.3">
      <c r="A40" s="5" t="s">
        <v>10</v>
      </c>
      <c r="B40" s="13">
        <v>8273150.5700000003</v>
      </c>
      <c r="C40" s="13">
        <v>25530354.699999999</v>
      </c>
    </row>
    <row r="41" spans="1:3" x14ac:dyDescent="0.3">
      <c r="A41" s="5" t="s">
        <v>32</v>
      </c>
      <c r="B41" s="13">
        <v>1175657.06</v>
      </c>
      <c r="C41" s="13">
        <v>1172182.01</v>
      </c>
    </row>
    <row r="42" spans="1:3" x14ac:dyDescent="0.3">
      <c r="A42" s="5" t="s">
        <v>97</v>
      </c>
      <c r="B42" s="13">
        <v>33256.51</v>
      </c>
      <c r="C42" s="13">
        <v>38535.01</v>
      </c>
    </row>
    <row r="43" spans="1:3" x14ac:dyDescent="0.3">
      <c r="A43" s="5" t="s">
        <v>33</v>
      </c>
      <c r="B43" s="13">
        <v>33373983.649999999</v>
      </c>
      <c r="C43" s="13">
        <v>91359505.700000003</v>
      </c>
    </row>
    <row r="44" spans="1:3" x14ac:dyDescent="0.3">
      <c r="A44" s="5" t="s">
        <v>136</v>
      </c>
      <c r="B44" s="13">
        <v>626904.49</v>
      </c>
      <c r="C44" s="13">
        <v>118265.14</v>
      </c>
    </row>
    <row r="45" spans="1:3" x14ac:dyDescent="0.3">
      <c r="A45" s="5" t="s">
        <v>105</v>
      </c>
      <c r="B45" s="13">
        <v>4812336.9800000004</v>
      </c>
      <c r="C45" s="13">
        <v>6575888.0599999996</v>
      </c>
    </row>
    <row r="46" spans="1:3" x14ac:dyDescent="0.3">
      <c r="A46" s="5" t="s">
        <v>76</v>
      </c>
      <c r="B46" s="13">
        <v>29648184.620000001</v>
      </c>
      <c r="C46" s="13">
        <v>66660776.960000001</v>
      </c>
    </row>
    <row r="47" spans="1:3" x14ac:dyDescent="0.3">
      <c r="A47" s="5" t="s">
        <v>121</v>
      </c>
      <c r="B47" s="13">
        <v>70657.960000000006</v>
      </c>
      <c r="C47" s="13">
        <v>124762</v>
      </c>
    </row>
    <row r="48" spans="1:3" x14ac:dyDescent="0.3">
      <c r="A48" s="5" t="s">
        <v>36</v>
      </c>
      <c r="B48" s="13">
        <v>90473115.640000001</v>
      </c>
      <c r="C48" s="13">
        <v>204064852.84</v>
      </c>
    </row>
    <row r="49" spans="1:3" x14ac:dyDescent="0.3">
      <c r="A49" s="5" t="s">
        <v>12</v>
      </c>
      <c r="B49" s="13">
        <v>194260928.94</v>
      </c>
      <c r="C49" s="13">
        <v>374753021.44999999</v>
      </c>
    </row>
    <row r="50" spans="1:3" x14ac:dyDescent="0.3">
      <c r="A50" s="5" t="s">
        <v>37</v>
      </c>
      <c r="B50" s="13">
        <v>122852.62</v>
      </c>
      <c r="C50" s="13">
        <v>153923.21</v>
      </c>
    </row>
    <row r="51" spans="1:3" x14ac:dyDescent="0.3">
      <c r="A51" s="5" t="s">
        <v>64</v>
      </c>
      <c r="B51" s="13">
        <v>20013210.91</v>
      </c>
      <c r="C51" s="13">
        <v>51579770.899999999</v>
      </c>
    </row>
    <row r="52" spans="1:3" x14ac:dyDescent="0.3">
      <c r="A52" s="5" t="s">
        <v>142</v>
      </c>
      <c r="B52" s="13">
        <v>2975668.22</v>
      </c>
      <c r="C52" s="13">
        <v>355668.5</v>
      </c>
    </row>
    <row r="53" spans="1:3" x14ac:dyDescent="0.3">
      <c r="A53" s="5" t="s">
        <v>143</v>
      </c>
      <c r="B53" s="13">
        <v>3446.72</v>
      </c>
      <c r="C53" s="13">
        <v>2429.6799999999998</v>
      </c>
    </row>
    <row r="54" spans="1:3" x14ac:dyDescent="0.3">
      <c r="A54" s="5" t="s">
        <v>77</v>
      </c>
      <c r="B54" s="13">
        <v>198458467.34999999</v>
      </c>
      <c r="C54" s="13">
        <v>428434997.06</v>
      </c>
    </row>
    <row r="55" spans="1:3" x14ac:dyDescent="0.3">
      <c r="A55" s="5" t="s">
        <v>38</v>
      </c>
      <c r="B55" s="13">
        <v>47037596.200000003</v>
      </c>
      <c r="C55" s="13">
        <v>17359573.850000001</v>
      </c>
    </row>
    <row r="56" spans="1:3" x14ac:dyDescent="0.3">
      <c r="A56" s="5" t="s">
        <v>141</v>
      </c>
      <c r="B56" s="13" t="s">
        <v>114</v>
      </c>
      <c r="C56" s="13" t="s">
        <v>114</v>
      </c>
    </row>
    <row r="57" spans="1:3" x14ac:dyDescent="0.3">
      <c r="A57" s="5" t="s">
        <v>122</v>
      </c>
      <c r="B57" s="13" t="s">
        <v>114</v>
      </c>
      <c r="C57" s="13" t="s">
        <v>114</v>
      </c>
    </row>
    <row r="58" spans="1:3" x14ac:dyDescent="0.3">
      <c r="A58" s="5" t="s">
        <v>53</v>
      </c>
      <c r="B58" s="13">
        <v>73994652.680000007</v>
      </c>
      <c r="C58" s="13">
        <v>171557778.81</v>
      </c>
    </row>
    <row r="59" spans="1:3" x14ac:dyDescent="0.3">
      <c r="A59" s="5" t="s">
        <v>78</v>
      </c>
      <c r="B59" s="13">
        <v>5312.01</v>
      </c>
      <c r="C59" s="13">
        <v>4854.6499999999996</v>
      </c>
    </row>
    <row r="60" spans="1:3" x14ac:dyDescent="0.3">
      <c r="A60" s="5" t="s">
        <v>79</v>
      </c>
      <c r="B60" s="13">
        <v>65869266.030000001</v>
      </c>
      <c r="C60" s="13">
        <v>137531987.72</v>
      </c>
    </row>
    <row r="61" spans="1:3" x14ac:dyDescent="0.3">
      <c r="A61" s="5" t="s">
        <v>144</v>
      </c>
      <c r="B61" s="13">
        <v>7070.46</v>
      </c>
      <c r="C61" s="13">
        <v>12240.8</v>
      </c>
    </row>
    <row r="62" spans="1:3" x14ac:dyDescent="0.3">
      <c r="A62" s="5" t="s">
        <v>13</v>
      </c>
      <c r="B62" s="13">
        <v>1845691.59</v>
      </c>
      <c r="C62" s="13">
        <v>7711187.5599999996</v>
      </c>
    </row>
    <row r="63" spans="1:3" x14ac:dyDescent="0.3">
      <c r="A63" s="5" t="s">
        <v>14</v>
      </c>
      <c r="B63" s="13">
        <v>5772003.0499999998</v>
      </c>
      <c r="C63" s="13">
        <v>15724538.75</v>
      </c>
    </row>
    <row r="64" spans="1:3" x14ac:dyDescent="0.3">
      <c r="A64" s="5" t="s">
        <v>80</v>
      </c>
      <c r="B64" s="13">
        <v>36369605.57</v>
      </c>
      <c r="C64" s="13">
        <v>79641934.120000005</v>
      </c>
    </row>
    <row r="65" spans="1:3" x14ac:dyDescent="0.3">
      <c r="A65" s="5" t="s">
        <v>39</v>
      </c>
      <c r="B65" s="13">
        <v>11056368.310000001</v>
      </c>
      <c r="C65" s="13">
        <v>11176938.789999999</v>
      </c>
    </row>
    <row r="66" spans="1:3" x14ac:dyDescent="0.3">
      <c r="A66" s="5" t="s">
        <v>116</v>
      </c>
      <c r="B66" s="13">
        <v>2539434.69</v>
      </c>
      <c r="C66" s="13">
        <v>11416701.58</v>
      </c>
    </row>
    <row r="67" spans="1:3" x14ac:dyDescent="0.3">
      <c r="A67" s="5" t="s">
        <v>135</v>
      </c>
      <c r="B67" s="13">
        <v>244031.42</v>
      </c>
      <c r="C67" s="13">
        <v>175847.36</v>
      </c>
    </row>
    <row r="68" spans="1:3" x14ac:dyDescent="0.3">
      <c r="A68" s="5" t="s">
        <v>123</v>
      </c>
      <c r="B68" s="13">
        <v>77446.399999999994</v>
      </c>
      <c r="C68" s="13">
        <v>173964</v>
      </c>
    </row>
    <row r="69" spans="1:3" x14ac:dyDescent="0.3">
      <c r="A69" s="5" t="s">
        <v>40</v>
      </c>
      <c r="B69" s="13">
        <v>474774.68</v>
      </c>
      <c r="C69" s="13">
        <v>290750.98</v>
      </c>
    </row>
    <row r="70" spans="1:3" x14ac:dyDescent="0.3">
      <c r="A70" s="5" t="s">
        <v>69</v>
      </c>
      <c r="B70" s="13">
        <v>4944187.88</v>
      </c>
      <c r="C70" s="13">
        <v>3407208.92</v>
      </c>
    </row>
    <row r="71" spans="1:3" x14ac:dyDescent="0.3">
      <c r="A71" s="5" t="s">
        <v>81</v>
      </c>
      <c r="B71" s="13">
        <v>36882.71</v>
      </c>
      <c r="C71" s="13">
        <v>29102.98</v>
      </c>
    </row>
    <row r="72" spans="1:3" x14ac:dyDescent="0.3">
      <c r="A72" s="5" t="s">
        <v>55</v>
      </c>
      <c r="B72" s="13">
        <v>617799384.28999996</v>
      </c>
      <c r="C72" s="13">
        <v>624657904.09000003</v>
      </c>
    </row>
    <row r="73" spans="1:3" x14ac:dyDescent="0.3">
      <c r="A73" s="5" t="s">
        <v>56</v>
      </c>
      <c r="B73" s="13">
        <v>336919180.56</v>
      </c>
      <c r="C73" s="13">
        <v>760912088.15999997</v>
      </c>
    </row>
    <row r="74" spans="1:3" x14ac:dyDescent="0.3">
      <c r="A74" s="5" t="s">
        <v>113</v>
      </c>
      <c r="B74" s="13">
        <v>136841675.00999999</v>
      </c>
      <c r="C74" s="13">
        <v>204263020</v>
      </c>
    </row>
    <row r="75" spans="1:3" x14ac:dyDescent="0.3">
      <c r="A75" s="5" t="s">
        <v>138</v>
      </c>
      <c r="B75" s="13">
        <v>75250303.239999995</v>
      </c>
      <c r="C75" s="13">
        <v>133176696.59</v>
      </c>
    </row>
    <row r="76" spans="1:3" x14ac:dyDescent="0.3">
      <c r="A76" s="5" t="s">
        <v>82</v>
      </c>
      <c r="B76" s="13">
        <v>34358279.07</v>
      </c>
      <c r="C76" s="13">
        <v>125757843.25</v>
      </c>
    </row>
    <row r="77" spans="1:3" x14ac:dyDescent="0.3">
      <c r="A77" s="5" t="s">
        <v>57</v>
      </c>
      <c r="B77" s="13">
        <v>51685524.990000002</v>
      </c>
      <c r="C77" s="13">
        <v>70649114.629999995</v>
      </c>
    </row>
    <row r="78" spans="1:3" x14ac:dyDescent="0.3">
      <c r="A78" s="5" t="s">
        <v>83</v>
      </c>
      <c r="B78" s="13">
        <v>110385441.34</v>
      </c>
      <c r="C78" s="13">
        <v>239892148.28</v>
      </c>
    </row>
    <row r="79" spans="1:3" x14ac:dyDescent="0.3">
      <c r="A79" s="5" t="s">
        <v>58</v>
      </c>
      <c r="B79" s="13">
        <v>5313182.4400000004</v>
      </c>
      <c r="C79" s="13">
        <v>7809901.3300000001</v>
      </c>
    </row>
    <row r="80" spans="1:3" x14ac:dyDescent="0.3">
      <c r="A80" s="5" t="s">
        <v>59</v>
      </c>
      <c r="B80" s="13">
        <v>31438408.379999999</v>
      </c>
      <c r="C80" s="13">
        <v>78084164.540000007</v>
      </c>
    </row>
    <row r="81" spans="1:3" x14ac:dyDescent="0.3">
      <c r="A81" s="5" t="s">
        <v>128</v>
      </c>
      <c r="B81" s="13">
        <v>910.79</v>
      </c>
      <c r="C81" s="13">
        <v>43.69</v>
      </c>
    </row>
    <row r="82" spans="1:3" x14ac:dyDescent="0.3">
      <c r="A82" s="5" t="s">
        <v>15</v>
      </c>
      <c r="B82" s="13">
        <v>6433564.1200000001</v>
      </c>
      <c r="C82" s="13">
        <v>26960736.620000001</v>
      </c>
    </row>
    <row r="83" spans="1:3" x14ac:dyDescent="0.3">
      <c r="A83" s="5" t="s">
        <v>60</v>
      </c>
      <c r="B83" s="13">
        <v>828160.79</v>
      </c>
      <c r="C83" s="13">
        <v>4756222.24</v>
      </c>
    </row>
    <row r="84" spans="1:3" x14ac:dyDescent="0.3">
      <c r="A84" s="5" t="s">
        <v>131</v>
      </c>
      <c r="B84" s="13">
        <v>3357.17</v>
      </c>
      <c r="C84" s="13">
        <v>2426.6</v>
      </c>
    </row>
    <row r="85" spans="1:3" x14ac:dyDescent="0.3">
      <c r="A85" s="5" t="s">
        <v>61</v>
      </c>
      <c r="B85" s="13">
        <v>3412291.1</v>
      </c>
      <c r="C85" s="13">
        <v>7079132.5499999998</v>
      </c>
    </row>
    <row r="86" spans="1:3" x14ac:dyDescent="0.3">
      <c r="A86" s="5" t="s">
        <v>117</v>
      </c>
      <c r="B86" s="13">
        <v>251613.38</v>
      </c>
      <c r="C86" s="13">
        <v>1065491.74</v>
      </c>
    </row>
    <row r="87" spans="1:3" x14ac:dyDescent="0.3">
      <c r="A87" s="5" t="s">
        <v>16</v>
      </c>
      <c r="B87" s="13">
        <v>38751.089999999997</v>
      </c>
      <c r="C87" s="13">
        <v>58126.87</v>
      </c>
    </row>
    <row r="88" spans="1:3" x14ac:dyDescent="0.3">
      <c r="A88" s="5" t="s">
        <v>94</v>
      </c>
      <c r="B88" s="13">
        <v>43950.32</v>
      </c>
      <c r="C88" s="13">
        <v>64108.51</v>
      </c>
    </row>
    <row r="89" spans="1:3" x14ac:dyDescent="0.3">
      <c r="A89" s="5" t="s">
        <v>98</v>
      </c>
      <c r="B89" s="13">
        <v>22418.37</v>
      </c>
      <c r="C89" s="13">
        <v>26103.82</v>
      </c>
    </row>
    <row r="90" spans="1:3" x14ac:dyDescent="0.3">
      <c r="A90" s="5" t="s">
        <v>62</v>
      </c>
      <c r="B90" s="13">
        <v>175540251.94999999</v>
      </c>
      <c r="C90" s="13">
        <v>455461428.43000001</v>
      </c>
    </row>
    <row r="91" spans="1:3" x14ac:dyDescent="0.3">
      <c r="A91" s="5" t="s">
        <v>145</v>
      </c>
      <c r="B91" s="13" t="s">
        <v>114</v>
      </c>
      <c r="C91" s="13" t="s">
        <v>114</v>
      </c>
    </row>
    <row r="92" spans="1:3" x14ac:dyDescent="0.3">
      <c r="A92" s="5" t="s">
        <v>17</v>
      </c>
      <c r="B92" s="13">
        <v>452974.84</v>
      </c>
      <c r="C92" s="13">
        <v>2051246.16</v>
      </c>
    </row>
    <row r="93" spans="1:3" x14ac:dyDescent="0.3">
      <c r="A93" s="5" t="s">
        <v>140</v>
      </c>
      <c r="B93" s="13">
        <v>489.37</v>
      </c>
      <c r="C93" s="13">
        <v>307.14999999999998</v>
      </c>
    </row>
    <row r="94" spans="1:3" x14ac:dyDescent="0.3">
      <c r="A94" s="5" t="s">
        <v>18</v>
      </c>
      <c r="B94" s="13">
        <v>50038715.109999999</v>
      </c>
      <c r="C94" s="13">
        <v>181977930.30000001</v>
      </c>
    </row>
    <row r="95" spans="1:3" x14ac:dyDescent="0.3">
      <c r="A95" s="5" t="s">
        <v>19</v>
      </c>
      <c r="B95" s="13">
        <v>1428006.58</v>
      </c>
      <c r="C95" s="13">
        <v>6272855.04</v>
      </c>
    </row>
    <row r="96" spans="1:3" x14ac:dyDescent="0.3">
      <c r="A96" s="5" t="s">
        <v>118</v>
      </c>
      <c r="B96" s="13">
        <v>3835697.46</v>
      </c>
      <c r="C96" s="13">
        <v>15829677.6</v>
      </c>
    </row>
    <row r="97" spans="1:3" x14ac:dyDescent="0.3">
      <c r="A97" s="5" t="s">
        <v>41</v>
      </c>
      <c r="B97" s="13">
        <v>16226659.17</v>
      </c>
      <c r="C97" s="13">
        <v>13669492.91</v>
      </c>
    </row>
    <row r="98" spans="1:3" x14ac:dyDescent="0.3">
      <c r="A98" s="5" t="s">
        <v>132</v>
      </c>
      <c r="B98" s="13">
        <v>5459.39</v>
      </c>
      <c r="C98" s="13">
        <v>3937.9</v>
      </c>
    </row>
    <row r="99" spans="1:3" x14ac:dyDescent="0.3">
      <c r="A99" s="5" t="s">
        <v>111</v>
      </c>
      <c r="B99" s="13">
        <v>5205.87</v>
      </c>
      <c r="C99" s="13">
        <v>3647.59</v>
      </c>
    </row>
    <row r="100" spans="1:3" x14ac:dyDescent="0.3">
      <c r="A100" s="5" t="s">
        <v>25</v>
      </c>
      <c r="B100" s="13">
        <v>24335396.600000001</v>
      </c>
      <c r="C100" s="13">
        <v>26155626</v>
      </c>
    </row>
    <row r="101" spans="1:3" x14ac:dyDescent="0.3">
      <c r="A101" s="5" t="s">
        <v>146</v>
      </c>
      <c r="B101" s="13" t="s">
        <v>114</v>
      </c>
      <c r="C101" s="13" t="s">
        <v>114</v>
      </c>
    </row>
    <row r="102" spans="1:3" x14ac:dyDescent="0.3">
      <c r="A102" s="5" t="s">
        <v>63</v>
      </c>
      <c r="B102" s="13">
        <v>197170.33</v>
      </c>
      <c r="C102" s="13">
        <v>354891.39</v>
      </c>
    </row>
    <row r="103" spans="1:3" x14ac:dyDescent="0.3">
      <c r="A103" s="5" t="s">
        <v>42</v>
      </c>
      <c r="B103" s="13">
        <v>847201.8</v>
      </c>
      <c r="C103" s="13">
        <v>133780.48000000001</v>
      </c>
    </row>
    <row r="104" spans="1:3" x14ac:dyDescent="0.3">
      <c r="A104" s="5" t="s">
        <v>134</v>
      </c>
      <c r="B104" s="13">
        <v>24174.87</v>
      </c>
      <c r="C104" s="13">
        <v>42430.85</v>
      </c>
    </row>
    <row r="105" spans="1:3" x14ac:dyDescent="0.3">
      <c r="A105" s="5" t="s">
        <v>20</v>
      </c>
      <c r="B105" s="13">
        <v>10520095.960000001</v>
      </c>
      <c r="C105" s="13">
        <v>41476105.170000002</v>
      </c>
    </row>
    <row r="106" spans="1:3" x14ac:dyDescent="0.3">
      <c r="A106" s="5" t="s">
        <v>84</v>
      </c>
      <c r="B106" s="13">
        <v>48151.7</v>
      </c>
      <c r="C106" s="13">
        <v>27820.46</v>
      </c>
    </row>
    <row r="107" spans="1:3" x14ac:dyDescent="0.3">
      <c r="A107" s="5" t="s">
        <v>103</v>
      </c>
      <c r="B107" s="13">
        <v>107760.53</v>
      </c>
      <c r="C107" s="13">
        <v>71398.990000000005</v>
      </c>
    </row>
    <row r="108" spans="1:3" x14ac:dyDescent="0.3">
      <c r="A108" s="5" t="s">
        <v>126</v>
      </c>
      <c r="B108" s="13">
        <v>11728546.9</v>
      </c>
      <c r="C108" s="13">
        <v>20204970.98</v>
      </c>
    </row>
    <row r="109" spans="1:3" x14ac:dyDescent="0.3">
      <c r="A109" s="5" t="s">
        <v>85</v>
      </c>
      <c r="B109" s="13">
        <v>226083323.78</v>
      </c>
      <c r="C109" s="13">
        <v>309731925.92000002</v>
      </c>
    </row>
    <row r="110" spans="1:3" x14ac:dyDescent="0.3">
      <c r="A110" s="5" t="s">
        <v>43</v>
      </c>
      <c r="B110" s="13">
        <v>2424708.04</v>
      </c>
      <c r="C110" s="13">
        <v>1268946.94</v>
      </c>
    </row>
    <row r="111" spans="1:3" x14ac:dyDescent="0.3">
      <c r="A111" s="5" t="s">
        <v>65</v>
      </c>
      <c r="B111" s="13">
        <v>6970573.3200000003</v>
      </c>
      <c r="C111" s="13">
        <v>13750472.35</v>
      </c>
    </row>
    <row r="112" spans="1:3" x14ac:dyDescent="0.3">
      <c r="A112" s="5" t="s">
        <v>44</v>
      </c>
      <c r="B112" s="13">
        <v>44434498.390000001</v>
      </c>
      <c r="C112" s="13">
        <v>46790537.280000001</v>
      </c>
    </row>
    <row r="113" spans="1:3" x14ac:dyDescent="0.3">
      <c r="A113" s="5" t="s">
        <v>45</v>
      </c>
      <c r="B113" s="13">
        <v>116692215.15000001</v>
      </c>
      <c r="C113" s="13">
        <v>198012358.27000001</v>
      </c>
    </row>
    <row r="114" spans="1:3" x14ac:dyDescent="0.3">
      <c r="A114" s="5" t="s">
        <v>86</v>
      </c>
      <c r="B114" s="13">
        <v>153534571.47999999</v>
      </c>
      <c r="C114" s="13">
        <v>325601052.10000002</v>
      </c>
    </row>
    <row r="115" spans="1:3" x14ac:dyDescent="0.3">
      <c r="A115" s="5" t="s">
        <v>87</v>
      </c>
      <c r="B115" s="13">
        <v>1980759.95</v>
      </c>
      <c r="C115" s="13">
        <v>2806439.68</v>
      </c>
    </row>
    <row r="116" spans="1:3" x14ac:dyDescent="0.3">
      <c r="A116" s="5" t="s">
        <v>124</v>
      </c>
      <c r="B116" s="13">
        <v>3038549.27</v>
      </c>
      <c r="C116" s="13">
        <v>8765375.2799999993</v>
      </c>
    </row>
    <row r="117" spans="1:3" x14ac:dyDescent="0.3">
      <c r="A117" s="5" t="s">
        <v>125</v>
      </c>
      <c r="B117" s="13">
        <v>1128505.06</v>
      </c>
      <c r="C117" s="13">
        <v>2371110.11</v>
      </c>
    </row>
    <row r="118" spans="1:3" x14ac:dyDescent="0.3">
      <c r="A118" s="5" t="s">
        <v>88</v>
      </c>
      <c r="B118" s="13">
        <v>127731420.62</v>
      </c>
      <c r="C118" s="13">
        <v>301650269.44</v>
      </c>
    </row>
    <row r="119" spans="1:3" x14ac:dyDescent="0.3">
      <c r="A119" s="5" t="s">
        <v>115</v>
      </c>
      <c r="B119" s="13" t="s">
        <v>114</v>
      </c>
      <c r="C119" s="13" t="s">
        <v>114</v>
      </c>
    </row>
    <row r="120" spans="1:3" x14ac:dyDescent="0.3">
      <c r="A120" s="5" t="s">
        <v>99</v>
      </c>
      <c r="B120" s="13">
        <v>1317478.19</v>
      </c>
      <c r="C120" s="13">
        <v>127532.55</v>
      </c>
    </row>
    <row r="121" spans="1:3" x14ac:dyDescent="0.3">
      <c r="A121" s="5" t="s">
        <v>71</v>
      </c>
      <c r="B121" s="13">
        <v>4943469.34</v>
      </c>
      <c r="C121" s="13">
        <v>27345344.039999999</v>
      </c>
    </row>
    <row r="122" spans="1:3" x14ac:dyDescent="0.3">
      <c r="A122" s="5" t="s">
        <v>35</v>
      </c>
      <c r="B122" s="13">
        <v>24768622.41</v>
      </c>
      <c r="C122" s="13">
        <v>23535526.550000001</v>
      </c>
    </row>
    <row r="123" spans="1:3" x14ac:dyDescent="0.3">
      <c r="A123" s="5" t="s">
        <v>93</v>
      </c>
      <c r="B123" s="13">
        <v>26457467.890000001</v>
      </c>
      <c r="C123" s="13">
        <v>2904803.98</v>
      </c>
    </row>
    <row r="124" spans="1:3" x14ac:dyDescent="0.3">
      <c r="A124" s="5" t="s">
        <v>89</v>
      </c>
      <c r="B124" s="13">
        <v>5872127.1799999997</v>
      </c>
      <c r="C124" s="13">
        <v>10062325.529999999</v>
      </c>
    </row>
    <row r="125" spans="1:3" x14ac:dyDescent="0.3">
      <c r="A125" s="5" t="s">
        <v>95</v>
      </c>
      <c r="B125" s="13">
        <v>28234012.449999999</v>
      </c>
      <c r="C125" s="13">
        <v>12730890.9</v>
      </c>
    </row>
    <row r="126" spans="1:3" x14ac:dyDescent="0.3">
      <c r="A126" s="5" t="s">
        <v>21</v>
      </c>
      <c r="B126" s="13">
        <v>10471557.390000001</v>
      </c>
      <c r="C126" s="13">
        <v>34972862.359999999</v>
      </c>
    </row>
    <row r="127" spans="1:3" x14ac:dyDescent="0.3">
      <c r="A127" s="5" t="s">
        <v>100</v>
      </c>
      <c r="B127" s="13">
        <v>12088.81</v>
      </c>
      <c r="C127" s="13">
        <v>8467.74</v>
      </c>
    </row>
    <row r="128" spans="1:3" x14ac:dyDescent="0.3">
      <c r="A128" s="5" t="s">
        <v>119</v>
      </c>
      <c r="B128" s="13">
        <v>38299.21</v>
      </c>
      <c r="C128" s="13">
        <v>67336.17</v>
      </c>
    </row>
    <row r="129" spans="1:3" x14ac:dyDescent="0.3">
      <c r="A129" s="5" t="s">
        <v>106</v>
      </c>
      <c r="B129" s="13">
        <v>117041622.51000001</v>
      </c>
      <c r="C129" s="13">
        <v>245617488.91999999</v>
      </c>
    </row>
    <row r="130" spans="1:3" x14ac:dyDescent="0.3">
      <c r="A130" s="5" t="s">
        <v>66</v>
      </c>
      <c r="B130" s="13">
        <v>119635.76</v>
      </c>
      <c r="C130" s="13">
        <v>169308.43</v>
      </c>
    </row>
    <row r="131" spans="1:3" x14ac:dyDescent="0.3">
      <c r="A131" s="5" t="s">
        <v>139</v>
      </c>
      <c r="B131" s="13" t="s">
        <v>114</v>
      </c>
      <c r="C131" s="13" t="s">
        <v>114</v>
      </c>
    </row>
    <row r="132" spans="1:3" x14ac:dyDescent="0.3">
      <c r="A132" s="5" t="s">
        <v>147</v>
      </c>
      <c r="B132" s="13">
        <v>54130.76</v>
      </c>
      <c r="C132" s="13">
        <v>98380</v>
      </c>
    </row>
    <row r="133" spans="1:3" x14ac:dyDescent="0.3">
      <c r="A133" s="5" t="s">
        <v>26</v>
      </c>
      <c r="B133" s="13">
        <v>106421594.31</v>
      </c>
      <c r="C133" s="13">
        <v>219318201.21000001</v>
      </c>
    </row>
    <row r="134" spans="1:3" x14ac:dyDescent="0.3">
      <c r="A134" s="5" t="s">
        <v>90</v>
      </c>
      <c r="B134" s="13">
        <v>3989.13</v>
      </c>
      <c r="C134" s="13">
        <v>3089.5</v>
      </c>
    </row>
    <row r="135" spans="1:3" x14ac:dyDescent="0.3">
      <c r="A135" s="5" t="s">
        <v>130</v>
      </c>
      <c r="B135" s="13">
        <v>534703.71</v>
      </c>
      <c r="C135" s="13">
        <v>227696.67</v>
      </c>
    </row>
    <row r="136" spans="1:3" x14ac:dyDescent="0.3">
      <c r="A136" s="5" t="s">
        <v>67</v>
      </c>
      <c r="B136" s="13">
        <v>75703289.760000005</v>
      </c>
      <c r="C136" s="13">
        <v>142560969.09999999</v>
      </c>
    </row>
    <row r="137" spans="1:3" x14ac:dyDescent="0.3">
      <c r="A137" s="5" t="s">
        <v>54</v>
      </c>
      <c r="B137" s="13">
        <v>9153531.1099999994</v>
      </c>
      <c r="C137" s="13">
        <v>17025992.41</v>
      </c>
    </row>
    <row r="138" spans="1:3" x14ac:dyDescent="0.3">
      <c r="A138" s="5" t="s">
        <v>22</v>
      </c>
      <c r="B138" s="13">
        <v>2880526.43</v>
      </c>
      <c r="C138" s="13">
        <v>12484527.439999999</v>
      </c>
    </row>
    <row r="139" spans="1:3" x14ac:dyDescent="0.3">
      <c r="A139" s="5" t="s">
        <v>249</v>
      </c>
      <c r="B139" s="13">
        <v>14792.21</v>
      </c>
      <c r="C139" s="13">
        <v>19658.37</v>
      </c>
    </row>
    <row r="140" spans="1:3" x14ac:dyDescent="0.3">
      <c r="A140" s="5" t="s">
        <v>120</v>
      </c>
      <c r="B140" s="13">
        <v>3399420.15</v>
      </c>
      <c r="C140" s="13">
        <v>14774979.32</v>
      </c>
    </row>
    <row r="141" spans="1:3" x14ac:dyDescent="0.3">
      <c r="A141" s="5" t="s">
        <v>92</v>
      </c>
      <c r="B141" s="13">
        <v>10405438.289999999</v>
      </c>
      <c r="C141" s="13">
        <v>24089745.370000001</v>
      </c>
    </row>
    <row r="142" spans="1:3" x14ac:dyDescent="0.3">
      <c r="A142" s="5" t="s">
        <v>96</v>
      </c>
      <c r="B142" s="13">
        <v>80900.94</v>
      </c>
      <c r="C142" s="13">
        <v>15314.76</v>
      </c>
    </row>
    <row r="143" spans="1:3" x14ac:dyDescent="0.3">
      <c r="A143" s="5" t="s">
        <v>23</v>
      </c>
      <c r="B143" s="13">
        <v>5434287.5999999996</v>
      </c>
      <c r="C143" s="13">
        <v>22885797.050000001</v>
      </c>
    </row>
    <row r="144" spans="1:3" x14ac:dyDescent="0.3">
      <c r="A144" s="5" t="s">
        <v>47</v>
      </c>
      <c r="B144" s="13">
        <v>45879550.82</v>
      </c>
      <c r="C144" s="13">
        <v>88179502.849999994</v>
      </c>
    </row>
    <row r="145" spans="1:3" x14ac:dyDescent="0.3">
      <c r="A145" s="5" t="s">
        <v>48</v>
      </c>
      <c r="B145" s="13">
        <v>15102631.710000001</v>
      </c>
      <c r="C145" s="13">
        <v>27139124.280000001</v>
      </c>
    </row>
    <row r="146" spans="1:3" x14ac:dyDescent="0.3">
      <c r="A146" s="5" t="s">
        <v>68</v>
      </c>
      <c r="B146" s="13">
        <v>516699956.07999998</v>
      </c>
      <c r="C146" s="13">
        <v>1264853053.02</v>
      </c>
    </row>
    <row r="147" spans="1:3" x14ac:dyDescent="0.3">
      <c r="A147" s="5" t="s">
        <v>27</v>
      </c>
      <c r="B147" s="13">
        <v>1057265552.3</v>
      </c>
      <c r="C147" s="13">
        <v>1676782798.8399999</v>
      </c>
    </row>
    <row r="148" spans="1:3" x14ac:dyDescent="0.3">
      <c r="A148" s="5" t="s">
        <v>49</v>
      </c>
      <c r="B148" s="13">
        <v>2781421449.0100002</v>
      </c>
      <c r="C148" s="13">
        <v>4812856073.3299999</v>
      </c>
    </row>
    <row r="149" spans="1:3" x14ac:dyDescent="0.3">
      <c r="A149" s="5" t="s">
        <v>104</v>
      </c>
      <c r="B149" s="13">
        <v>121853959.48999999</v>
      </c>
      <c r="C149" s="13">
        <v>252193376.97999999</v>
      </c>
    </row>
    <row r="150" spans="1:3" x14ac:dyDescent="0.3">
      <c r="A150" s="5" t="s">
        <v>72</v>
      </c>
      <c r="B150" s="13">
        <v>1081458160.46</v>
      </c>
      <c r="C150" s="13">
        <v>2097465972.27</v>
      </c>
    </row>
    <row r="151" spans="1:3" x14ac:dyDescent="0.3">
      <c r="A151" s="5" t="s">
        <v>101</v>
      </c>
      <c r="B151" s="13">
        <v>20591041.460000001</v>
      </c>
      <c r="C151" s="13">
        <v>38275047.549999997</v>
      </c>
    </row>
    <row r="152" spans="1:3" ht="24" customHeight="1" x14ac:dyDescent="0.3">
      <c r="A152" s="17" t="s">
        <v>107</v>
      </c>
      <c r="B152" s="17"/>
      <c r="C152" s="17"/>
    </row>
    <row r="153" spans="1:3" x14ac:dyDescent="0.3">
      <c r="A153" s="10" t="s">
        <v>108</v>
      </c>
      <c r="B153" s="11"/>
      <c r="C153" s="11"/>
    </row>
    <row r="154" spans="1:3" x14ac:dyDescent="0.3">
      <c r="A154" s="12" t="s">
        <v>112</v>
      </c>
      <c r="B154" s="11"/>
      <c r="C154" s="11"/>
    </row>
    <row r="155" spans="1:3" x14ac:dyDescent="0.3">
      <c r="A155" s="10" t="s">
        <v>109</v>
      </c>
      <c r="B155" s="11"/>
      <c r="C155" s="11"/>
    </row>
  </sheetData>
  <sortState xmlns:xlrd2="http://schemas.microsoft.com/office/spreadsheetml/2017/richdata2" ref="A11:C151">
    <sortCondition ref="A10:A151"/>
  </sortState>
  <mergeCells count="3">
    <mergeCell ref="A1:C2"/>
    <mergeCell ref="B4:C4"/>
    <mergeCell ref="A152:C15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F9EC2-5882-4A94-A0EC-9B88EE90908A}">
  <dimension ref="A1:K157"/>
  <sheetViews>
    <sheetView tabSelected="1" topLeftCell="A22" workbookViewId="0">
      <selection activeCell="F41" sqref="F41"/>
    </sheetView>
  </sheetViews>
  <sheetFormatPr baseColWidth="10" defaultColWidth="11.44140625" defaultRowHeight="14.4" x14ac:dyDescent="0.3"/>
  <cols>
    <col min="1" max="1" width="45.88671875" style="1" customWidth="1"/>
    <col min="2" max="2" width="18.33203125" style="1" bestFit="1" customWidth="1"/>
    <col min="3" max="3" width="18.44140625" style="1" bestFit="1" customWidth="1"/>
    <col min="4" max="5" width="14.88671875" style="1" bestFit="1" customWidth="1"/>
    <col min="6" max="6" width="17.33203125" style="1" bestFit="1" customWidth="1"/>
    <col min="7" max="7" width="11.44140625" style="1"/>
    <col min="8" max="8" width="45.88671875" style="1" customWidth="1"/>
    <col min="9" max="16384" width="11.44140625" style="1"/>
  </cols>
  <sheetData>
    <row r="1" spans="1:8" x14ac:dyDescent="0.3">
      <c r="A1" s="14" t="s">
        <v>180</v>
      </c>
      <c r="B1" s="14"/>
      <c r="C1" s="14"/>
    </row>
    <row r="2" spans="1:8" x14ac:dyDescent="0.3">
      <c r="A2" s="14"/>
      <c r="B2" s="14"/>
      <c r="C2" s="14"/>
    </row>
    <row r="3" spans="1:8" s="2" customFormat="1" ht="13.2" x14ac:dyDescent="0.25"/>
    <row r="4" spans="1:8" s="3" customFormat="1" ht="13.2" x14ac:dyDescent="0.25">
      <c r="A4" s="6"/>
      <c r="B4" s="15" t="s">
        <v>169</v>
      </c>
      <c r="C4" s="16"/>
      <c r="H4" s="6"/>
    </row>
    <row r="5" spans="1:8" s="3" customFormat="1" ht="13.2" x14ac:dyDescent="0.25">
      <c r="A5" s="4" t="s">
        <v>2</v>
      </c>
      <c r="B5" s="7" t="s">
        <v>4</v>
      </c>
      <c r="C5" s="7" t="s">
        <v>3</v>
      </c>
      <c r="H5" s="4" t="s">
        <v>2</v>
      </c>
    </row>
    <row r="6" spans="1:8" s="3" customFormat="1" ht="13.2" x14ac:dyDescent="0.25">
      <c r="A6" s="8"/>
      <c r="B6" s="9" t="s">
        <v>0</v>
      </c>
      <c r="C6" s="9" t="s">
        <v>1</v>
      </c>
      <c r="H6" s="8"/>
    </row>
    <row r="7" spans="1:8" x14ac:dyDescent="0.3">
      <c r="E7" s="18"/>
    </row>
    <row r="8" spans="1:8" x14ac:dyDescent="0.3">
      <c r="A8" s="5" t="s">
        <v>5</v>
      </c>
      <c r="B8" s="13">
        <v>7353563269.0299997</v>
      </c>
      <c r="C8" s="13">
        <v>13224773666.68</v>
      </c>
      <c r="D8" s="13"/>
      <c r="E8" s="18">
        <f>+B8-'Ene-Abr 2021_Destino'!B8</f>
        <v>1681876355.1999998</v>
      </c>
      <c r="H8" s="5" t="s">
        <v>5</v>
      </c>
    </row>
    <row r="9" spans="1:8" x14ac:dyDescent="0.3">
      <c r="A9" s="5" t="s">
        <v>6</v>
      </c>
      <c r="B9" s="13"/>
      <c r="C9" s="13"/>
      <c r="D9" s="18"/>
      <c r="E9" s="18"/>
      <c r="H9" s="5" t="s">
        <v>6</v>
      </c>
    </row>
    <row r="10" spans="1:8" x14ac:dyDescent="0.3">
      <c r="A10" s="5" t="s">
        <v>6</v>
      </c>
      <c r="B10" s="13"/>
      <c r="C10" s="13"/>
      <c r="D10" s="18"/>
      <c r="E10" s="18"/>
      <c r="H10" s="5" t="s">
        <v>6</v>
      </c>
    </row>
    <row r="11" spans="1:8" x14ac:dyDescent="0.3">
      <c r="A11" s="5" t="s">
        <v>6</v>
      </c>
      <c r="B11" s="13"/>
      <c r="C11" s="13"/>
      <c r="D11" s="18"/>
      <c r="E11" s="18"/>
      <c r="H11" s="5" t="s">
        <v>6</v>
      </c>
    </row>
    <row r="12" spans="1:8" x14ac:dyDescent="0.3">
      <c r="A12" s="5" t="s">
        <v>6</v>
      </c>
      <c r="B12" s="13"/>
      <c r="C12" s="13"/>
      <c r="D12" s="18"/>
      <c r="E12" s="18"/>
      <c r="H12" s="5" t="s">
        <v>6</v>
      </c>
    </row>
    <row r="13" spans="1:8" x14ac:dyDescent="0.3">
      <c r="A13" s="5" t="s">
        <v>6</v>
      </c>
      <c r="B13" s="13"/>
      <c r="C13" s="13"/>
      <c r="D13" s="18"/>
      <c r="E13" s="18"/>
      <c r="H13" s="5" t="s">
        <v>6</v>
      </c>
    </row>
    <row r="14" spans="1:8" x14ac:dyDescent="0.3">
      <c r="A14" s="5" t="s">
        <v>6</v>
      </c>
      <c r="B14" s="13"/>
      <c r="C14" s="13"/>
      <c r="D14" s="18"/>
      <c r="E14" s="18"/>
      <c r="H14" s="5" t="s">
        <v>6</v>
      </c>
    </row>
    <row r="15" spans="1:8" x14ac:dyDescent="0.3">
      <c r="A15" s="5" t="s">
        <v>133</v>
      </c>
      <c r="B15" s="13" t="s">
        <v>114</v>
      </c>
      <c r="C15" s="13" t="s">
        <v>114</v>
      </c>
      <c r="D15" s="18" t="b">
        <f>+A15='Ene-Abr 2021_Destino'!A29</f>
        <v>1</v>
      </c>
      <c r="E15" s="18" t="e">
        <f>+B15-'Ene-Abr 2021_Destino'!B29</f>
        <v>#VALUE!</v>
      </c>
      <c r="F15" s="19" t="e">
        <f>+E15/$E$8</f>
        <v>#VALUE!</v>
      </c>
      <c r="H15" s="5" t="s">
        <v>250</v>
      </c>
    </row>
    <row r="16" spans="1:8" x14ac:dyDescent="0.3">
      <c r="A16" s="5" t="s">
        <v>141</v>
      </c>
      <c r="B16" s="13" t="s">
        <v>114</v>
      </c>
      <c r="C16" s="13" t="s">
        <v>114</v>
      </c>
      <c r="D16" s="18" t="b">
        <f>+A16='Ene-Abr 2021_Destino'!A56</f>
        <v>1</v>
      </c>
      <c r="E16" s="18" t="e">
        <f>+B16-'Ene-Abr 2021_Destino'!B56</f>
        <v>#VALUE!</v>
      </c>
      <c r="F16" s="19" t="e">
        <f>+E16/$E$8</f>
        <v>#VALUE!</v>
      </c>
      <c r="H16" s="5" t="s">
        <v>251</v>
      </c>
    </row>
    <row r="17" spans="1:11" x14ac:dyDescent="0.3">
      <c r="A17" s="5" t="s">
        <v>122</v>
      </c>
      <c r="B17" s="13" t="s">
        <v>114</v>
      </c>
      <c r="C17" s="13" t="s">
        <v>114</v>
      </c>
      <c r="D17" s="18" t="b">
        <f>+A17='Ene-Abr 2021_Destino'!A57</f>
        <v>1</v>
      </c>
      <c r="E17" s="18" t="e">
        <f>+B17-'Ene-Abr 2021_Destino'!B57</f>
        <v>#VALUE!</v>
      </c>
      <c r="F17" s="19" t="e">
        <f>+E17/$E$8</f>
        <v>#VALUE!</v>
      </c>
      <c r="H17" s="5" t="s">
        <v>252</v>
      </c>
    </row>
    <row r="18" spans="1:11" x14ac:dyDescent="0.3">
      <c r="A18" s="5" t="s">
        <v>145</v>
      </c>
      <c r="B18" s="13" t="s">
        <v>114</v>
      </c>
      <c r="C18" s="13" t="s">
        <v>114</v>
      </c>
      <c r="D18" s="18" t="b">
        <f>+A18='Ene-Abr 2021_Destino'!A91</f>
        <v>1</v>
      </c>
      <c r="E18" s="18" t="e">
        <f>+B18-'Ene-Abr 2021_Destino'!B91</f>
        <v>#VALUE!</v>
      </c>
      <c r="F18" s="19" t="e">
        <f>+E18/$E$8</f>
        <v>#VALUE!</v>
      </c>
      <c r="H18" s="5" t="s">
        <v>253</v>
      </c>
    </row>
    <row r="19" spans="1:11" x14ac:dyDescent="0.3">
      <c r="A19" s="5" t="s">
        <v>146</v>
      </c>
      <c r="B19" s="13" t="s">
        <v>114</v>
      </c>
      <c r="C19" s="13" t="s">
        <v>114</v>
      </c>
      <c r="D19" s="18" t="b">
        <f>+A19='Ene-Abr 2021_Destino'!A101</f>
        <v>1</v>
      </c>
      <c r="E19" s="18" t="e">
        <f>+B19-'Ene-Abr 2021_Destino'!B101</f>
        <v>#VALUE!</v>
      </c>
      <c r="F19" s="19" t="e">
        <f>+E19/$E$8</f>
        <v>#VALUE!</v>
      </c>
      <c r="H19" s="5" t="s">
        <v>254</v>
      </c>
    </row>
    <row r="20" spans="1:11" x14ac:dyDescent="0.3">
      <c r="A20" s="5" t="s">
        <v>115</v>
      </c>
      <c r="B20" s="13" t="s">
        <v>114</v>
      </c>
      <c r="C20" s="13" t="s">
        <v>114</v>
      </c>
      <c r="D20" s="18" t="b">
        <f>+A20='Ene-Abr 2021_Destino'!A119</f>
        <v>1</v>
      </c>
      <c r="E20" s="18" t="e">
        <f>+B20-'Ene-Abr 2021_Destino'!B119</f>
        <v>#VALUE!</v>
      </c>
      <c r="F20" s="19" t="e">
        <f>+E20/$E$8</f>
        <v>#VALUE!</v>
      </c>
      <c r="H20" s="5" t="s">
        <v>255</v>
      </c>
    </row>
    <row r="21" spans="1:11" x14ac:dyDescent="0.3">
      <c r="A21" s="5" t="s">
        <v>139</v>
      </c>
      <c r="B21" s="13" t="s">
        <v>114</v>
      </c>
      <c r="C21" s="13" t="s">
        <v>114</v>
      </c>
      <c r="D21" s="18" t="b">
        <f>+A21='Ene-Abr 2021_Destino'!A131</f>
        <v>1</v>
      </c>
      <c r="E21" s="18" t="e">
        <f>+B21-'Ene-Abr 2021_Destino'!B131</f>
        <v>#VALUE!</v>
      </c>
      <c r="F21" s="19" t="e">
        <f>+E21/$E$8</f>
        <v>#VALUE!</v>
      </c>
      <c r="H21" s="5" t="s">
        <v>256</v>
      </c>
    </row>
    <row r="22" spans="1:11" x14ac:dyDescent="0.3">
      <c r="A22" s="5" t="s">
        <v>52</v>
      </c>
      <c r="B22" s="13">
        <v>574550505.42999995</v>
      </c>
      <c r="C22" s="13">
        <v>563642126.35000002</v>
      </c>
      <c r="D22" s="18" t="b">
        <f>+A22='Ene-Abr 2021_Destino'!A35</f>
        <v>1</v>
      </c>
      <c r="E22" s="18">
        <f>+B22-'Ene-Abr 2021_Destino'!B35</f>
        <v>210745218.48999995</v>
      </c>
      <c r="F22" s="19">
        <f>+E22/$E$8</f>
        <v>0.125303633550957</v>
      </c>
      <c r="H22" s="5" t="s">
        <v>203</v>
      </c>
      <c r="I22" t="s">
        <v>203</v>
      </c>
      <c r="J22" s="1">
        <v>0.12272800407454899</v>
      </c>
      <c r="K22" s="1" t="b">
        <f>I22=H22</f>
        <v>1</v>
      </c>
    </row>
    <row r="23" spans="1:11" x14ac:dyDescent="0.3">
      <c r="A23" s="5" t="s">
        <v>55</v>
      </c>
      <c r="B23" s="13">
        <v>765114920.37</v>
      </c>
      <c r="C23" s="13">
        <v>773677262.75999999</v>
      </c>
      <c r="D23" s="18" t="b">
        <f>+A23='Ene-Abr 2021_Destino'!A72</f>
        <v>1</v>
      </c>
      <c r="E23" s="18">
        <f>+B23-'Ene-Abr 2021_Destino'!B72</f>
        <v>147315536.08000004</v>
      </c>
      <c r="F23" s="19">
        <f>+E23/$E$8</f>
        <v>8.7589991752088134E-2</v>
      </c>
      <c r="H23" s="5" t="s">
        <v>188</v>
      </c>
      <c r="I23" t="s">
        <v>188</v>
      </c>
      <c r="J23" s="1">
        <v>8.5789570182483496E-2</v>
      </c>
      <c r="K23" s="1" t="b">
        <f t="shared" ref="K23:K86" si="0">I23=H23</f>
        <v>1</v>
      </c>
    </row>
    <row r="24" spans="1:11" x14ac:dyDescent="0.3">
      <c r="A24" s="5" t="s">
        <v>85</v>
      </c>
      <c r="B24" s="13">
        <v>362120406.5</v>
      </c>
      <c r="C24" s="13">
        <v>437364107.56999999</v>
      </c>
      <c r="D24" s="18" t="b">
        <f>+A24='Ene-Abr 2021_Destino'!A109</f>
        <v>1</v>
      </c>
      <c r="E24" s="18">
        <f>+B24-'Ene-Abr 2021_Destino'!B109</f>
        <v>136037082.72</v>
      </c>
      <c r="F24" s="19">
        <f>+E24/$E$8</f>
        <v>8.0884116302249343E-2</v>
      </c>
      <c r="H24" s="5" t="s">
        <v>204</v>
      </c>
      <c r="I24" t="s">
        <v>204</v>
      </c>
      <c r="J24" s="1">
        <v>7.92215347136912E-2</v>
      </c>
      <c r="K24" s="1" t="b">
        <f t="shared" si="0"/>
        <v>1</v>
      </c>
    </row>
    <row r="25" spans="1:11" x14ac:dyDescent="0.3">
      <c r="A25" s="5" t="s">
        <v>56</v>
      </c>
      <c r="B25" s="13">
        <v>457252389.91000003</v>
      </c>
      <c r="C25" s="13">
        <v>1048387080.91</v>
      </c>
      <c r="D25" s="18" t="b">
        <f>+A25='Ene-Abr 2021_Destino'!A73</f>
        <v>1</v>
      </c>
      <c r="E25" s="18">
        <f>+B25-'Ene-Abr 2021_Destino'!B73</f>
        <v>120333209.35000002</v>
      </c>
      <c r="F25" s="19">
        <f>+E25/$E$8</f>
        <v>7.1547001049129227E-2</v>
      </c>
      <c r="H25" s="5" t="s">
        <v>196</v>
      </c>
      <c r="I25" t="s">
        <v>196</v>
      </c>
      <c r="J25" s="1">
        <v>7.0076344854823697E-2</v>
      </c>
      <c r="K25" s="1" t="b">
        <f t="shared" si="0"/>
        <v>1</v>
      </c>
    </row>
    <row r="26" spans="1:11" x14ac:dyDescent="0.3">
      <c r="A26" s="5" t="s">
        <v>68</v>
      </c>
      <c r="B26" s="13">
        <v>599825545.46000004</v>
      </c>
      <c r="C26" s="13">
        <v>1482202494.8699999</v>
      </c>
      <c r="D26" s="18" t="b">
        <f>+A26='Ene-Abr 2021_Destino'!A146</f>
        <v>1</v>
      </c>
      <c r="E26" s="18">
        <f>+B26-'Ene-Abr 2021_Destino'!B146</f>
        <v>83125589.380000055</v>
      </c>
      <c r="F26" s="19">
        <f>+E26/$E$8</f>
        <v>4.9424316551566719E-2</v>
      </c>
      <c r="H26" s="5" t="s">
        <v>189</v>
      </c>
      <c r="I26" t="s">
        <v>189</v>
      </c>
      <c r="J26" s="1">
        <v>4.8408394483275302E-2</v>
      </c>
      <c r="K26" s="1" t="b">
        <f t="shared" si="0"/>
        <v>1</v>
      </c>
    </row>
    <row r="27" spans="1:11" x14ac:dyDescent="0.3">
      <c r="A27" s="5" t="s">
        <v>29</v>
      </c>
      <c r="B27" s="13">
        <v>440074404.62</v>
      </c>
      <c r="C27" s="13">
        <v>649086835.69000006</v>
      </c>
      <c r="D27" s="18" t="b">
        <f>+A27='Ene-Abr 2021_Destino'!A30</f>
        <v>1</v>
      </c>
      <c r="E27" s="18">
        <f>+B27-'Ene-Abr 2021_Destino'!B30</f>
        <v>79424597.430000007</v>
      </c>
      <c r="F27" s="19">
        <f>+E27/$E$8</f>
        <v>4.7223802858299448E-2</v>
      </c>
      <c r="H27" s="5" t="s">
        <v>187</v>
      </c>
      <c r="I27" t="s">
        <v>187</v>
      </c>
      <c r="J27" s="1">
        <v>4.62531125823432E-2</v>
      </c>
      <c r="K27" s="1" t="b">
        <f t="shared" si="0"/>
        <v>1</v>
      </c>
    </row>
    <row r="28" spans="1:11" x14ac:dyDescent="0.3">
      <c r="A28" s="5" t="s">
        <v>34</v>
      </c>
      <c r="B28" s="13">
        <v>243779906.56999999</v>
      </c>
      <c r="C28" s="13">
        <v>408992130.92000002</v>
      </c>
      <c r="D28" s="18" t="b">
        <f>+A28='Ene-Abr 2021_Destino'!A34</f>
        <v>1</v>
      </c>
      <c r="E28" s="18">
        <f>+B28-'Ene-Abr 2021_Destino'!B34</f>
        <v>76359742.109999985</v>
      </c>
      <c r="F28" s="19">
        <f>+E28/$E$8</f>
        <v>4.5401519483826557E-2</v>
      </c>
      <c r="H28" s="5" t="s">
        <v>193</v>
      </c>
      <c r="I28" t="s">
        <v>193</v>
      </c>
      <c r="J28" s="1">
        <v>4.4468286435890299E-2</v>
      </c>
      <c r="K28" s="1" t="b">
        <f t="shared" si="0"/>
        <v>1</v>
      </c>
    </row>
    <row r="29" spans="1:11" x14ac:dyDescent="0.3">
      <c r="A29" s="5" t="s">
        <v>50</v>
      </c>
      <c r="B29" s="13">
        <v>118480739.56</v>
      </c>
      <c r="C29" s="13">
        <v>321156976.63</v>
      </c>
      <c r="D29" s="18" t="b">
        <f>+A29='Ene-Abr 2021_Destino'!A18</f>
        <v>1</v>
      </c>
      <c r="E29" s="18">
        <f>+B29-'Ene-Abr 2021_Destino'!B18</f>
        <v>60611673.039999999</v>
      </c>
      <c r="F29" s="19">
        <f>+E29/$E$8</f>
        <v>3.6038126615313755E-2</v>
      </c>
      <c r="H29" s="5" t="s">
        <v>202</v>
      </c>
      <c r="I29" t="s">
        <v>202</v>
      </c>
      <c r="J29" s="1">
        <v>3.5297359100801402E-2</v>
      </c>
      <c r="K29" s="1" t="b">
        <f t="shared" si="0"/>
        <v>1</v>
      </c>
    </row>
    <row r="30" spans="1:11" x14ac:dyDescent="0.3">
      <c r="A30" s="5" t="s">
        <v>70</v>
      </c>
      <c r="B30" s="13">
        <v>224517070.11000001</v>
      </c>
      <c r="C30" s="13">
        <v>311650508.19999999</v>
      </c>
      <c r="D30" s="18" t="b">
        <f>+A30='Ene-Abr 2021_Destino'!A24</f>
        <v>1</v>
      </c>
      <c r="E30" s="18">
        <f>+B30-'Ene-Abr 2021_Destino'!B24</f>
        <v>52275748.430000007</v>
      </c>
      <c r="F30" s="19">
        <f>+E30/$E$8</f>
        <v>3.1081802338426747E-2</v>
      </c>
      <c r="H30" s="5" t="s">
        <v>208</v>
      </c>
      <c r="I30" t="s">
        <v>208</v>
      </c>
      <c r="J30" s="1">
        <v>3.04429125950565E-2</v>
      </c>
      <c r="K30" s="1" t="b">
        <f t="shared" si="0"/>
        <v>1</v>
      </c>
    </row>
    <row r="31" spans="1:11" x14ac:dyDescent="0.3">
      <c r="A31" s="5" t="s">
        <v>45</v>
      </c>
      <c r="B31" s="13">
        <v>163801916.97999999</v>
      </c>
      <c r="C31" s="13">
        <v>259650876.69</v>
      </c>
      <c r="D31" s="18" t="b">
        <f>+A31='Ene-Abr 2021_Destino'!A113</f>
        <v>1</v>
      </c>
      <c r="E31" s="18">
        <f>+B31-'Ene-Abr 2021_Destino'!B113</f>
        <v>47109701.829999983</v>
      </c>
      <c r="F31" s="19">
        <f>+E31/$E$8</f>
        <v>2.8010205199892918E-2</v>
      </c>
      <c r="H31" s="5" t="s">
        <v>200</v>
      </c>
      <c r="I31" t="s">
        <v>200</v>
      </c>
      <c r="J31" s="1">
        <v>2.7434452461455899E-2</v>
      </c>
      <c r="K31" s="1" t="b">
        <f t="shared" si="0"/>
        <v>1</v>
      </c>
    </row>
    <row r="32" spans="1:11" x14ac:dyDescent="0.3">
      <c r="A32" s="5" t="s">
        <v>12</v>
      </c>
      <c r="B32" s="13">
        <v>236392236.55000001</v>
      </c>
      <c r="C32" s="13">
        <v>469303671.44</v>
      </c>
      <c r="D32" s="18" t="b">
        <f>+A32='Ene-Abr 2021_Destino'!A49</f>
        <v>1</v>
      </c>
      <c r="E32" s="18">
        <f>+B32-'Ene-Abr 2021_Destino'!B49</f>
        <v>42131307.610000014</v>
      </c>
      <c r="F32" s="19">
        <f>+E32/$E$8</f>
        <v>2.5050181292898897E-2</v>
      </c>
      <c r="H32" s="5" t="s">
        <v>210</v>
      </c>
      <c r="I32" t="s">
        <v>210</v>
      </c>
      <c r="J32" s="1">
        <v>2.45352721597882E-2</v>
      </c>
      <c r="K32" s="1" t="b">
        <f t="shared" si="0"/>
        <v>1</v>
      </c>
    </row>
    <row r="33" spans="1:11" x14ac:dyDescent="0.3">
      <c r="A33" s="5" t="s">
        <v>62</v>
      </c>
      <c r="B33" s="13">
        <v>217250079.97</v>
      </c>
      <c r="C33" s="13">
        <v>561887666.77999997</v>
      </c>
      <c r="D33" s="18" t="b">
        <f>+A33='Ene-Abr 2021_Destino'!A90</f>
        <v>1</v>
      </c>
      <c r="E33" s="18">
        <f>+B33-'Ene-Abr 2021_Destino'!B90</f>
        <v>41709828.020000011</v>
      </c>
      <c r="F33" s="19">
        <f>+E33/$E$8</f>
        <v>2.4799580475129576E-2</v>
      </c>
      <c r="H33" s="5" t="s">
        <v>192</v>
      </c>
      <c r="I33" t="s">
        <v>192</v>
      </c>
      <c r="J33" s="1">
        <v>2.4289822468405001E-2</v>
      </c>
      <c r="K33" s="1" t="b">
        <f t="shared" si="0"/>
        <v>1</v>
      </c>
    </row>
    <row r="34" spans="1:11" x14ac:dyDescent="0.3">
      <c r="A34" s="5" t="s">
        <v>86</v>
      </c>
      <c r="B34" s="13">
        <v>195030375.27000001</v>
      </c>
      <c r="C34" s="13">
        <v>420987370.11000001</v>
      </c>
      <c r="D34" s="18" t="b">
        <f>+A34='Ene-Abr 2021_Destino'!A114</f>
        <v>1</v>
      </c>
      <c r="E34" s="18">
        <f>+B34-'Ene-Abr 2021_Destino'!B114</f>
        <v>41495803.790000021</v>
      </c>
      <c r="F34" s="19">
        <f>+E34/$E$8</f>
        <v>2.4672327226495528E-2</v>
      </c>
      <c r="H34" s="5" t="s">
        <v>206</v>
      </c>
      <c r="I34" t="s">
        <v>206</v>
      </c>
      <c r="J34" s="1">
        <v>2.4165184923792101E-2</v>
      </c>
      <c r="K34" s="1" t="b">
        <f t="shared" si="0"/>
        <v>1</v>
      </c>
    </row>
    <row r="35" spans="1:11" x14ac:dyDescent="0.3">
      <c r="A35" s="5" t="s">
        <v>138</v>
      </c>
      <c r="B35" s="13">
        <v>116372574.01000001</v>
      </c>
      <c r="C35" s="13">
        <v>178672369.81999999</v>
      </c>
      <c r="D35" s="18" t="b">
        <f>+A35='Ene-Abr 2021_Destino'!A75</f>
        <v>1</v>
      </c>
      <c r="E35" s="18">
        <f>+B35-'Ene-Abr 2021_Destino'!B75</f>
        <v>41122270.770000011</v>
      </c>
      <c r="F35" s="19">
        <f>+E35/$E$8</f>
        <v>2.4450234194005282E-2</v>
      </c>
      <c r="H35" s="5" t="s">
        <v>217</v>
      </c>
      <c r="I35" t="s">
        <v>217</v>
      </c>
      <c r="J35" s="1">
        <v>2.3947657037138199E-2</v>
      </c>
      <c r="K35" s="1" t="b">
        <f t="shared" si="0"/>
        <v>1</v>
      </c>
    </row>
    <row r="36" spans="1:11" x14ac:dyDescent="0.3">
      <c r="A36" s="5" t="s">
        <v>77</v>
      </c>
      <c r="B36" s="13">
        <v>235402805.72</v>
      </c>
      <c r="C36" s="13">
        <v>522095237.23000002</v>
      </c>
      <c r="D36" s="18" t="b">
        <f>+A36='Ene-Abr 2021_Destino'!A54</f>
        <v>1</v>
      </c>
      <c r="E36" s="18">
        <f>+B36-'Ene-Abr 2021_Destino'!B54</f>
        <v>36944338.370000005</v>
      </c>
      <c r="F36" s="19">
        <f>+E36/$E$8</f>
        <v>2.1966144096012802E-2</v>
      </c>
      <c r="H36" s="5" t="s">
        <v>195</v>
      </c>
      <c r="I36" t="s">
        <v>195</v>
      </c>
      <c r="J36" s="1">
        <v>2.1514627674554001E-2</v>
      </c>
      <c r="K36" s="1" t="b">
        <f t="shared" si="0"/>
        <v>1</v>
      </c>
    </row>
    <row r="37" spans="1:11" x14ac:dyDescent="0.3">
      <c r="A37" s="5" t="s">
        <v>71</v>
      </c>
      <c r="B37" s="13">
        <v>38763833.399999999</v>
      </c>
      <c r="C37" s="13">
        <v>105782447.64</v>
      </c>
      <c r="D37" s="18" t="b">
        <f>+A37='Ene-Abr 2021_Destino'!A121</f>
        <v>1</v>
      </c>
      <c r="E37" s="18">
        <f>+B37-'Ene-Abr 2021_Destino'!B121</f>
        <v>33820364.060000002</v>
      </c>
      <c r="F37" s="19">
        <f>+E37/$E$8</f>
        <v>2.0108710105493019E-2</v>
      </c>
      <c r="H37" s="5" t="s">
        <v>227</v>
      </c>
      <c r="I37" t="s">
        <v>227</v>
      </c>
      <c r="J37" s="1">
        <v>1.9695373436695002E-2</v>
      </c>
      <c r="K37" s="1" t="b">
        <f t="shared" si="0"/>
        <v>1</v>
      </c>
    </row>
    <row r="38" spans="1:11" x14ac:dyDescent="0.3">
      <c r="A38" s="5" t="s">
        <v>26</v>
      </c>
      <c r="B38" s="13">
        <v>137712002.75</v>
      </c>
      <c r="C38" s="13">
        <v>287209037.55000001</v>
      </c>
      <c r="D38" s="18" t="b">
        <f>+A38='Ene-Abr 2021_Destino'!A133</f>
        <v>1</v>
      </c>
      <c r="E38" s="18">
        <f>+B38-'Ene-Abr 2021_Destino'!B133</f>
        <v>31290408.439999998</v>
      </c>
      <c r="F38" s="19">
        <f>+E38/$E$8</f>
        <v>1.860446420050843E-2</v>
      </c>
      <c r="H38" s="5" t="s">
        <v>201</v>
      </c>
      <c r="I38" t="s">
        <v>201</v>
      </c>
      <c r="J38" s="1">
        <v>1.8222047465816401E-2</v>
      </c>
      <c r="K38" s="1" t="b">
        <f t="shared" si="0"/>
        <v>1</v>
      </c>
    </row>
    <row r="39" spans="1:11" x14ac:dyDescent="0.3">
      <c r="A39" s="5" t="s">
        <v>92</v>
      </c>
      <c r="B39" s="13">
        <v>39773724.07</v>
      </c>
      <c r="C39" s="13">
        <v>86259567.359999999</v>
      </c>
      <c r="D39" s="18" t="b">
        <f>+A39='Ene-Abr 2021_Destino'!A141</f>
        <v>1</v>
      </c>
      <c r="E39" s="18">
        <f>+B39-'Ene-Abr 2021_Destino'!B141</f>
        <v>29368285.780000001</v>
      </c>
      <c r="F39" s="19">
        <f>+E39/$E$8</f>
        <v>1.7461619987224137E-2</v>
      </c>
      <c r="H39" s="5" t="s">
        <v>207</v>
      </c>
      <c r="I39" t="s">
        <v>207</v>
      </c>
      <c r="J39" s="1">
        <v>1.7102694536537701E-2</v>
      </c>
      <c r="K39" s="1" t="b">
        <f t="shared" si="0"/>
        <v>1</v>
      </c>
    </row>
    <row r="40" spans="1:11" x14ac:dyDescent="0.3">
      <c r="A40" s="5" t="s">
        <v>113</v>
      </c>
      <c r="B40" s="13">
        <v>162292256.00999999</v>
      </c>
      <c r="C40" s="13">
        <v>224894020</v>
      </c>
      <c r="D40" s="18" t="b">
        <f>+A40='Ene-Abr 2021_Destino'!A74</f>
        <v>1</v>
      </c>
      <c r="E40" s="18">
        <f>+B40-'Ene-Abr 2021_Destino'!B74</f>
        <v>25450581</v>
      </c>
      <c r="F40" s="19">
        <f>+E40/$E$8</f>
        <v>1.5132254473589738E-2</v>
      </c>
      <c r="H40" s="5" t="s">
        <v>190</v>
      </c>
      <c r="I40" t="s">
        <v>190</v>
      </c>
      <c r="J40" s="1">
        <v>1.4821209378071199E-2</v>
      </c>
      <c r="K40" s="1" t="b">
        <f t="shared" si="0"/>
        <v>1</v>
      </c>
    </row>
    <row r="41" spans="1:11" x14ac:dyDescent="0.3">
      <c r="A41" s="5" t="s">
        <v>83</v>
      </c>
      <c r="B41" s="13">
        <v>135189217.19</v>
      </c>
      <c r="C41" s="13">
        <v>292382757.63</v>
      </c>
      <c r="D41" s="18" t="b">
        <f>+A41='Ene-Abr 2021_Destino'!A78</f>
        <v>1</v>
      </c>
      <c r="E41" s="18">
        <f>+B41-'Ene-Abr 2021_Destino'!B78</f>
        <v>24803775.849999994</v>
      </c>
      <c r="F41" s="19">
        <f>+E41/$E$8</f>
        <v>1.4747680929880521E-2</v>
      </c>
      <c r="H41" s="5" t="s">
        <v>197</v>
      </c>
      <c r="I41" t="s">
        <v>197</v>
      </c>
      <c r="J41" s="1">
        <v>1.4444540784337901E-2</v>
      </c>
      <c r="K41" s="1" t="b">
        <f t="shared" si="0"/>
        <v>1</v>
      </c>
    </row>
    <row r="42" spans="1:11" x14ac:dyDescent="0.3">
      <c r="A42" s="5" t="s">
        <v>120</v>
      </c>
      <c r="B42" s="13">
        <v>25458051.699999999</v>
      </c>
      <c r="C42" s="13">
        <v>65521879.57</v>
      </c>
      <c r="D42" s="18" t="b">
        <f>+A42='Ene-Abr 2021_Destino'!A140</f>
        <v>1</v>
      </c>
      <c r="E42" s="18">
        <f>+B42-'Ene-Abr 2021_Destino'!B140</f>
        <v>22058631.550000001</v>
      </c>
      <c r="F42" s="19">
        <f>+E42/$E$8</f>
        <v>1.3115489424534365E-2</v>
      </c>
      <c r="H42" s="5" t="s">
        <v>235</v>
      </c>
      <c r="I42" t="s">
        <v>235</v>
      </c>
      <c r="J42" s="1">
        <v>1.28458991484822E-2</v>
      </c>
      <c r="K42" s="1" t="b">
        <f t="shared" si="0"/>
        <v>1</v>
      </c>
    </row>
    <row r="43" spans="1:11" x14ac:dyDescent="0.3">
      <c r="A43" s="5" t="s">
        <v>148</v>
      </c>
      <c r="B43" s="13">
        <v>21769017.210000001</v>
      </c>
      <c r="C43" s="13">
        <v>50782189.060000002</v>
      </c>
      <c r="D43" s="18" t="b">
        <f>+A43='Ene-Abr 2021_Destino'!A27</f>
        <v>1</v>
      </c>
      <c r="E43" s="18">
        <f>+B43-'Ene-Abr 2021_Destino'!B27</f>
        <v>21766027.510000002</v>
      </c>
      <c r="F43" s="19">
        <f>+E43/$E$8</f>
        <v>1.294151466170752E-2</v>
      </c>
      <c r="H43" s="5" t="s">
        <v>223</v>
      </c>
      <c r="I43" t="s">
        <v>191</v>
      </c>
      <c r="J43" s="1">
        <v>0</v>
      </c>
      <c r="K43" s="1" t="b">
        <f t="shared" si="0"/>
        <v>0</v>
      </c>
    </row>
    <row r="44" spans="1:11" x14ac:dyDescent="0.3">
      <c r="A44" s="5" t="s">
        <v>8</v>
      </c>
      <c r="B44" s="13">
        <v>185773915.56999999</v>
      </c>
      <c r="C44" s="13">
        <v>379020096.11000001</v>
      </c>
      <c r="D44" s="18" t="b">
        <f>+A44='Ene-Abr 2021_Destino'!A19</f>
        <v>1</v>
      </c>
      <c r="E44" s="18">
        <f>+B44-'Ene-Abr 2021_Destino'!B19</f>
        <v>19342562.539999992</v>
      </c>
      <c r="F44" s="19">
        <f>+E44/$E$8</f>
        <v>1.1500585331494168E-2</v>
      </c>
      <c r="H44" s="5" t="s">
        <v>191</v>
      </c>
      <c r="I44" t="s">
        <v>194</v>
      </c>
      <c r="J44" s="1">
        <v>0</v>
      </c>
      <c r="K44" s="1" t="b">
        <f t="shared" si="0"/>
        <v>0</v>
      </c>
    </row>
    <row r="45" spans="1:11" x14ac:dyDescent="0.3">
      <c r="A45" s="5" t="s">
        <v>38</v>
      </c>
      <c r="B45" s="13">
        <v>65548500.75</v>
      </c>
      <c r="C45" s="13">
        <v>24844286.129999999</v>
      </c>
      <c r="D45" s="18" t="b">
        <f>+A45='Ene-Abr 2021_Destino'!A55</f>
        <v>1</v>
      </c>
      <c r="E45" s="18">
        <f>+B45-'Ene-Abr 2021_Destino'!B55</f>
        <v>18510904.549999997</v>
      </c>
      <c r="F45" s="19">
        <f>+E45/$E$8</f>
        <v>1.1006103090021013E-2</v>
      </c>
      <c r="H45" s="5" t="s">
        <v>194</v>
      </c>
      <c r="I45" t="s">
        <v>198</v>
      </c>
      <c r="J45" s="1">
        <v>0</v>
      </c>
      <c r="K45" s="1" t="b">
        <f t="shared" si="0"/>
        <v>0</v>
      </c>
    </row>
    <row r="46" spans="1:11" x14ac:dyDescent="0.3">
      <c r="A46" s="5" t="s">
        <v>25</v>
      </c>
      <c r="B46" s="13">
        <v>42606270.68</v>
      </c>
      <c r="C46" s="13">
        <v>42231626</v>
      </c>
      <c r="D46" s="18" t="b">
        <f>+A46='Ene-Abr 2021_Destino'!A100</f>
        <v>1</v>
      </c>
      <c r="E46" s="18">
        <f>+B46-'Ene-Abr 2021_Destino'!B100</f>
        <v>18270874.079999998</v>
      </c>
      <c r="F46" s="19">
        <f>+E46/$E$8</f>
        <v>1.0863387206503252E-2</v>
      </c>
      <c r="H46" s="5" t="s">
        <v>234</v>
      </c>
      <c r="I46" t="s">
        <v>199</v>
      </c>
      <c r="J46" s="1">
        <v>0</v>
      </c>
      <c r="K46" s="1" t="b">
        <f t="shared" si="0"/>
        <v>0</v>
      </c>
    </row>
    <row r="47" spans="1:11" x14ac:dyDescent="0.3">
      <c r="A47" s="5" t="s">
        <v>36</v>
      </c>
      <c r="B47" s="13">
        <v>107893349.01000001</v>
      </c>
      <c r="C47" s="13">
        <v>240936343.58000001</v>
      </c>
      <c r="D47" s="18" t="b">
        <f>+A47='Ene-Abr 2021_Destino'!A48</f>
        <v>1</v>
      </c>
      <c r="E47" s="18">
        <f>+B47-'Ene-Abr 2021_Destino'!B48</f>
        <v>17420233.370000005</v>
      </c>
      <c r="F47" s="19">
        <f>+E47/$E$8</f>
        <v>1.0357618332727249E-2</v>
      </c>
      <c r="H47" s="5" t="s">
        <v>213</v>
      </c>
      <c r="I47" t="s">
        <v>205</v>
      </c>
      <c r="J47" s="1">
        <v>0</v>
      </c>
      <c r="K47" s="1" t="b">
        <f t="shared" si="0"/>
        <v>0</v>
      </c>
    </row>
    <row r="48" spans="1:11" x14ac:dyDescent="0.3">
      <c r="A48" s="5" t="s">
        <v>53</v>
      </c>
      <c r="B48" s="13">
        <v>89595294.599999994</v>
      </c>
      <c r="C48" s="13">
        <v>207433695.11000001</v>
      </c>
      <c r="D48" s="18" t="b">
        <f>+A48='Ene-Abr 2021_Destino'!A58</f>
        <v>1</v>
      </c>
      <c r="E48" s="18">
        <f>+B48-'Ene-Abr 2021_Destino'!B58</f>
        <v>15600641.919999987</v>
      </c>
      <c r="F48" s="19">
        <f>+E48/$E$8</f>
        <v>9.2757365140226627E-3</v>
      </c>
      <c r="H48" s="5" t="s">
        <v>215</v>
      </c>
      <c r="I48" t="s">
        <v>209</v>
      </c>
      <c r="J48" s="1">
        <v>0</v>
      </c>
      <c r="K48" s="1" t="b">
        <f t="shared" si="0"/>
        <v>0</v>
      </c>
    </row>
    <row r="49" spans="1:11" x14ac:dyDescent="0.3">
      <c r="A49" s="5" t="s">
        <v>35</v>
      </c>
      <c r="B49" s="13">
        <v>37983823.149999999</v>
      </c>
      <c r="C49" s="13">
        <v>41837100.420000002</v>
      </c>
      <c r="D49" s="18" t="b">
        <f>+A49='Ene-Abr 2021_Destino'!A122</f>
        <v>1</v>
      </c>
      <c r="E49" s="18">
        <f>+B49-'Ene-Abr 2021_Destino'!B122</f>
        <v>13215200.739999998</v>
      </c>
      <c r="F49" s="19">
        <f>+E49/$E$8</f>
        <v>7.8574151418095879E-3</v>
      </c>
      <c r="H49" s="5" t="s">
        <v>231</v>
      </c>
      <c r="I49" t="s">
        <v>211</v>
      </c>
      <c r="J49" s="1">
        <v>0</v>
      </c>
      <c r="K49" s="1" t="b">
        <f t="shared" si="0"/>
        <v>0</v>
      </c>
    </row>
    <row r="50" spans="1:11" x14ac:dyDescent="0.3">
      <c r="A50" s="5" t="s">
        <v>76</v>
      </c>
      <c r="B50" s="13">
        <v>42845912.880000003</v>
      </c>
      <c r="C50" s="13">
        <v>96878067.950000003</v>
      </c>
      <c r="D50" s="18" t="b">
        <f>+A50='Ene-Abr 2021_Destino'!A46</f>
        <v>1</v>
      </c>
      <c r="E50" s="18">
        <f>+B50-'Ene-Abr 2021_Destino'!B46</f>
        <v>13197728.260000002</v>
      </c>
      <c r="F50" s="19">
        <f>+E50/$E$8</f>
        <v>7.8470264589875858E-3</v>
      </c>
      <c r="H50" s="5" t="s">
        <v>209</v>
      </c>
      <c r="I50" t="s">
        <v>212</v>
      </c>
      <c r="J50" s="1">
        <v>0</v>
      </c>
      <c r="K50" s="1" t="b">
        <f t="shared" si="0"/>
        <v>0</v>
      </c>
    </row>
    <row r="51" spans="1:11" x14ac:dyDescent="0.3">
      <c r="A51" s="5" t="s">
        <v>59</v>
      </c>
      <c r="B51" s="13">
        <v>44290166.600000001</v>
      </c>
      <c r="C51" s="13">
        <v>108691027.59999999</v>
      </c>
      <c r="D51" s="18" t="b">
        <f>+A51='Ene-Abr 2021_Destino'!A80</f>
        <v>1</v>
      </c>
      <c r="E51" s="18">
        <f>+B51-'Ene-Abr 2021_Destino'!B80</f>
        <v>12851758.220000003</v>
      </c>
      <c r="F51" s="19">
        <f>+E51/$E$8</f>
        <v>7.641321658554228E-3</v>
      </c>
      <c r="H51" s="5" t="s">
        <v>205</v>
      </c>
      <c r="I51" t="s">
        <v>213</v>
      </c>
      <c r="J51" s="1">
        <v>0</v>
      </c>
      <c r="K51" s="1" t="b">
        <f t="shared" si="0"/>
        <v>0</v>
      </c>
    </row>
    <row r="52" spans="1:11" x14ac:dyDescent="0.3">
      <c r="A52" s="5" t="s">
        <v>48</v>
      </c>
      <c r="B52" s="13">
        <v>27876463.949999999</v>
      </c>
      <c r="C52" s="13">
        <v>48243984.289999999</v>
      </c>
      <c r="D52" s="18" t="b">
        <f>+A52='Ene-Abr 2021_Destino'!A145</f>
        <v>1</v>
      </c>
      <c r="E52" s="18">
        <f>+B52-'Ene-Abr 2021_Destino'!B145</f>
        <v>12773832.239999998</v>
      </c>
      <c r="F52" s="19">
        <f>+E52/$E$8</f>
        <v>7.5949888946985058E-3</v>
      </c>
      <c r="H52" s="5" t="s">
        <v>212</v>
      </c>
      <c r="I52" t="s">
        <v>214</v>
      </c>
      <c r="J52" s="1">
        <v>0</v>
      </c>
      <c r="K52" s="1" t="b">
        <f t="shared" si="0"/>
        <v>0</v>
      </c>
    </row>
    <row r="53" spans="1:11" x14ac:dyDescent="0.3">
      <c r="A53" s="5" t="s">
        <v>44</v>
      </c>
      <c r="B53" s="13">
        <v>57028812.07</v>
      </c>
      <c r="C53" s="13">
        <v>59748004.729999997</v>
      </c>
      <c r="D53" s="18" t="b">
        <f>+A53='Ene-Abr 2021_Destino'!A112</f>
        <v>1</v>
      </c>
      <c r="E53" s="18">
        <f>+B53-'Ene-Abr 2021_Destino'!B112</f>
        <v>12594313.68</v>
      </c>
      <c r="F53" s="19">
        <f>+E53/$E$8</f>
        <v>7.4882518212834679E-3</v>
      </c>
      <c r="H53" s="5" t="s">
        <v>221</v>
      </c>
      <c r="I53" t="s">
        <v>215</v>
      </c>
      <c r="J53" s="1">
        <v>0</v>
      </c>
      <c r="K53" s="1" t="b">
        <f t="shared" si="0"/>
        <v>0</v>
      </c>
    </row>
    <row r="54" spans="1:11" x14ac:dyDescent="0.3">
      <c r="A54" s="5" t="s">
        <v>47</v>
      </c>
      <c r="B54" s="13">
        <v>58291692.890000001</v>
      </c>
      <c r="C54" s="13">
        <v>112504750.84</v>
      </c>
      <c r="D54" s="18" t="b">
        <f>+A54='Ene-Abr 2021_Destino'!A144</f>
        <v>1</v>
      </c>
      <c r="E54" s="18">
        <f>+B54-'Ene-Abr 2021_Destino'!B144</f>
        <v>12412142.07</v>
      </c>
      <c r="F54" s="19">
        <f>+E54/$E$8</f>
        <v>7.3799373132420396E-3</v>
      </c>
      <c r="H54" s="5" t="s">
        <v>211</v>
      </c>
      <c r="I54" t="s">
        <v>216</v>
      </c>
      <c r="J54" s="1">
        <v>0</v>
      </c>
      <c r="K54" s="1" t="b">
        <f t="shared" si="0"/>
        <v>0</v>
      </c>
    </row>
    <row r="55" spans="1:11" x14ac:dyDescent="0.3">
      <c r="A55" s="5" t="s">
        <v>88</v>
      </c>
      <c r="B55" s="13">
        <v>139025017.56</v>
      </c>
      <c r="C55" s="13">
        <v>326084487.13999999</v>
      </c>
      <c r="D55" s="18" t="b">
        <f>+A55='Ene-Abr 2021_Destino'!A118</f>
        <v>1</v>
      </c>
      <c r="E55" s="18">
        <f>+B55-'Ene-Abr 2021_Destino'!B118</f>
        <v>11293596.939999998</v>
      </c>
      <c r="F55" s="19">
        <f>+E55/$E$8</f>
        <v>6.7148794292057352E-3</v>
      </c>
      <c r="H55" s="5" t="s">
        <v>199</v>
      </c>
      <c r="I55" t="s">
        <v>218</v>
      </c>
      <c r="J55" s="1">
        <v>0</v>
      </c>
      <c r="K55" s="1" t="b">
        <f t="shared" si="0"/>
        <v>0</v>
      </c>
    </row>
    <row r="56" spans="1:11" x14ac:dyDescent="0.3">
      <c r="A56" s="5" t="s">
        <v>31</v>
      </c>
      <c r="B56" s="13">
        <v>54393177.770000003</v>
      </c>
      <c r="C56" s="13">
        <v>108778046.72</v>
      </c>
      <c r="D56" s="18" t="b">
        <f>+A56='Ene-Abr 2021_Destino'!A37</f>
        <v>1</v>
      </c>
      <c r="E56" s="18">
        <f>+B56-'Ene-Abr 2021_Destino'!B37</f>
        <v>10262813.590000004</v>
      </c>
      <c r="F56" s="19">
        <f>+E56/$E$8</f>
        <v>6.1020024202549684E-3</v>
      </c>
      <c r="H56" s="5" t="s">
        <v>238</v>
      </c>
      <c r="I56" t="s">
        <v>219</v>
      </c>
      <c r="J56" s="1">
        <v>0</v>
      </c>
      <c r="K56" s="1" t="b">
        <f t="shared" si="0"/>
        <v>0</v>
      </c>
    </row>
    <row r="57" spans="1:11" x14ac:dyDescent="0.3">
      <c r="A57" s="5" t="s">
        <v>64</v>
      </c>
      <c r="B57" s="13">
        <v>29954815.469999999</v>
      </c>
      <c r="C57" s="13">
        <v>74019928.950000003</v>
      </c>
      <c r="D57" s="18" t="b">
        <f>+A57='Ene-Abr 2021_Destino'!A51</f>
        <v>1</v>
      </c>
      <c r="E57" s="18">
        <f>+B57-'Ene-Abr 2021_Destino'!B51</f>
        <v>9941604.5599999987</v>
      </c>
      <c r="F57" s="19">
        <f>+E57/$E$8</f>
        <v>5.9110198732877694E-3</v>
      </c>
      <c r="H57" s="5" t="s">
        <v>257</v>
      </c>
      <c r="I57" t="s">
        <v>220</v>
      </c>
      <c r="J57" s="1">
        <v>0</v>
      </c>
      <c r="K57" s="1" t="b">
        <f t="shared" si="0"/>
        <v>0</v>
      </c>
    </row>
    <row r="58" spans="1:11" x14ac:dyDescent="0.3">
      <c r="A58" s="5" t="s">
        <v>89</v>
      </c>
      <c r="B58" s="13">
        <v>15594412.98</v>
      </c>
      <c r="C58" s="13">
        <v>34136011.549999997</v>
      </c>
      <c r="D58" s="18" t="b">
        <f>+A58='Ene-Abr 2021_Destino'!A124</f>
        <v>1</v>
      </c>
      <c r="E58" s="18">
        <f>+B58-'Ene-Abr 2021_Destino'!B124</f>
        <v>9722285.8000000007</v>
      </c>
      <c r="F58" s="19">
        <f>+E58/$E$8</f>
        <v>5.780618634622447E-3</v>
      </c>
      <c r="H58" s="5" t="s">
        <v>236</v>
      </c>
      <c r="I58" t="s">
        <v>221</v>
      </c>
      <c r="J58" s="1">
        <v>0</v>
      </c>
      <c r="K58" s="1" t="b">
        <f t="shared" si="0"/>
        <v>0</v>
      </c>
    </row>
    <row r="59" spans="1:11" x14ac:dyDescent="0.3">
      <c r="A59" s="5" t="s">
        <v>18</v>
      </c>
      <c r="B59" s="13">
        <v>59743130.770000003</v>
      </c>
      <c r="C59" s="13">
        <v>212400648.81</v>
      </c>
      <c r="D59" s="18" t="b">
        <f>+A59='Ene-Abr 2021_Destino'!A94</f>
        <v>1</v>
      </c>
      <c r="E59" s="18">
        <f>+B59-'Ene-Abr 2021_Destino'!B94</f>
        <v>9704415.6600000039</v>
      </c>
      <c r="F59" s="19">
        <f>+E59/$E$8</f>
        <v>5.7699935134922602E-3</v>
      </c>
      <c r="H59" s="5" t="s">
        <v>216</v>
      </c>
      <c r="I59" t="s">
        <v>222</v>
      </c>
      <c r="J59" s="1">
        <v>0</v>
      </c>
      <c r="K59" s="1" t="b">
        <f t="shared" si="0"/>
        <v>0</v>
      </c>
    </row>
    <row r="60" spans="1:11" x14ac:dyDescent="0.3">
      <c r="A60" s="5" t="s">
        <v>51</v>
      </c>
      <c r="B60" s="13">
        <v>36380329.280000001</v>
      </c>
      <c r="C60" s="13">
        <v>128185393.03</v>
      </c>
      <c r="D60" s="18" t="b">
        <f>+A60='Ene-Abr 2021_Destino'!A39</f>
        <v>1</v>
      </c>
      <c r="E60" s="18">
        <f>+B60-'Ene-Abr 2021_Destino'!B39</f>
        <v>9590437.8800000027</v>
      </c>
      <c r="F60" s="19">
        <f>+E60/$E$8</f>
        <v>5.7022252856747955E-3</v>
      </c>
      <c r="H60" s="5" t="s">
        <v>230</v>
      </c>
      <c r="I60" t="s">
        <v>223</v>
      </c>
      <c r="J60" s="1">
        <v>0</v>
      </c>
      <c r="K60" s="1" t="b">
        <f t="shared" si="0"/>
        <v>0</v>
      </c>
    </row>
    <row r="61" spans="1:11" x14ac:dyDescent="0.3">
      <c r="A61" s="5" t="s">
        <v>93</v>
      </c>
      <c r="B61" s="13">
        <v>35674055.549999997</v>
      </c>
      <c r="C61" s="13">
        <v>3984195.31</v>
      </c>
      <c r="D61" s="18" t="b">
        <f>+A61='Ene-Abr 2021_Destino'!A123</f>
        <v>1</v>
      </c>
      <c r="E61" s="18">
        <f>+B61-'Ene-Abr 2021_Destino'!B123</f>
        <v>9216587.6599999964</v>
      </c>
      <c r="F61" s="19">
        <f>+E61/$E$8</f>
        <v>5.4799436543027024E-3</v>
      </c>
      <c r="H61" s="5" t="s">
        <v>222</v>
      </c>
      <c r="I61" t="s">
        <v>224</v>
      </c>
      <c r="J61" s="1">
        <v>0</v>
      </c>
      <c r="K61" s="1" t="b">
        <f t="shared" si="0"/>
        <v>0</v>
      </c>
    </row>
    <row r="62" spans="1:11" x14ac:dyDescent="0.3">
      <c r="A62" s="5" t="s">
        <v>124</v>
      </c>
      <c r="B62" s="13">
        <v>11580808.43</v>
      </c>
      <c r="C62" s="13">
        <v>34913321.520000003</v>
      </c>
      <c r="D62" s="18" t="b">
        <f>+A62='Ene-Abr 2021_Destino'!A116</f>
        <v>1</v>
      </c>
      <c r="E62" s="18">
        <f>+B62-'Ene-Abr 2021_Destino'!B116</f>
        <v>8542259.1600000001</v>
      </c>
      <c r="F62" s="19">
        <f>+E62/$E$8</f>
        <v>5.0790054415053593E-3</v>
      </c>
      <c r="H62" s="5" t="s">
        <v>258</v>
      </c>
      <c r="I62" t="s">
        <v>225</v>
      </c>
      <c r="J62" s="1">
        <v>0</v>
      </c>
      <c r="K62" s="1" t="b">
        <f t="shared" si="0"/>
        <v>0</v>
      </c>
    </row>
    <row r="63" spans="1:11" x14ac:dyDescent="0.3">
      <c r="A63" s="5" t="s">
        <v>143</v>
      </c>
      <c r="B63" s="13">
        <v>8377828.1600000001</v>
      </c>
      <c r="C63" s="13">
        <v>20000469.609999999</v>
      </c>
      <c r="D63" s="18" t="b">
        <f>+A63='Ene-Abr 2021_Destino'!A53</f>
        <v>1</v>
      </c>
      <c r="E63" s="18">
        <f>+B63-'Ene-Abr 2021_Destino'!B53</f>
        <v>8374381.4400000004</v>
      </c>
      <c r="F63" s="19">
        <f>+E63/$E$8</f>
        <v>4.9791897092245898E-3</v>
      </c>
      <c r="H63" s="5" t="s">
        <v>259</v>
      </c>
      <c r="I63" t="s">
        <v>226</v>
      </c>
      <c r="J63" s="1">
        <v>0</v>
      </c>
      <c r="K63" s="1" t="b">
        <f t="shared" si="0"/>
        <v>0</v>
      </c>
    </row>
    <row r="64" spans="1:11" x14ac:dyDescent="0.3">
      <c r="A64" s="5" t="s">
        <v>41</v>
      </c>
      <c r="B64" s="13">
        <v>23286864.18</v>
      </c>
      <c r="C64" s="13">
        <v>17223490.120000001</v>
      </c>
      <c r="D64" s="18" t="b">
        <f>+A64='Ene-Abr 2021_Destino'!A97</f>
        <v>1</v>
      </c>
      <c r="E64" s="18">
        <f>+B64-'Ene-Abr 2021_Destino'!B97</f>
        <v>7060205.0099999998</v>
      </c>
      <c r="F64" s="19">
        <f>+E64/$E$8</f>
        <v>4.1978145350407984E-3</v>
      </c>
      <c r="H64" s="5" t="s">
        <v>242</v>
      </c>
      <c r="I64" t="s">
        <v>228</v>
      </c>
      <c r="J64" s="1">
        <v>0</v>
      </c>
      <c r="K64" s="1" t="b">
        <f t="shared" si="0"/>
        <v>0</v>
      </c>
    </row>
    <row r="65" spans="1:11" x14ac:dyDescent="0.3">
      <c r="A65" s="5" t="s">
        <v>95</v>
      </c>
      <c r="B65" s="13">
        <v>34888462.060000002</v>
      </c>
      <c r="C65" s="13">
        <v>14750166.289999999</v>
      </c>
      <c r="D65" s="18" t="b">
        <f>+A65='Ene-Abr 2021_Destino'!A125</f>
        <v>1</v>
      </c>
      <c r="E65" s="18">
        <f>+B65-'Ene-Abr 2021_Destino'!B125</f>
        <v>6654449.6100000031</v>
      </c>
      <c r="F65" s="19">
        <f>+E65/$E$8</f>
        <v>3.9565629122651474E-3</v>
      </c>
      <c r="H65" s="5" t="s">
        <v>260</v>
      </c>
      <c r="I65" t="s">
        <v>229</v>
      </c>
      <c r="J65" s="1">
        <v>0</v>
      </c>
      <c r="K65" s="1" t="b">
        <f t="shared" si="0"/>
        <v>0</v>
      </c>
    </row>
    <row r="66" spans="1:11" x14ac:dyDescent="0.3">
      <c r="A66" s="5" t="s">
        <v>54</v>
      </c>
      <c r="B66" s="13">
        <v>15774304.18</v>
      </c>
      <c r="C66" s="13">
        <v>37887978.909999996</v>
      </c>
      <c r="D66" s="18" t="b">
        <f>+A66='Ene-Abr 2021_Destino'!A137</f>
        <v>1</v>
      </c>
      <c r="E66" s="18">
        <f>+B66-'Ene-Abr 2021_Destino'!B137</f>
        <v>6620773.0700000003</v>
      </c>
      <c r="F66" s="19">
        <f>+E66/$E$8</f>
        <v>3.9365397162104063E-3</v>
      </c>
      <c r="H66" s="5" t="s">
        <v>261</v>
      </c>
      <c r="I66" t="s">
        <v>230</v>
      </c>
      <c r="J66" s="1">
        <v>0</v>
      </c>
      <c r="K66" s="1" t="b">
        <f t="shared" si="0"/>
        <v>0</v>
      </c>
    </row>
    <row r="67" spans="1:11" x14ac:dyDescent="0.3">
      <c r="A67" s="5" t="s">
        <v>28</v>
      </c>
      <c r="B67" s="13">
        <v>35895372.020000003</v>
      </c>
      <c r="C67" s="13">
        <v>58489718.060000002</v>
      </c>
      <c r="D67" s="18" t="b">
        <f>+A67='Ene-Abr 2021_Destino'!A28</f>
        <v>1</v>
      </c>
      <c r="E67" s="18">
        <f>+B67-'Ene-Abr 2021_Destino'!B28</f>
        <v>5715617.2400000021</v>
      </c>
      <c r="F67" s="19">
        <f>+E67/$E$8</f>
        <v>3.3983575679202242E-3</v>
      </c>
      <c r="H67" s="5" t="s">
        <v>262</v>
      </c>
      <c r="I67" t="s">
        <v>231</v>
      </c>
      <c r="J67" s="1">
        <v>0</v>
      </c>
      <c r="K67" s="1" t="b">
        <f t="shared" si="0"/>
        <v>0</v>
      </c>
    </row>
    <row r="68" spans="1:11" x14ac:dyDescent="0.3">
      <c r="A68" s="5" t="s">
        <v>67</v>
      </c>
      <c r="B68" s="13">
        <v>80414057.299999997</v>
      </c>
      <c r="C68" s="13">
        <v>144159991.53999999</v>
      </c>
      <c r="D68" s="18" t="b">
        <f>+A68='Ene-Abr 2021_Destino'!A136</f>
        <v>1</v>
      </c>
      <c r="E68" s="18">
        <f>+B68-'Ene-Abr 2021_Destino'!B136</f>
        <v>4710767.5399999917</v>
      </c>
      <c r="F68" s="19">
        <f>+E68/$E$8</f>
        <v>2.8009000337244246E-3</v>
      </c>
      <c r="H68" s="5" t="s">
        <v>198</v>
      </c>
      <c r="I68" t="s">
        <v>232</v>
      </c>
      <c r="J68" s="1">
        <v>0</v>
      </c>
      <c r="K68" s="1" t="b">
        <f t="shared" si="0"/>
        <v>0</v>
      </c>
    </row>
    <row r="69" spans="1:11" x14ac:dyDescent="0.3">
      <c r="A69" s="5" t="s">
        <v>94</v>
      </c>
      <c r="B69" s="13">
        <v>4499413.2</v>
      </c>
      <c r="C69" s="13">
        <v>9879573.0399999991</v>
      </c>
      <c r="D69" s="18" t="b">
        <f>+A69='Ene-Abr 2021_Destino'!A88</f>
        <v>1</v>
      </c>
      <c r="E69" s="18">
        <f>+B69-'Ene-Abr 2021_Destino'!B88</f>
        <v>4455462.88</v>
      </c>
      <c r="F69" s="19">
        <f>+E69/$E$8</f>
        <v>2.6491025135258412E-3</v>
      </c>
      <c r="H69" s="5" t="s">
        <v>237</v>
      </c>
      <c r="I69" t="s">
        <v>233</v>
      </c>
      <c r="J69" s="1">
        <v>0</v>
      </c>
      <c r="K69" s="1" t="b">
        <f t="shared" si="0"/>
        <v>0</v>
      </c>
    </row>
    <row r="70" spans="1:11" x14ac:dyDescent="0.3">
      <c r="A70" s="5" t="s">
        <v>58</v>
      </c>
      <c r="B70" s="13">
        <v>8102814.8600000003</v>
      </c>
      <c r="C70" s="13">
        <v>16674516.09</v>
      </c>
      <c r="D70" s="18" t="b">
        <f>+A70='Ene-Abr 2021_Destino'!A79</f>
        <v>1</v>
      </c>
      <c r="E70" s="18">
        <f>+B70-'Ene-Abr 2021_Destino'!B79</f>
        <v>2789632.42</v>
      </c>
      <c r="F70" s="19">
        <f>+E70/$E$8</f>
        <v>1.6586429860762694E-3</v>
      </c>
      <c r="H70" s="5" t="s">
        <v>239</v>
      </c>
      <c r="I70" t="s">
        <v>234</v>
      </c>
      <c r="J70" s="1">
        <v>0</v>
      </c>
      <c r="K70" s="1" t="b">
        <f t="shared" si="0"/>
        <v>0</v>
      </c>
    </row>
    <row r="71" spans="1:11" x14ac:dyDescent="0.3">
      <c r="A71" s="5" t="s">
        <v>20</v>
      </c>
      <c r="B71" s="13">
        <v>13291384.82</v>
      </c>
      <c r="C71" s="13">
        <v>51331651.369999997</v>
      </c>
      <c r="D71" s="18" t="b">
        <f>+A71='Ene-Abr 2021_Destino'!A105</f>
        <v>1</v>
      </c>
      <c r="E71" s="18">
        <f>+B71-'Ene-Abr 2021_Destino'!B105</f>
        <v>2771288.8599999994</v>
      </c>
      <c r="F71" s="19">
        <f>+E71/$E$8</f>
        <v>1.647736381709494E-3</v>
      </c>
      <c r="H71" s="5" t="s">
        <v>240</v>
      </c>
      <c r="I71" t="s">
        <v>236</v>
      </c>
      <c r="J71" s="1">
        <v>0</v>
      </c>
      <c r="K71" s="1" t="b">
        <f t="shared" si="0"/>
        <v>0</v>
      </c>
    </row>
    <row r="72" spans="1:11" x14ac:dyDescent="0.3">
      <c r="A72" s="5" t="s">
        <v>24</v>
      </c>
      <c r="B72" s="13">
        <v>4932522.28</v>
      </c>
      <c r="C72" s="13">
        <v>17168689.399999999</v>
      </c>
      <c r="D72" s="18" t="b">
        <f>+A72='Ene-Abr 2021_Destino'!A17</f>
        <v>1</v>
      </c>
      <c r="E72" s="18">
        <f>+B72-'Ene-Abr 2021_Destino'!B17</f>
        <v>2015005.4000000004</v>
      </c>
      <c r="F72" s="19">
        <f>+E72/$E$8</f>
        <v>1.1980698781869649E-3</v>
      </c>
      <c r="H72" s="5" t="s">
        <v>248</v>
      </c>
      <c r="I72" t="s">
        <v>237</v>
      </c>
      <c r="J72" s="1">
        <v>0</v>
      </c>
      <c r="K72" s="1" t="b">
        <f t="shared" si="0"/>
        <v>0</v>
      </c>
    </row>
    <row r="73" spans="1:11" x14ac:dyDescent="0.3">
      <c r="A73" s="5" t="s">
        <v>21</v>
      </c>
      <c r="B73" s="13">
        <v>12305252.939999999</v>
      </c>
      <c r="C73" s="13">
        <v>42707893.600000001</v>
      </c>
      <c r="D73" s="18" t="b">
        <f>+A73='Ene-Abr 2021_Destino'!A126</f>
        <v>1</v>
      </c>
      <c r="E73" s="18">
        <f>+B73-'Ene-Abr 2021_Destino'!B126</f>
        <v>1833695.5499999989</v>
      </c>
      <c r="F73" s="19">
        <f>+E73/$E$8</f>
        <v>1.0902677502603606E-3</v>
      </c>
      <c r="H73" s="5" t="s">
        <v>263</v>
      </c>
      <c r="I73" t="s">
        <v>238</v>
      </c>
      <c r="J73" s="1">
        <v>0</v>
      </c>
      <c r="K73" s="1" t="b">
        <f t="shared" si="0"/>
        <v>0</v>
      </c>
    </row>
    <row r="74" spans="1:11" x14ac:dyDescent="0.3">
      <c r="A74" s="5" t="s">
        <v>105</v>
      </c>
      <c r="B74" s="13">
        <v>6084398.5099999998</v>
      </c>
      <c r="C74" s="13">
        <v>8432077.5700000003</v>
      </c>
      <c r="D74" s="18" t="b">
        <f>+A74='Ene-Abr 2021_Destino'!A45</f>
        <v>1</v>
      </c>
      <c r="E74" s="18">
        <f>+B74-'Ene-Abr 2021_Destino'!B45</f>
        <v>1272061.5299999993</v>
      </c>
      <c r="F74" s="19">
        <f>+E74/$E$8</f>
        <v>7.5633474842966828E-4</v>
      </c>
      <c r="H74" s="5" t="s">
        <v>264</v>
      </c>
      <c r="I74" t="s">
        <v>239</v>
      </c>
      <c r="J74" s="1">
        <v>0</v>
      </c>
      <c r="K74" s="1" t="b">
        <f t="shared" si="0"/>
        <v>0</v>
      </c>
    </row>
    <row r="75" spans="1:11" x14ac:dyDescent="0.3">
      <c r="A75" s="5" t="s">
        <v>126</v>
      </c>
      <c r="B75" s="13">
        <v>12953320.359999999</v>
      </c>
      <c r="C75" s="13">
        <v>22846256.960000001</v>
      </c>
      <c r="D75" s="18" t="b">
        <f>+A75='Ene-Abr 2021_Destino'!A108</f>
        <v>1</v>
      </c>
      <c r="E75" s="18">
        <f>+B75-'Ene-Abr 2021_Destino'!B108</f>
        <v>1224773.459999999</v>
      </c>
      <c r="F75" s="19">
        <f>+E75/$E$8</f>
        <v>7.2821849014837684E-4</v>
      </c>
      <c r="H75" s="5" t="s">
        <v>247</v>
      </c>
      <c r="I75" t="s">
        <v>240</v>
      </c>
      <c r="J75" s="1">
        <v>0</v>
      </c>
      <c r="K75" s="1" t="b">
        <f t="shared" si="0"/>
        <v>0</v>
      </c>
    </row>
    <row r="76" spans="1:11" x14ac:dyDescent="0.3">
      <c r="A76" s="5" t="s">
        <v>69</v>
      </c>
      <c r="B76" s="13">
        <v>6065363.2199999997</v>
      </c>
      <c r="C76" s="13">
        <v>3893114.59</v>
      </c>
      <c r="D76" s="18" t="b">
        <f>+A76='Ene-Abr 2021_Destino'!A70</f>
        <v>1</v>
      </c>
      <c r="E76" s="18">
        <f>+B76-'Ene-Abr 2021_Destino'!B70</f>
        <v>1121175.3399999999</v>
      </c>
      <c r="F76" s="19">
        <f>+E76/$E$8</f>
        <v>6.6662173859188096E-4</v>
      </c>
      <c r="H76" s="5" t="s">
        <v>265</v>
      </c>
      <c r="I76" t="s">
        <v>241</v>
      </c>
      <c r="J76" s="1">
        <v>0</v>
      </c>
      <c r="K76" s="1" t="b">
        <f t="shared" si="0"/>
        <v>0</v>
      </c>
    </row>
    <row r="77" spans="1:11" x14ac:dyDescent="0.3">
      <c r="A77" s="5" t="s">
        <v>102</v>
      </c>
      <c r="B77" s="13">
        <v>21575074.07</v>
      </c>
      <c r="C77" s="13">
        <v>38351990.020000003</v>
      </c>
      <c r="D77" s="18" t="b">
        <f>+A77='Ene-Abr 2021_Destino'!A20</f>
        <v>1</v>
      </c>
      <c r="E77" s="18">
        <f>+B77-'Ene-Abr 2021_Destino'!B20</f>
        <v>1091793.1400000006</v>
      </c>
      <c r="F77" s="19">
        <f>+E77/$E$8</f>
        <v>6.4915184557081806E-4</v>
      </c>
      <c r="H77" s="5" t="s">
        <v>224</v>
      </c>
      <c r="I77" t="s">
        <v>242</v>
      </c>
      <c r="J77" s="1">
        <v>0</v>
      </c>
      <c r="K77" s="1" t="b">
        <f t="shared" si="0"/>
        <v>0</v>
      </c>
    </row>
    <row r="78" spans="1:11" x14ac:dyDescent="0.3">
      <c r="A78" s="5" t="s">
        <v>33</v>
      </c>
      <c r="B78" s="13">
        <v>34204801.799999997</v>
      </c>
      <c r="C78" s="13">
        <v>94779325.590000004</v>
      </c>
      <c r="D78" s="18" t="b">
        <f>+A78='Ene-Abr 2021_Destino'!A43</f>
        <v>1</v>
      </c>
      <c r="E78" s="18">
        <f>+B78-'Ene-Abr 2021_Destino'!B43</f>
        <v>830818.14999999851</v>
      </c>
      <c r="F78" s="19">
        <f>+E78/$E$8</f>
        <v>4.9398289442103606E-4</v>
      </c>
      <c r="H78" s="5" t="s">
        <v>233</v>
      </c>
      <c r="I78" t="s">
        <v>243</v>
      </c>
      <c r="J78" s="1">
        <v>0</v>
      </c>
      <c r="K78" s="1" t="b">
        <f t="shared" si="0"/>
        <v>0</v>
      </c>
    </row>
    <row r="79" spans="1:11" x14ac:dyDescent="0.3">
      <c r="A79" s="5" t="s">
        <v>42</v>
      </c>
      <c r="B79" s="13">
        <v>1632429.76</v>
      </c>
      <c r="C79" s="13">
        <v>213743.58</v>
      </c>
      <c r="D79" s="18" t="b">
        <f>+A79='Ene-Abr 2021_Destino'!A103</f>
        <v>1</v>
      </c>
      <c r="E79" s="18">
        <f>+B79-'Ene-Abr 2021_Destino'!B103</f>
        <v>785227.96</v>
      </c>
      <c r="F79" s="19">
        <f>+E79/$E$8</f>
        <v>4.6687615149130558E-4</v>
      </c>
      <c r="H79" s="5" t="s">
        <v>266</v>
      </c>
      <c r="I79" t="s">
        <v>244</v>
      </c>
      <c r="J79" s="1">
        <v>0</v>
      </c>
      <c r="K79" s="1" t="b">
        <f t="shared" si="0"/>
        <v>0</v>
      </c>
    </row>
    <row r="80" spans="1:11" x14ac:dyDescent="0.3">
      <c r="A80" s="5" t="s">
        <v>57</v>
      </c>
      <c r="B80" s="13">
        <v>52440711.460000001</v>
      </c>
      <c r="C80" s="13">
        <v>70799819.829999998</v>
      </c>
      <c r="D80" s="18" t="b">
        <f>+A80='Ene-Abr 2021_Destino'!A77</f>
        <v>1</v>
      </c>
      <c r="E80" s="18">
        <f>+B80-'Ene-Abr 2021_Destino'!B77</f>
        <v>755186.46999999881</v>
      </c>
      <c r="F80" s="19">
        <f>+E80/$E$8</f>
        <v>4.4901426175897221E-4</v>
      </c>
      <c r="H80" s="5" t="s">
        <v>232</v>
      </c>
      <c r="I80" t="s">
        <v>245</v>
      </c>
      <c r="J80" s="1">
        <v>0</v>
      </c>
      <c r="K80" s="1" t="b">
        <f t="shared" si="0"/>
        <v>0</v>
      </c>
    </row>
    <row r="81" spans="1:11" x14ac:dyDescent="0.3">
      <c r="A81" s="5" t="s">
        <v>142</v>
      </c>
      <c r="B81" s="13">
        <v>3714095.73</v>
      </c>
      <c r="C81" s="13">
        <v>428249.47</v>
      </c>
      <c r="D81" s="18" t="b">
        <f>+A81='Ene-Abr 2021_Destino'!A52</f>
        <v>1</v>
      </c>
      <c r="E81" s="18">
        <f>+B81-'Ene-Abr 2021_Destino'!B52</f>
        <v>738427.50999999978</v>
      </c>
      <c r="F81" s="19">
        <f>+E81/$E$8</f>
        <v>4.390498193978058E-4</v>
      </c>
      <c r="H81" s="5" t="s">
        <v>267</v>
      </c>
      <c r="I81" t="s">
        <v>246</v>
      </c>
      <c r="J81" s="1">
        <v>0</v>
      </c>
      <c r="K81" s="1" t="b">
        <f t="shared" si="0"/>
        <v>0</v>
      </c>
    </row>
    <row r="82" spans="1:11" x14ac:dyDescent="0.3">
      <c r="A82" s="5" t="s">
        <v>61</v>
      </c>
      <c r="B82" s="13">
        <v>4148940.46</v>
      </c>
      <c r="C82" s="13">
        <v>7325462.3200000003</v>
      </c>
      <c r="D82" s="18" t="b">
        <f>+A82='Ene-Abr 2021_Destino'!A85</f>
        <v>1</v>
      </c>
      <c r="E82" s="18">
        <f>+B82-'Ene-Abr 2021_Destino'!B85</f>
        <v>736649.35999999987</v>
      </c>
      <c r="F82" s="19">
        <f>+E82/$E$8</f>
        <v>4.3799257758897589E-4</v>
      </c>
      <c r="H82" s="5" t="s">
        <v>246</v>
      </c>
      <c r="I82" t="s">
        <v>247</v>
      </c>
      <c r="J82" s="1">
        <v>0</v>
      </c>
      <c r="K82" s="1" t="b">
        <f t="shared" si="0"/>
        <v>0</v>
      </c>
    </row>
    <row r="83" spans="1:11" x14ac:dyDescent="0.3">
      <c r="A83" s="5" t="s">
        <v>32</v>
      </c>
      <c r="B83" s="13">
        <v>1744017.38</v>
      </c>
      <c r="C83" s="13">
        <v>1188595.18</v>
      </c>
      <c r="D83" s="18" t="b">
        <f>+A83='Ene-Abr 2021_Destino'!A41</f>
        <v>1</v>
      </c>
      <c r="E83" s="18">
        <f>+B83-'Ene-Abr 2021_Destino'!B41</f>
        <v>568360.31999999983</v>
      </c>
      <c r="F83" s="19">
        <f>+E83/$E$8</f>
        <v>3.379322851187913E-4</v>
      </c>
      <c r="H83" s="5" t="s">
        <v>268</v>
      </c>
      <c r="I83" t="s">
        <v>248</v>
      </c>
      <c r="J83" s="1">
        <v>0</v>
      </c>
      <c r="K83" s="1" t="b">
        <f t="shared" si="0"/>
        <v>0</v>
      </c>
    </row>
    <row r="84" spans="1:11" x14ac:dyDescent="0.3">
      <c r="A84" s="5" t="s">
        <v>10</v>
      </c>
      <c r="B84" s="13">
        <v>8795253.9399999995</v>
      </c>
      <c r="C84" s="13">
        <v>27061414.879999999</v>
      </c>
      <c r="D84" s="18" t="b">
        <f>+A84='Ene-Abr 2021_Destino'!A40</f>
        <v>1</v>
      </c>
      <c r="E84" s="18">
        <f>+B84-'Ene-Abr 2021_Destino'!B40</f>
        <v>522103.36999999918</v>
      </c>
      <c r="F84" s="19">
        <f>+E84/$E$8</f>
        <v>3.1042910400979712E-4</v>
      </c>
      <c r="H84" s="5" t="s">
        <v>269</v>
      </c>
      <c r="K84" s="1" t="b">
        <f t="shared" si="0"/>
        <v>0</v>
      </c>
    </row>
    <row r="85" spans="1:11" x14ac:dyDescent="0.3">
      <c r="A85" s="5" t="s">
        <v>43</v>
      </c>
      <c r="B85" s="13">
        <v>2897371.64</v>
      </c>
      <c r="C85" s="13">
        <v>1747730.02</v>
      </c>
      <c r="D85" s="18" t="b">
        <f>+A85='Ene-Abr 2021_Destino'!A110</f>
        <v>1</v>
      </c>
      <c r="E85" s="18">
        <f>+B85-'Ene-Abr 2021_Destino'!B110</f>
        <v>472663.60000000009</v>
      </c>
      <c r="F85" s="19">
        <f>+E85/$E$8</f>
        <v>2.8103350079131914E-4</v>
      </c>
      <c r="H85" s="5" t="s">
        <v>270</v>
      </c>
      <c r="K85" s="1" t="b">
        <f t="shared" si="0"/>
        <v>0</v>
      </c>
    </row>
    <row r="86" spans="1:11" x14ac:dyDescent="0.3">
      <c r="A86" s="5" t="s">
        <v>39</v>
      </c>
      <c r="B86" s="13">
        <v>11443875.35</v>
      </c>
      <c r="C86" s="13">
        <v>11270901.6</v>
      </c>
      <c r="D86" s="18" t="b">
        <f>+A86='Ene-Abr 2021_Destino'!A65</f>
        <v>1</v>
      </c>
      <c r="E86" s="18">
        <f>+B86-'Ene-Abr 2021_Destino'!B65</f>
        <v>387507.03999999911</v>
      </c>
      <c r="F86" s="19">
        <f>+E86/$E$8</f>
        <v>2.3040162185639313E-4</v>
      </c>
      <c r="H86" s="5" t="s">
        <v>271</v>
      </c>
      <c r="K86" s="1" t="b">
        <f t="shared" si="0"/>
        <v>0</v>
      </c>
    </row>
    <row r="87" spans="1:11" x14ac:dyDescent="0.3">
      <c r="A87" s="5" t="s">
        <v>79</v>
      </c>
      <c r="B87" s="13">
        <v>66234389.340000004</v>
      </c>
      <c r="C87" s="13">
        <v>137663887.27000001</v>
      </c>
      <c r="D87" s="18" t="b">
        <f>+A87='Ene-Abr 2021_Destino'!A60</f>
        <v>1</v>
      </c>
      <c r="E87" s="18">
        <f>+B87-'Ene-Abr 2021_Destino'!B60</f>
        <v>365123.31000000238</v>
      </c>
      <c r="F87" s="19">
        <f>+E87/$E$8</f>
        <v>2.1709283733677549E-4</v>
      </c>
      <c r="H87" s="5" t="s">
        <v>220</v>
      </c>
      <c r="K87" s="1" t="b">
        <f t="shared" ref="K87:K150" si="1">I87=H87</f>
        <v>0</v>
      </c>
    </row>
    <row r="88" spans="1:11" x14ac:dyDescent="0.3">
      <c r="A88" s="5" t="s">
        <v>30</v>
      </c>
      <c r="B88" s="13">
        <v>1089788.74</v>
      </c>
      <c r="C88" s="13">
        <v>392951.89</v>
      </c>
      <c r="D88" s="18" t="b">
        <f>+A88='Ene-Abr 2021_Destino'!A33</f>
        <v>1</v>
      </c>
      <c r="E88" s="18">
        <f>+B88-'Ene-Abr 2021_Destino'!B33</f>
        <v>296486.49</v>
      </c>
      <c r="F88" s="19">
        <f>+E88/$E$8</f>
        <v>1.7628316676391076E-4</v>
      </c>
      <c r="H88" s="5" t="s">
        <v>244</v>
      </c>
      <c r="K88" s="1" t="b">
        <f t="shared" si="1"/>
        <v>0</v>
      </c>
    </row>
    <row r="89" spans="1:11" x14ac:dyDescent="0.3">
      <c r="A89" s="5" t="s">
        <v>130</v>
      </c>
      <c r="B89" s="13">
        <v>815740.6</v>
      </c>
      <c r="C89" s="13">
        <v>257755.58</v>
      </c>
      <c r="D89" s="18" t="b">
        <f>+A89='Ene-Abr 2021_Destino'!A135</f>
        <v>1</v>
      </c>
      <c r="E89" s="18">
        <f>+B89-'Ene-Abr 2021_Destino'!B135</f>
        <v>281036.89</v>
      </c>
      <c r="F89" s="19">
        <f>+E89/$E$8</f>
        <v>1.6709723585273936E-4</v>
      </c>
      <c r="H89" s="5" t="s">
        <v>272</v>
      </c>
      <c r="K89" s="1" t="b">
        <f t="shared" si="1"/>
        <v>0</v>
      </c>
    </row>
    <row r="90" spans="1:11" x14ac:dyDescent="0.3">
      <c r="A90" s="5" t="s">
        <v>65</v>
      </c>
      <c r="B90" s="13">
        <v>7248710.8600000003</v>
      </c>
      <c r="C90" s="13">
        <v>13941721.09</v>
      </c>
      <c r="D90" s="18" t="b">
        <f>+A90='Ene-Abr 2021_Destino'!A111</f>
        <v>1</v>
      </c>
      <c r="E90" s="18">
        <f>+B90-'Ene-Abr 2021_Destino'!B111</f>
        <v>278137.54000000004</v>
      </c>
      <c r="F90" s="19">
        <f>+E90/$E$8</f>
        <v>1.6537335764312198E-4</v>
      </c>
      <c r="H90" s="5" t="s">
        <v>243</v>
      </c>
      <c r="K90" s="1" t="b">
        <f t="shared" si="1"/>
        <v>0</v>
      </c>
    </row>
    <row r="91" spans="1:11" x14ac:dyDescent="0.3">
      <c r="A91" s="5" t="s">
        <v>17</v>
      </c>
      <c r="B91" s="13">
        <v>712991.5</v>
      </c>
      <c r="C91" s="13">
        <v>3136286.16</v>
      </c>
      <c r="D91" s="18" t="b">
        <f>+A91='Ene-Abr 2021_Destino'!A92</f>
        <v>1</v>
      </c>
      <c r="E91" s="18">
        <f>+B91-'Ene-Abr 2021_Destino'!B92</f>
        <v>260016.65999999997</v>
      </c>
      <c r="F91" s="19">
        <f>+E91/$E$8</f>
        <v>1.545991530210199E-4</v>
      </c>
      <c r="H91" s="5" t="s">
        <v>273</v>
      </c>
      <c r="K91" s="1" t="b">
        <f t="shared" si="1"/>
        <v>0</v>
      </c>
    </row>
    <row r="92" spans="1:11" x14ac:dyDescent="0.3">
      <c r="A92" s="5" t="s">
        <v>136</v>
      </c>
      <c r="B92" s="13">
        <v>820001.51</v>
      </c>
      <c r="C92" s="13">
        <v>149729.32</v>
      </c>
      <c r="D92" s="18" t="b">
        <f>+A92='Ene-Abr 2021_Destino'!A44</f>
        <v>1</v>
      </c>
      <c r="E92" s="18">
        <f>+B92-'Ene-Abr 2021_Destino'!B44</f>
        <v>193097.02000000002</v>
      </c>
      <c r="F92" s="19">
        <f>+E92/$E$8</f>
        <v>1.1481047307846714E-4</v>
      </c>
      <c r="H92" s="5" t="s">
        <v>274</v>
      </c>
      <c r="K92" s="1" t="b">
        <f t="shared" si="1"/>
        <v>0</v>
      </c>
    </row>
    <row r="93" spans="1:11" x14ac:dyDescent="0.3">
      <c r="A93" s="5" t="s">
        <v>99</v>
      </c>
      <c r="B93" s="13">
        <v>1505907.73</v>
      </c>
      <c r="C93" s="13">
        <v>172883.22</v>
      </c>
      <c r="D93" s="18" t="b">
        <f>+A93='Ene-Abr 2021_Destino'!A120</f>
        <v>1</v>
      </c>
      <c r="E93" s="18">
        <f>+B93-'Ene-Abr 2021_Destino'!B120</f>
        <v>188429.54000000004</v>
      </c>
      <c r="F93" s="19">
        <f>+E93/$E$8</f>
        <v>1.1203531069178566E-4</v>
      </c>
      <c r="H93" s="5" t="s">
        <v>275</v>
      </c>
      <c r="K93" s="1" t="b">
        <f t="shared" si="1"/>
        <v>0</v>
      </c>
    </row>
    <row r="94" spans="1:11" x14ac:dyDescent="0.3">
      <c r="A94" s="5" t="s">
        <v>87</v>
      </c>
      <c r="B94" s="13">
        <v>2167344.7999999998</v>
      </c>
      <c r="C94" s="13">
        <v>3214565.12</v>
      </c>
      <c r="D94" s="18" t="b">
        <f>+A94='Ene-Abr 2021_Destino'!A115</f>
        <v>1</v>
      </c>
      <c r="E94" s="18">
        <f>+B94-'Ene-Abr 2021_Destino'!B115</f>
        <v>186584.84999999986</v>
      </c>
      <c r="F94" s="19">
        <f>+E94/$E$8</f>
        <v>1.1093850592709723E-4</v>
      </c>
      <c r="H94" s="5" t="s">
        <v>276</v>
      </c>
      <c r="K94" s="1" t="b">
        <f t="shared" si="1"/>
        <v>0</v>
      </c>
    </row>
    <row r="95" spans="1:11" x14ac:dyDescent="0.3">
      <c r="A95" s="5" t="s">
        <v>135</v>
      </c>
      <c r="B95" s="13">
        <v>415385.72</v>
      </c>
      <c r="C95" s="13">
        <v>377737.36</v>
      </c>
      <c r="D95" s="18" t="b">
        <f>+A95='Ene-Abr 2021_Destino'!A67</f>
        <v>1</v>
      </c>
      <c r="E95" s="18">
        <f>+B95-'Ene-Abr 2021_Destino'!B67</f>
        <v>171354.29999999996</v>
      </c>
      <c r="F95" s="19">
        <f>+E95/$E$8</f>
        <v>1.0188281645687528E-4</v>
      </c>
      <c r="H95" s="5" t="s">
        <v>277</v>
      </c>
      <c r="K95" s="1" t="b">
        <f t="shared" si="1"/>
        <v>0</v>
      </c>
    </row>
    <row r="96" spans="1:11" x14ac:dyDescent="0.3">
      <c r="A96" s="5" t="s">
        <v>63</v>
      </c>
      <c r="B96" s="13">
        <v>361205.86</v>
      </c>
      <c r="C96" s="13">
        <v>634764.34</v>
      </c>
      <c r="D96" s="18" t="b">
        <f>+A96='Ene-Abr 2021_Destino'!A102</f>
        <v>1</v>
      </c>
      <c r="E96" s="18">
        <f>+B96-'Ene-Abr 2021_Destino'!B102</f>
        <v>164035.53</v>
      </c>
      <c r="F96" s="19">
        <f>+E96/$E$8</f>
        <v>9.7531265894093485E-5</v>
      </c>
      <c r="H96" s="5" t="s">
        <v>278</v>
      </c>
      <c r="K96" s="1" t="b">
        <f t="shared" si="1"/>
        <v>0</v>
      </c>
    </row>
    <row r="97" spans="1:11" x14ac:dyDescent="0.3">
      <c r="A97" s="5" t="s">
        <v>74</v>
      </c>
      <c r="B97" s="13">
        <v>19880840.93</v>
      </c>
      <c r="C97" s="13">
        <v>28656535.739999998</v>
      </c>
      <c r="D97" s="18" t="b">
        <f>+A97='Ene-Abr 2021_Destino'!A25</f>
        <v>1</v>
      </c>
      <c r="E97" s="18">
        <f>+B97-'Ene-Abr 2021_Destino'!B25</f>
        <v>163096.50999999791</v>
      </c>
      <c r="F97" s="19">
        <f>+E97/$E$8</f>
        <v>9.6972948989822345E-5</v>
      </c>
      <c r="H97" s="5" t="s">
        <v>225</v>
      </c>
      <c r="K97" s="1" t="b">
        <f t="shared" si="1"/>
        <v>0</v>
      </c>
    </row>
    <row r="98" spans="1:11" x14ac:dyDescent="0.3">
      <c r="A98" s="5" t="s">
        <v>73</v>
      </c>
      <c r="B98" s="13">
        <v>739390.32</v>
      </c>
      <c r="C98" s="13">
        <v>23874.22</v>
      </c>
      <c r="D98" s="18" t="b">
        <f>+A98='Ene-Abr 2021_Destino'!A21</f>
        <v>1</v>
      </c>
      <c r="E98" s="18">
        <f>+B98-'Ene-Abr 2021_Destino'!B21</f>
        <v>159717.0199999999</v>
      </c>
      <c r="F98" s="19">
        <f>+E98/$E$8</f>
        <v>9.4963592006147926E-5</v>
      </c>
      <c r="H98" s="5" t="s">
        <v>279</v>
      </c>
      <c r="K98" s="1" t="b">
        <f t="shared" si="1"/>
        <v>0</v>
      </c>
    </row>
    <row r="99" spans="1:11" x14ac:dyDescent="0.3">
      <c r="A99" s="5" t="s">
        <v>103</v>
      </c>
      <c r="B99" s="13">
        <v>232628.62</v>
      </c>
      <c r="C99" s="13">
        <v>144934.09</v>
      </c>
      <c r="D99" s="18" t="b">
        <f>+A99='Ene-Abr 2021_Destino'!A107</f>
        <v>1</v>
      </c>
      <c r="E99" s="18">
        <f>+B99-'Ene-Abr 2021_Destino'!B107</f>
        <v>124868.09</v>
      </c>
      <c r="F99" s="19">
        <f>+E99/$E$8</f>
        <v>7.4243323306100791E-5</v>
      </c>
      <c r="H99" s="5" t="s">
        <v>280</v>
      </c>
      <c r="K99" s="1" t="b">
        <f t="shared" si="1"/>
        <v>0</v>
      </c>
    </row>
    <row r="100" spans="1:11" x14ac:dyDescent="0.3">
      <c r="A100" s="5" t="s">
        <v>40</v>
      </c>
      <c r="B100" s="13">
        <v>584761.18999999994</v>
      </c>
      <c r="C100" s="13">
        <v>362624.34</v>
      </c>
      <c r="D100" s="18" t="b">
        <f>+A100='Ene-Abr 2021_Destino'!A69</f>
        <v>1</v>
      </c>
      <c r="E100" s="18">
        <f>+B100-'Ene-Abr 2021_Destino'!B69</f>
        <v>109986.50999999995</v>
      </c>
      <c r="F100" s="19">
        <f>+E100/$E$8</f>
        <v>6.5395122334614749E-5</v>
      </c>
      <c r="H100" s="5" t="s">
        <v>281</v>
      </c>
      <c r="K100" s="1" t="b">
        <f t="shared" si="1"/>
        <v>0</v>
      </c>
    </row>
    <row r="101" spans="1:11" x14ac:dyDescent="0.3">
      <c r="A101" s="5" t="s">
        <v>80</v>
      </c>
      <c r="B101" s="13">
        <v>36470005.840000004</v>
      </c>
      <c r="C101" s="13">
        <v>79681246.219999999</v>
      </c>
      <c r="D101" s="18" t="b">
        <f>+A101='Ene-Abr 2021_Destino'!A64</f>
        <v>1</v>
      </c>
      <c r="E101" s="18">
        <f>+B101-'Ene-Abr 2021_Destino'!B64</f>
        <v>100400.27000000328</v>
      </c>
      <c r="F101" s="19">
        <f>+E101/$E$8</f>
        <v>5.9695392999364812E-5</v>
      </c>
      <c r="H101" s="5" t="s">
        <v>229</v>
      </c>
      <c r="K101" s="1" t="b">
        <f t="shared" si="1"/>
        <v>0</v>
      </c>
    </row>
    <row r="102" spans="1:11" x14ac:dyDescent="0.3">
      <c r="A102" s="5" t="s">
        <v>110</v>
      </c>
      <c r="B102" s="13">
        <v>660236.51</v>
      </c>
      <c r="C102" s="13">
        <v>1975189.78</v>
      </c>
      <c r="D102" s="18" t="b">
        <f>+A102='Ene-Abr 2021_Destino'!A38</f>
        <v>1</v>
      </c>
      <c r="E102" s="18">
        <f>+B102-'Ene-Abr 2021_Destino'!B38</f>
        <v>92905.550000000047</v>
      </c>
      <c r="F102" s="19">
        <f>+E102/$E$8</f>
        <v>5.5239227136261281E-5</v>
      </c>
      <c r="H102" s="5" t="s">
        <v>282</v>
      </c>
      <c r="K102" s="1" t="b">
        <f t="shared" si="1"/>
        <v>0</v>
      </c>
    </row>
    <row r="103" spans="1:11" x14ac:dyDescent="0.3">
      <c r="A103" s="5" t="s">
        <v>14</v>
      </c>
      <c r="B103" s="13">
        <v>5862532.2800000003</v>
      </c>
      <c r="C103" s="13">
        <v>15820050.189999999</v>
      </c>
      <c r="D103" s="18" t="b">
        <f>+A103='Ene-Abr 2021_Destino'!A63</f>
        <v>1</v>
      </c>
      <c r="E103" s="18">
        <f>+B103-'Ene-Abr 2021_Destino'!B63</f>
        <v>90529.230000000447</v>
      </c>
      <c r="F103" s="19">
        <f>+E103/$E$8</f>
        <v>5.3826328980785982E-5</v>
      </c>
      <c r="H103" s="5" t="s">
        <v>283</v>
      </c>
      <c r="K103" s="1" t="b">
        <f t="shared" si="1"/>
        <v>0</v>
      </c>
    </row>
    <row r="104" spans="1:11" x14ac:dyDescent="0.3">
      <c r="A104" s="5" t="s">
        <v>125</v>
      </c>
      <c r="B104" s="13">
        <v>1207624.74</v>
      </c>
      <c r="C104" s="13">
        <v>2391851.2000000002</v>
      </c>
      <c r="D104" s="18" t="b">
        <f>+A104='Ene-Abr 2021_Destino'!A117</f>
        <v>1</v>
      </c>
      <c r="E104" s="18">
        <f>+B104-'Ene-Abr 2021_Destino'!B117</f>
        <v>79119.679999999935</v>
      </c>
      <c r="F104" s="19">
        <f>+E104/$E$8</f>
        <v>4.7042506873575401E-5</v>
      </c>
      <c r="H104" s="5" t="s">
        <v>284</v>
      </c>
      <c r="K104" s="1" t="b">
        <f t="shared" si="1"/>
        <v>0</v>
      </c>
    </row>
    <row r="105" spans="1:11" x14ac:dyDescent="0.3">
      <c r="A105" s="5" t="s">
        <v>66</v>
      </c>
      <c r="B105" s="13">
        <v>184845.27</v>
      </c>
      <c r="C105" s="13">
        <v>196798.6</v>
      </c>
      <c r="D105" s="18" t="b">
        <f>+A105='Ene-Abr 2021_Destino'!A130</f>
        <v>1</v>
      </c>
      <c r="E105" s="18">
        <f>+B105-'Ene-Abr 2021_Destino'!B130</f>
        <v>65209.509999999995</v>
      </c>
      <c r="F105" s="19">
        <f>+E105/$E$8</f>
        <v>3.8771881059143393E-5</v>
      </c>
      <c r="H105" s="5" t="s">
        <v>285</v>
      </c>
      <c r="K105" s="1" t="b">
        <f t="shared" si="1"/>
        <v>0</v>
      </c>
    </row>
    <row r="106" spans="1:11" x14ac:dyDescent="0.3">
      <c r="A106" s="5" t="s">
        <v>16</v>
      </c>
      <c r="B106" s="13">
        <v>103350.63</v>
      </c>
      <c r="C106" s="13">
        <v>124937.83</v>
      </c>
      <c r="D106" s="18" t="b">
        <f>+A106='Ene-Abr 2021_Destino'!A87</f>
        <v>1</v>
      </c>
      <c r="E106" s="18">
        <f>+B106-'Ene-Abr 2021_Destino'!B87</f>
        <v>64599.540000000008</v>
      </c>
      <c r="F106" s="19">
        <f>+E106/$E$8</f>
        <v>3.8409208738961179E-5</v>
      </c>
      <c r="H106" s="5" t="s">
        <v>228</v>
      </c>
      <c r="K106" s="1" t="b">
        <f t="shared" si="1"/>
        <v>0</v>
      </c>
    </row>
    <row r="107" spans="1:11" x14ac:dyDescent="0.3">
      <c r="A107" s="5" t="s">
        <v>96</v>
      </c>
      <c r="B107" s="13">
        <v>134149.09</v>
      </c>
      <c r="C107" s="13">
        <v>41247.980000000003</v>
      </c>
      <c r="D107" s="18" t="b">
        <f>+A107='Ene-Abr 2021_Destino'!A142</f>
        <v>1</v>
      </c>
      <c r="E107" s="18">
        <f>+B107-'Ene-Abr 2021_Destino'!B142</f>
        <v>53248.149999999994</v>
      </c>
      <c r="F107" s="19">
        <f>+E107/$E$8</f>
        <v>3.1659967057250179E-5</v>
      </c>
      <c r="H107" s="5" t="s">
        <v>286</v>
      </c>
      <c r="K107" s="1" t="b">
        <f t="shared" si="1"/>
        <v>0</v>
      </c>
    </row>
    <row r="108" spans="1:11" x14ac:dyDescent="0.3">
      <c r="A108" s="5" t="s">
        <v>13</v>
      </c>
      <c r="B108" s="13">
        <v>1869678.87</v>
      </c>
      <c r="C108" s="13">
        <v>7770014.1600000001</v>
      </c>
      <c r="D108" s="18" t="b">
        <f>+A108='Ene-Abr 2021_Destino'!A62</f>
        <v>1</v>
      </c>
      <c r="E108" s="18">
        <f>+B108-'Ene-Abr 2021_Destino'!B62</f>
        <v>23987.280000000028</v>
      </c>
      <c r="F108" s="19">
        <f>+E108/$E$8</f>
        <v>1.4262213703068313E-5</v>
      </c>
      <c r="H108" s="5" t="s">
        <v>287</v>
      </c>
      <c r="K108" s="1" t="b">
        <f t="shared" si="1"/>
        <v>0</v>
      </c>
    </row>
    <row r="109" spans="1:11" x14ac:dyDescent="0.3">
      <c r="A109" s="5" t="s">
        <v>98</v>
      </c>
      <c r="B109" s="13">
        <v>45884.21</v>
      </c>
      <c r="C109" s="13">
        <v>56579.72</v>
      </c>
      <c r="D109" s="18" t="b">
        <f>+A109='Ene-Abr 2021_Destino'!A89</f>
        <v>1</v>
      </c>
      <c r="E109" s="18">
        <f>+B109-'Ene-Abr 2021_Destino'!B89</f>
        <v>23465.84</v>
      </c>
      <c r="F109" s="19">
        <f>+E109/$E$8</f>
        <v>1.3952179021631806E-5</v>
      </c>
      <c r="H109" s="5" t="s">
        <v>288</v>
      </c>
      <c r="K109" s="1" t="b">
        <f t="shared" si="1"/>
        <v>0</v>
      </c>
    </row>
    <row r="110" spans="1:11" x14ac:dyDescent="0.3">
      <c r="A110" s="5" t="s">
        <v>11</v>
      </c>
      <c r="B110" s="13">
        <v>83939.44</v>
      </c>
      <c r="C110" s="13">
        <v>141651.95000000001</v>
      </c>
      <c r="D110" s="18" t="b">
        <f>+A110='Ene-Abr 2021_Destino'!A26</f>
        <v>1</v>
      </c>
      <c r="E110" s="18">
        <f>+B110-'Ene-Abr 2021_Destino'!B26</f>
        <v>19951.630000000005</v>
      </c>
      <c r="F110" s="19">
        <f>+E110/$E$8</f>
        <v>1.1862721024832687E-5</v>
      </c>
      <c r="H110" s="5" t="s">
        <v>289</v>
      </c>
      <c r="K110" s="1" t="b">
        <f t="shared" si="1"/>
        <v>0</v>
      </c>
    </row>
    <row r="111" spans="1:11" x14ac:dyDescent="0.3">
      <c r="A111" s="5" t="s">
        <v>37</v>
      </c>
      <c r="B111" s="13">
        <v>139944.85999999999</v>
      </c>
      <c r="C111" s="13">
        <v>177878.86</v>
      </c>
      <c r="D111" s="18" t="b">
        <f>+A111='Ene-Abr 2021_Destino'!A50</f>
        <v>1</v>
      </c>
      <c r="E111" s="18">
        <f>+B111-'Ene-Abr 2021_Destino'!B50</f>
        <v>17092.239999999991</v>
      </c>
      <c r="F111" s="19">
        <f>+E111/$E$8</f>
        <v>1.016260199339533E-5</v>
      </c>
      <c r="H111" s="5" t="s">
        <v>290</v>
      </c>
      <c r="K111" s="1" t="b">
        <f t="shared" si="1"/>
        <v>0</v>
      </c>
    </row>
    <row r="112" spans="1:11" x14ac:dyDescent="0.3">
      <c r="A112" s="5" t="s">
        <v>117</v>
      </c>
      <c r="B112" s="13">
        <v>266603.53999999998</v>
      </c>
      <c r="C112" s="13">
        <v>1089973.3400000001</v>
      </c>
      <c r="D112" s="18" t="b">
        <f>+A112='Ene-Abr 2021_Destino'!A86</f>
        <v>1</v>
      </c>
      <c r="E112" s="18">
        <f>+B112-'Ene-Abr 2021_Destino'!B86</f>
        <v>14990.159999999974</v>
      </c>
      <c r="F112" s="19">
        <f>+E112/$E$8</f>
        <v>8.9127598195037496E-6</v>
      </c>
      <c r="H112" s="5" t="s">
        <v>291</v>
      </c>
      <c r="K112" s="1" t="b">
        <f t="shared" si="1"/>
        <v>0</v>
      </c>
    </row>
    <row r="113" spans="1:11" x14ac:dyDescent="0.3">
      <c r="A113" s="5" t="s">
        <v>82</v>
      </c>
      <c r="B113" s="13">
        <v>34372725.32</v>
      </c>
      <c r="C113" s="13">
        <v>125764565.45</v>
      </c>
      <c r="D113" s="18" t="b">
        <f>+A113='Ene-Abr 2021_Destino'!A76</f>
        <v>1</v>
      </c>
      <c r="E113" s="18">
        <f>+B113-'Ene-Abr 2021_Destino'!B76</f>
        <v>14446.25</v>
      </c>
      <c r="F113" s="19">
        <f>+E113/$E$8</f>
        <v>8.5893650596462123E-6</v>
      </c>
      <c r="H113" s="5" t="s">
        <v>218</v>
      </c>
      <c r="K113" s="1" t="b">
        <f t="shared" si="1"/>
        <v>0</v>
      </c>
    </row>
    <row r="114" spans="1:11" x14ac:dyDescent="0.3">
      <c r="A114" s="5" t="s">
        <v>9</v>
      </c>
      <c r="B114" s="13">
        <v>357280.04</v>
      </c>
      <c r="C114" s="13">
        <v>1766651.11</v>
      </c>
      <c r="D114" s="18" t="b">
        <f>+A114='Ene-Abr 2021_Destino'!A32</f>
        <v>1</v>
      </c>
      <c r="E114" s="18">
        <f>+B114-'Ene-Abr 2021_Destino'!B32</f>
        <v>14329.969999999972</v>
      </c>
      <c r="F114" s="19">
        <f>+E114/$E$8</f>
        <v>8.52022799160877E-6</v>
      </c>
      <c r="H114" s="5" t="s">
        <v>292</v>
      </c>
      <c r="K114" s="1" t="b">
        <f t="shared" si="1"/>
        <v>0</v>
      </c>
    </row>
    <row r="115" spans="1:11" x14ac:dyDescent="0.3">
      <c r="A115" s="5" t="s">
        <v>75</v>
      </c>
      <c r="B115" s="13">
        <v>634105.94999999995</v>
      </c>
      <c r="C115" s="13">
        <v>480427.12</v>
      </c>
      <c r="D115" s="18" t="b">
        <f>+A115='Ene-Abr 2021_Destino'!A31</f>
        <v>1</v>
      </c>
      <c r="E115" s="18">
        <f>+B115-'Ene-Abr 2021_Destino'!B31</f>
        <v>13193.839999999967</v>
      </c>
      <c r="F115" s="19">
        <f>+E115/$E$8</f>
        <v>7.8447146005753955E-6</v>
      </c>
      <c r="H115" s="5" t="s">
        <v>293</v>
      </c>
      <c r="K115" s="1" t="b">
        <f t="shared" si="1"/>
        <v>0</v>
      </c>
    </row>
    <row r="116" spans="1:11" x14ac:dyDescent="0.3">
      <c r="A116" s="5" t="s">
        <v>60</v>
      </c>
      <c r="B116" s="13">
        <v>839431.64</v>
      </c>
      <c r="C116" s="13">
        <v>4773770.04</v>
      </c>
      <c r="D116" s="18" t="b">
        <f>+A116='Ene-Abr 2021_Destino'!A83</f>
        <v>1</v>
      </c>
      <c r="E116" s="18">
        <f>+B116-'Ene-Abr 2021_Destino'!B83</f>
        <v>11270.849999999977</v>
      </c>
      <c r="F116" s="19">
        <f>+E116/$E$8</f>
        <v>6.7013546894532009E-6</v>
      </c>
      <c r="H116" s="5" t="s">
        <v>294</v>
      </c>
      <c r="K116" s="1" t="b">
        <f t="shared" si="1"/>
        <v>0</v>
      </c>
    </row>
    <row r="117" spans="1:11" x14ac:dyDescent="0.3">
      <c r="A117" s="5" t="s">
        <v>100</v>
      </c>
      <c r="B117" s="13">
        <v>18307.169999999998</v>
      </c>
      <c r="C117" s="13">
        <v>12946.72</v>
      </c>
      <c r="D117" s="18" t="b">
        <f>+A117='Ene-Abr 2021_Destino'!A127</f>
        <v>1</v>
      </c>
      <c r="E117" s="18">
        <f>+B117-'Ene-Abr 2021_Destino'!B127</f>
        <v>6218.3599999999988</v>
      </c>
      <c r="F117" s="19">
        <f>+E117/$E$8</f>
        <v>3.6972753560475284E-6</v>
      </c>
      <c r="H117" s="5" t="s">
        <v>295</v>
      </c>
      <c r="K117" s="1" t="b">
        <f t="shared" si="1"/>
        <v>0</v>
      </c>
    </row>
    <row r="118" spans="1:11" x14ac:dyDescent="0.3">
      <c r="A118" s="5" t="s">
        <v>97</v>
      </c>
      <c r="B118" s="13">
        <v>38362.959999999999</v>
      </c>
      <c r="C118" s="13">
        <v>42174.99</v>
      </c>
      <c r="D118" s="18" t="b">
        <f>+A118='Ene-Abr 2021_Destino'!A42</f>
        <v>1</v>
      </c>
      <c r="E118" s="18">
        <f>+B118-'Ene-Abr 2021_Destino'!B42</f>
        <v>5106.4499999999971</v>
      </c>
      <c r="F118" s="19">
        <f>+E118/$E$8</f>
        <v>3.036162547985143E-6</v>
      </c>
      <c r="H118" s="5" t="s">
        <v>296</v>
      </c>
      <c r="K118" s="1" t="b">
        <f t="shared" si="1"/>
        <v>0</v>
      </c>
    </row>
    <row r="119" spans="1:11" x14ac:dyDescent="0.3">
      <c r="A119" s="5" t="s">
        <v>129</v>
      </c>
      <c r="B119" s="13">
        <v>12998.43</v>
      </c>
      <c r="C119" s="13">
        <v>20230.68</v>
      </c>
      <c r="D119" s="18" t="b">
        <f>+A119='Ene-Abr 2021_Destino'!A16</f>
        <v>1</v>
      </c>
      <c r="E119" s="18">
        <f>+B119-'Ene-Abr 2021_Destino'!B16</f>
        <v>4943.6100000000006</v>
      </c>
      <c r="F119" s="19">
        <f>+E119/$E$8</f>
        <v>2.9393421131793797E-6</v>
      </c>
      <c r="H119" s="5" t="s">
        <v>297</v>
      </c>
      <c r="K119" s="1" t="b">
        <f t="shared" si="1"/>
        <v>0</v>
      </c>
    </row>
    <row r="120" spans="1:11" x14ac:dyDescent="0.3">
      <c r="A120" s="5" t="s">
        <v>81</v>
      </c>
      <c r="B120" s="13">
        <v>41759.49</v>
      </c>
      <c r="C120" s="13">
        <v>32756.720000000001</v>
      </c>
      <c r="D120" s="18" t="b">
        <f>+A120='Ene-Abr 2021_Destino'!A71</f>
        <v>1</v>
      </c>
      <c r="E120" s="18">
        <f>+B120-'Ene-Abr 2021_Destino'!B71</f>
        <v>4876.7799999999988</v>
      </c>
      <c r="F120" s="19">
        <f>+E120/$E$8</f>
        <v>2.8996067308527434E-6</v>
      </c>
      <c r="H120" s="5" t="s">
        <v>298</v>
      </c>
      <c r="K120" s="1" t="b">
        <f t="shared" si="1"/>
        <v>0</v>
      </c>
    </row>
    <row r="121" spans="1:11" x14ac:dyDescent="0.3">
      <c r="A121" s="5" t="s">
        <v>84</v>
      </c>
      <c r="B121" s="13">
        <v>51955.23</v>
      </c>
      <c r="C121" s="13">
        <v>30262.78</v>
      </c>
      <c r="D121" s="18" t="b">
        <f>+A121='Ene-Abr 2021_Destino'!A106</f>
        <v>1</v>
      </c>
      <c r="E121" s="18">
        <f>+B121-'Ene-Abr 2021_Destino'!B106</f>
        <v>3803.5300000000061</v>
      </c>
      <c r="F121" s="19">
        <f>+E121/$E$8</f>
        <v>2.2614801547333189E-6</v>
      </c>
      <c r="H121" s="5" t="s">
        <v>299</v>
      </c>
      <c r="K121" s="1" t="b">
        <f t="shared" si="1"/>
        <v>0</v>
      </c>
    </row>
    <row r="122" spans="1:11" x14ac:dyDescent="0.3">
      <c r="A122" s="5" t="s">
        <v>119</v>
      </c>
      <c r="B122" s="13">
        <v>42004.38</v>
      </c>
      <c r="C122" s="13">
        <v>73456.570000000007</v>
      </c>
      <c r="D122" s="18" t="b">
        <f>+A122='Ene-Abr 2021_Destino'!A128</f>
        <v>1</v>
      </c>
      <c r="E122" s="18">
        <f>+B122-'Ene-Abr 2021_Destino'!B128</f>
        <v>3705.1699999999983</v>
      </c>
      <c r="F122" s="19">
        <f>+E122/$E$8</f>
        <v>2.2029978532871396E-6</v>
      </c>
      <c r="H122" s="5" t="s">
        <v>300</v>
      </c>
      <c r="K122" s="1" t="b">
        <f t="shared" si="1"/>
        <v>0</v>
      </c>
    </row>
    <row r="123" spans="1:11" x14ac:dyDescent="0.3">
      <c r="A123" s="5" t="s">
        <v>131</v>
      </c>
      <c r="B123" s="13">
        <v>6951.67</v>
      </c>
      <c r="C123" s="13">
        <v>5352.93</v>
      </c>
      <c r="D123" s="18" t="b">
        <f>+A123='Ene-Abr 2021_Destino'!A84</f>
        <v>1</v>
      </c>
      <c r="E123" s="18">
        <f>+B123-'Ene-Abr 2021_Destino'!B84</f>
        <v>3594.5</v>
      </c>
      <c r="F123" s="19">
        <f>+E123/$E$8</f>
        <v>2.1371963455497661E-6</v>
      </c>
      <c r="H123" s="5" t="s">
        <v>226</v>
      </c>
      <c r="K123" s="1" t="b">
        <f t="shared" si="1"/>
        <v>0</v>
      </c>
    </row>
    <row r="124" spans="1:11" x14ac:dyDescent="0.3">
      <c r="A124" s="5" t="s">
        <v>116</v>
      </c>
      <c r="B124" s="13">
        <v>2542800.91</v>
      </c>
      <c r="C124" s="13">
        <v>11422821.98</v>
      </c>
      <c r="D124" s="18" t="b">
        <f>+A124='Ene-Abr 2021_Destino'!A66</f>
        <v>1</v>
      </c>
      <c r="E124" s="18">
        <f>+B124-'Ene-Abr 2021_Destino'!B66</f>
        <v>3366.2200000002049</v>
      </c>
      <c r="F124" s="19">
        <f>+E124/$E$8</f>
        <v>2.0014669863171432E-6</v>
      </c>
      <c r="H124" s="5" t="s">
        <v>301</v>
      </c>
      <c r="K124" s="1" t="b">
        <f t="shared" si="1"/>
        <v>0</v>
      </c>
    </row>
    <row r="125" spans="1:11" x14ac:dyDescent="0.3">
      <c r="A125" s="5" t="s">
        <v>91</v>
      </c>
      <c r="B125" s="13">
        <v>10714.61</v>
      </c>
      <c r="C125" s="13">
        <v>14274.33</v>
      </c>
      <c r="D125" s="18" t="b">
        <f>+A125='Ene-Abr 2021_Destino'!A36</f>
        <v>1</v>
      </c>
      <c r="E125" s="18">
        <f>+B125-'Ene-Abr 2021_Destino'!B36</f>
        <v>3053.26</v>
      </c>
      <c r="F125" s="19">
        <f>+E125/$E$8</f>
        <v>1.8153890983483877E-6</v>
      </c>
      <c r="H125" s="5" t="s">
        <v>241</v>
      </c>
      <c r="K125" s="1" t="b">
        <f t="shared" si="1"/>
        <v>0</v>
      </c>
    </row>
    <row r="126" spans="1:11" x14ac:dyDescent="0.3">
      <c r="A126" s="5" t="s">
        <v>46</v>
      </c>
      <c r="B126" s="13">
        <v>17775.689999999999</v>
      </c>
      <c r="C126" s="13">
        <v>22860.36</v>
      </c>
      <c r="D126" s="18" t="b">
        <f>+A126='Ene-Abr 2021_Destino'!A139</f>
        <v>0</v>
      </c>
      <c r="E126" s="18">
        <f>+B126-'Ene-Abr 2021_Destino'!B139</f>
        <v>2983.4799999999996</v>
      </c>
      <c r="F126" s="19">
        <f>+E126/$E$8</f>
        <v>1.7738997226375896E-6</v>
      </c>
      <c r="H126" s="5" t="s">
        <v>302</v>
      </c>
      <c r="K126" s="1" t="b">
        <f t="shared" si="1"/>
        <v>0</v>
      </c>
    </row>
    <row r="127" spans="1:11" x14ac:dyDescent="0.3">
      <c r="A127" s="5" t="s">
        <v>128</v>
      </c>
      <c r="B127" s="13">
        <v>3480.79</v>
      </c>
      <c r="C127" s="13">
        <v>51.79</v>
      </c>
      <c r="D127" s="18" t="b">
        <f>+A127='Ene-Abr 2021_Destino'!A81</f>
        <v>1</v>
      </c>
      <c r="E127" s="18">
        <f>+B127-'Ene-Abr 2021_Destino'!B81</f>
        <v>2570</v>
      </c>
      <c r="F127" s="19">
        <f>+E127/$E$8</f>
        <v>1.528055253321157E-6</v>
      </c>
      <c r="H127" s="5" t="s">
        <v>303</v>
      </c>
      <c r="K127" s="1" t="b">
        <f t="shared" si="1"/>
        <v>0</v>
      </c>
    </row>
    <row r="128" spans="1:11" x14ac:dyDescent="0.3">
      <c r="A128" s="5" t="s">
        <v>144</v>
      </c>
      <c r="B128" s="13">
        <v>8942.9500000000007</v>
      </c>
      <c r="C128" s="13">
        <v>15301</v>
      </c>
      <c r="D128" s="18" t="b">
        <f>+A128='Ene-Abr 2021_Destino'!A61</f>
        <v>1</v>
      </c>
      <c r="E128" s="18">
        <f>+B128-'Ene-Abr 2021_Destino'!B61</f>
        <v>1872.4900000000007</v>
      </c>
      <c r="F128" s="19">
        <f>+E128/$E$8</f>
        <v>1.1133339226814531E-6</v>
      </c>
      <c r="H128" s="5" t="s">
        <v>304</v>
      </c>
      <c r="K128" s="1" t="b">
        <f t="shared" si="1"/>
        <v>0</v>
      </c>
    </row>
    <row r="129" spans="1:11" x14ac:dyDescent="0.3">
      <c r="A129" s="5" t="s">
        <v>137</v>
      </c>
      <c r="B129" s="13">
        <v>9737.73</v>
      </c>
      <c r="C129" s="13">
        <v>17545.580000000002</v>
      </c>
      <c r="D129" s="18" t="b">
        <f>+A129='Ene-Abr 2021_Destino'!A23</f>
        <v>1</v>
      </c>
      <c r="E129" s="18">
        <f>+B129-'Ene-Abr 2021_Destino'!B23</f>
        <v>1854.9599999999991</v>
      </c>
      <c r="F129" s="19">
        <f>+E129/$E$8</f>
        <v>1.1029110399613277E-6</v>
      </c>
      <c r="H129" s="5" t="s">
        <v>305</v>
      </c>
      <c r="K129" s="1" t="b">
        <f t="shared" si="1"/>
        <v>0</v>
      </c>
    </row>
    <row r="130" spans="1:11" x14ac:dyDescent="0.3">
      <c r="A130" s="5" t="s">
        <v>90</v>
      </c>
      <c r="B130" s="13">
        <v>5568.44</v>
      </c>
      <c r="C130" s="13">
        <v>4709.5</v>
      </c>
      <c r="D130" s="18" t="b">
        <f>+A130='Ene-Abr 2021_Destino'!A134</f>
        <v>1</v>
      </c>
      <c r="E130" s="18">
        <f>+B130-'Ene-Abr 2021_Destino'!B134</f>
        <v>1579.3099999999995</v>
      </c>
      <c r="F130" s="19">
        <f>+E130/$E$8</f>
        <v>9.3901670899713457E-7</v>
      </c>
      <c r="H130" s="5" t="s">
        <v>306</v>
      </c>
      <c r="K130" s="1" t="b">
        <f t="shared" si="1"/>
        <v>0</v>
      </c>
    </row>
    <row r="131" spans="1:11" x14ac:dyDescent="0.3">
      <c r="A131" s="5" t="s">
        <v>132</v>
      </c>
      <c r="B131" s="13">
        <v>6534.48</v>
      </c>
      <c r="C131" s="13">
        <v>4725.05</v>
      </c>
      <c r="D131" s="18" t="b">
        <f>+A131='Ene-Abr 2021_Destino'!A98</f>
        <v>1</v>
      </c>
      <c r="E131" s="18">
        <f>+B131-'Ene-Abr 2021_Destino'!B98</f>
        <v>1075.0899999999992</v>
      </c>
      <c r="F131" s="19">
        <f>+E131/$E$8</f>
        <v>6.3922059233192278E-7</v>
      </c>
      <c r="H131" s="5" t="s">
        <v>307</v>
      </c>
      <c r="K131" s="1" t="b">
        <f t="shared" si="1"/>
        <v>0</v>
      </c>
    </row>
    <row r="132" spans="1:11" x14ac:dyDescent="0.3">
      <c r="A132" s="5" t="s">
        <v>22</v>
      </c>
      <c r="B132" s="13">
        <v>2880598.19</v>
      </c>
      <c r="C132" s="13">
        <v>12484537.199999999</v>
      </c>
      <c r="D132" s="18" t="b">
        <f>+A132='Ene-Abr 2021_Destino'!A138</f>
        <v>1</v>
      </c>
      <c r="E132" s="18">
        <f>+B132-'Ene-Abr 2021_Destino'!B138</f>
        <v>71.759999999776483</v>
      </c>
      <c r="F132" s="19">
        <f>+E132/$E$8</f>
        <v>4.2666632287153575E-8</v>
      </c>
      <c r="H132" s="5" t="s">
        <v>308</v>
      </c>
      <c r="K132" s="1" t="b">
        <f t="shared" si="1"/>
        <v>0</v>
      </c>
    </row>
    <row r="133" spans="1:11" x14ac:dyDescent="0.3">
      <c r="A133" s="5" t="s">
        <v>127</v>
      </c>
      <c r="B133" s="13">
        <v>27866.27</v>
      </c>
      <c r="C133" s="13">
        <v>38990.639999999999</v>
      </c>
      <c r="D133" s="18" t="b">
        <f>+A133='Ene-Abr 2021_Destino'!A22</f>
        <v>1</v>
      </c>
      <c r="E133" s="18">
        <f>+B133-'Ene-Abr 2021_Destino'!B22</f>
        <v>0</v>
      </c>
      <c r="F133" s="19">
        <f>+E133/$E$8</f>
        <v>0</v>
      </c>
      <c r="H133" s="5" t="s">
        <v>309</v>
      </c>
      <c r="K133" s="1" t="b">
        <f t="shared" si="1"/>
        <v>0</v>
      </c>
    </row>
    <row r="134" spans="1:11" x14ac:dyDescent="0.3">
      <c r="A134" s="5" t="s">
        <v>121</v>
      </c>
      <c r="B134" s="13">
        <v>70657.960000000006</v>
      </c>
      <c r="C134" s="13">
        <v>124762</v>
      </c>
      <c r="D134" s="18" t="b">
        <f>+A134='Ene-Abr 2021_Destino'!A47</f>
        <v>1</v>
      </c>
      <c r="E134" s="18">
        <f>+B134-'Ene-Abr 2021_Destino'!B47</f>
        <v>0</v>
      </c>
      <c r="F134" s="19">
        <f>+E134/$E$8</f>
        <v>0</v>
      </c>
      <c r="H134" s="5" t="s">
        <v>310</v>
      </c>
      <c r="K134" s="1" t="b">
        <f t="shared" si="1"/>
        <v>0</v>
      </c>
    </row>
    <row r="135" spans="1:11" x14ac:dyDescent="0.3">
      <c r="A135" s="5" t="s">
        <v>78</v>
      </c>
      <c r="B135" s="13">
        <v>5312.01</v>
      </c>
      <c r="C135" s="13">
        <v>4854.6499999999996</v>
      </c>
      <c r="D135" s="18" t="b">
        <f>+A135='Ene-Abr 2021_Destino'!A59</f>
        <v>1</v>
      </c>
      <c r="E135" s="18">
        <f>+B135-'Ene-Abr 2021_Destino'!B59</f>
        <v>0</v>
      </c>
      <c r="F135" s="19">
        <f>+E135/$E$8</f>
        <v>0</v>
      </c>
      <c r="H135" s="5" t="s">
        <v>311</v>
      </c>
      <c r="K135" s="1" t="b">
        <f t="shared" si="1"/>
        <v>0</v>
      </c>
    </row>
    <row r="136" spans="1:11" x14ac:dyDescent="0.3">
      <c r="A136" s="5" t="s">
        <v>149</v>
      </c>
      <c r="B136" s="13">
        <v>7465.31</v>
      </c>
      <c r="C136" s="13">
        <v>12644.02</v>
      </c>
      <c r="D136" s="18"/>
      <c r="E136" s="18"/>
      <c r="F136" s="19">
        <f>+E136/$E$8</f>
        <v>0</v>
      </c>
      <c r="H136" s="5" t="s">
        <v>245</v>
      </c>
      <c r="K136" s="1" t="b">
        <f t="shared" si="1"/>
        <v>0</v>
      </c>
    </row>
    <row r="137" spans="1:11" x14ac:dyDescent="0.3">
      <c r="A137" s="5" t="s">
        <v>123</v>
      </c>
      <c r="B137" s="13">
        <v>77446.399999999994</v>
      </c>
      <c r="C137" s="13">
        <v>173964</v>
      </c>
      <c r="D137" s="18" t="b">
        <f>+A137='Ene-Abr 2021_Destino'!A68</f>
        <v>1</v>
      </c>
      <c r="E137" s="18">
        <f>+B137-'Ene-Abr 2021_Destino'!B68</f>
        <v>0</v>
      </c>
      <c r="F137" s="19">
        <f>+E137/$E$8</f>
        <v>0</v>
      </c>
      <c r="H137" s="5" t="s">
        <v>312</v>
      </c>
      <c r="K137" s="1" t="b">
        <f t="shared" si="1"/>
        <v>0</v>
      </c>
    </row>
    <row r="138" spans="1:11" x14ac:dyDescent="0.3">
      <c r="A138" s="5" t="s">
        <v>15</v>
      </c>
      <c r="B138" s="13">
        <v>6433564.1200000001</v>
      </c>
      <c r="C138" s="13">
        <v>26960736.620000001</v>
      </c>
      <c r="D138" s="18" t="b">
        <f>+A138='Ene-Abr 2021_Destino'!A82</f>
        <v>1</v>
      </c>
      <c r="E138" s="18">
        <f>+B138-'Ene-Abr 2021_Destino'!B82</f>
        <v>0</v>
      </c>
      <c r="F138" s="19">
        <f>+E138/$E$8</f>
        <v>0</v>
      </c>
      <c r="H138" s="5" t="s">
        <v>313</v>
      </c>
      <c r="K138" s="1" t="b">
        <f t="shared" si="1"/>
        <v>0</v>
      </c>
    </row>
    <row r="139" spans="1:11" x14ac:dyDescent="0.3">
      <c r="A139" s="5" t="s">
        <v>140</v>
      </c>
      <c r="B139" s="13">
        <v>489.37</v>
      </c>
      <c r="C139" s="13">
        <v>307.14999999999998</v>
      </c>
      <c r="D139" s="18" t="b">
        <f>+A139='Ene-Abr 2021_Destino'!A93</f>
        <v>1</v>
      </c>
      <c r="E139" s="18">
        <f>+B139-'Ene-Abr 2021_Destino'!B93</f>
        <v>0</v>
      </c>
      <c r="F139" s="19">
        <f>+E139/$E$8</f>
        <v>0</v>
      </c>
      <c r="H139" s="5" t="s">
        <v>219</v>
      </c>
      <c r="K139" s="1" t="b">
        <f t="shared" si="1"/>
        <v>0</v>
      </c>
    </row>
    <row r="140" spans="1:11" x14ac:dyDescent="0.3">
      <c r="A140" s="5" t="s">
        <v>19</v>
      </c>
      <c r="B140" s="13">
        <v>1428006.58</v>
      </c>
      <c r="C140" s="13">
        <v>6272855.04</v>
      </c>
      <c r="D140" s="18" t="b">
        <f>+A140='Ene-Abr 2021_Destino'!A95</f>
        <v>1</v>
      </c>
      <c r="E140" s="18">
        <f>+B140-'Ene-Abr 2021_Destino'!B95</f>
        <v>0</v>
      </c>
      <c r="F140" s="19">
        <f>+E140/$E$8</f>
        <v>0</v>
      </c>
      <c r="H140" s="5" t="s">
        <v>314</v>
      </c>
      <c r="K140" s="1" t="b">
        <f t="shared" si="1"/>
        <v>0</v>
      </c>
    </row>
    <row r="141" spans="1:11" x14ac:dyDescent="0.3">
      <c r="A141" s="5" t="s">
        <v>118</v>
      </c>
      <c r="B141" s="13">
        <v>3835697.46</v>
      </c>
      <c r="C141" s="13">
        <v>15829677.6</v>
      </c>
      <c r="D141" s="18" t="b">
        <f>+A141='Ene-Abr 2021_Destino'!A96</f>
        <v>1</v>
      </c>
      <c r="E141" s="18">
        <f>+B141-'Ene-Abr 2021_Destino'!B96</f>
        <v>0</v>
      </c>
      <c r="F141" s="19">
        <f>+E141/$E$8</f>
        <v>0</v>
      </c>
      <c r="H141" s="5" t="s">
        <v>315</v>
      </c>
      <c r="K141" s="1" t="b">
        <f t="shared" si="1"/>
        <v>0</v>
      </c>
    </row>
    <row r="142" spans="1:11" x14ac:dyDescent="0.3">
      <c r="A142" s="5" t="s">
        <v>111</v>
      </c>
      <c r="B142" s="13">
        <v>5205.87</v>
      </c>
      <c r="C142" s="13">
        <v>3647.59</v>
      </c>
      <c r="D142" s="18" t="b">
        <f>+A142='Ene-Abr 2021_Destino'!A99</f>
        <v>1</v>
      </c>
      <c r="E142" s="18">
        <f>+B142-'Ene-Abr 2021_Destino'!B99</f>
        <v>0</v>
      </c>
      <c r="F142" s="19">
        <f>+E142/$E$8</f>
        <v>0</v>
      </c>
      <c r="H142" s="5" t="s">
        <v>316</v>
      </c>
      <c r="K142" s="1" t="b">
        <f t="shared" si="1"/>
        <v>0</v>
      </c>
    </row>
    <row r="143" spans="1:11" x14ac:dyDescent="0.3">
      <c r="A143" s="5" t="s">
        <v>134</v>
      </c>
      <c r="B143" s="13">
        <v>24174.87</v>
      </c>
      <c r="C143" s="13">
        <v>42430.85</v>
      </c>
      <c r="D143" s="18" t="b">
        <f>+A143='Ene-Abr 2021_Destino'!A104</f>
        <v>1</v>
      </c>
      <c r="E143" s="18">
        <f>+B143-'Ene-Abr 2021_Destino'!B104</f>
        <v>0</v>
      </c>
      <c r="F143" s="19">
        <f>+E143/$E$8</f>
        <v>0</v>
      </c>
      <c r="H143" s="5" t="s">
        <v>317</v>
      </c>
      <c r="K143" s="1" t="b">
        <f t="shared" si="1"/>
        <v>0</v>
      </c>
    </row>
    <row r="144" spans="1:11" x14ac:dyDescent="0.3">
      <c r="A144" s="5" t="s">
        <v>147</v>
      </c>
      <c r="B144" s="13">
        <v>54130.76</v>
      </c>
      <c r="C144" s="13">
        <v>98380</v>
      </c>
      <c r="D144" s="18" t="b">
        <f>+A144='Ene-Abr 2021_Destino'!A132</f>
        <v>1</v>
      </c>
      <c r="E144" s="18">
        <f>+B144-'Ene-Abr 2021_Destino'!B132</f>
        <v>0</v>
      </c>
      <c r="F144" s="19">
        <f>+E144/$E$8</f>
        <v>0</v>
      </c>
      <c r="H144" s="5" t="s">
        <v>318</v>
      </c>
      <c r="K144" s="1" t="b">
        <f t="shared" si="1"/>
        <v>0</v>
      </c>
    </row>
    <row r="145" spans="1:11" x14ac:dyDescent="0.3">
      <c r="A145" s="5" t="s">
        <v>150</v>
      </c>
      <c r="B145" s="13">
        <v>202237.59</v>
      </c>
      <c r="C145" s="13">
        <v>21490.25</v>
      </c>
      <c r="D145" s="18"/>
      <c r="E145" s="18"/>
      <c r="F145" s="19">
        <f>+E145/$E$8</f>
        <v>0</v>
      </c>
      <c r="H145" s="5" t="s">
        <v>319</v>
      </c>
      <c r="K145" s="1" t="b">
        <f t="shared" si="1"/>
        <v>0</v>
      </c>
    </row>
    <row r="146" spans="1:11" x14ac:dyDescent="0.3">
      <c r="A146" s="5" t="s">
        <v>23</v>
      </c>
      <c r="B146" s="13">
        <v>5434287.5999999996</v>
      </c>
      <c r="C146" s="13">
        <v>22885797.050000001</v>
      </c>
      <c r="D146" s="18" t="b">
        <f>+A146='Ene-Abr 2021_Destino'!A143</f>
        <v>1</v>
      </c>
      <c r="E146" s="18">
        <f>+B146-'Ene-Abr 2021_Destino'!B143</f>
        <v>0</v>
      </c>
      <c r="F146" s="19">
        <f>+E146/$E$8</f>
        <v>0</v>
      </c>
      <c r="H146" s="5" t="s">
        <v>320</v>
      </c>
      <c r="K146" s="1" t="b">
        <f t="shared" si="1"/>
        <v>0</v>
      </c>
    </row>
    <row r="147" spans="1:11" x14ac:dyDescent="0.3">
      <c r="A147" s="5" t="s">
        <v>7</v>
      </c>
      <c r="B147" s="13">
        <v>759627369.83000004</v>
      </c>
      <c r="C147" s="13">
        <v>1721893739.1600001</v>
      </c>
      <c r="D147" s="18"/>
      <c r="F147" s="19">
        <f>+E147/$E$8</f>
        <v>0</v>
      </c>
      <c r="H147" s="5" t="s">
        <v>7</v>
      </c>
      <c r="K147" s="1" t="b">
        <f t="shared" si="1"/>
        <v>0</v>
      </c>
    </row>
    <row r="148" spans="1:11" x14ac:dyDescent="0.3">
      <c r="A148" s="5" t="s">
        <v>27</v>
      </c>
      <c r="B148" s="13">
        <v>1382502692.4300001</v>
      </c>
      <c r="C148" s="13">
        <v>2176106931.8099999</v>
      </c>
      <c r="D148" s="18"/>
      <c r="F148" s="19">
        <f>+E148/$E$8</f>
        <v>0</v>
      </c>
      <c r="H148" s="5" t="s">
        <v>27</v>
      </c>
      <c r="K148" s="1" t="b">
        <f t="shared" si="1"/>
        <v>0</v>
      </c>
    </row>
    <row r="149" spans="1:11" x14ac:dyDescent="0.3">
      <c r="A149" s="5" t="s">
        <v>49</v>
      </c>
      <c r="B149" s="13">
        <v>3664686768.8400002</v>
      </c>
      <c r="C149" s="13">
        <v>6415998146.4399996</v>
      </c>
      <c r="D149" s="18"/>
      <c r="F149" s="19">
        <f>+E149/$E$8</f>
        <v>0</v>
      </c>
      <c r="H149" s="5" t="s">
        <v>49</v>
      </c>
      <c r="K149" s="1" t="b">
        <f t="shared" si="1"/>
        <v>0</v>
      </c>
    </row>
    <row r="150" spans="1:11" x14ac:dyDescent="0.3">
      <c r="A150" s="5" t="s">
        <v>104</v>
      </c>
      <c r="B150" s="13">
        <v>87829347.299999997</v>
      </c>
      <c r="C150" s="13">
        <v>180075665.11000001</v>
      </c>
      <c r="D150" s="18"/>
      <c r="F150" s="19">
        <f>+E150/$E$8</f>
        <v>0</v>
      </c>
      <c r="H150" s="5" t="s">
        <v>104</v>
      </c>
      <c r="K150" s="1" t="b">
        <f t="shared" si="1"/>
        <v>0</v>
      </c>
    </row>
    <row r="151" spans="1:11" x14ac:dyDescent="0.3">
      <c r="A151" s="5" t="s">
        <v>72</v>
      </c>
      <c r="B151" s="13">
        <v>1437109387.9400001</v>
      </c>
      <c r="C151" s="13">
        <v>2692202260.0500002</v>
      </c>
      <c r="D151" s="18"/>
      <c r="F151" s="19">
        <f>+E151/$E$8</f>
        <v>0</v>
      </c>
      <c r="H151" s="5" t="s">
        <v>72</v>
      </c>
      <c r="K151" s="1" t="b">
        <f t="shared" ref="K151:K153" si="2">I151=H151</f>
        <v>0</v>
      </c>
    </row>
    <row r="152" spans="1:11" x14ac:dyDescent="0.3">
      <c r="A152" s="5" t="s">
        <v>101</v>
      </c>
      <c r="B152" s="13">
        <v>21807702.690000001</v>
      </c>
      <c r="C152" s="13">
        <v>38496924.109999999</v>
      </c>
      <c r="D152" s="18"/>
      <c r="F152" s="19">
        <f>+E152/$E$8</f>
        <v>0</v>
      </c>
      <c r="H152" s="5" t="s">
        <v>101</v>
      </c>
      <c r="K152" s="1" t="b">
        <f t="shared" si="2"/>
        <v>0</v>
      </c>
    </row>
    <row r="153" spans="1:11" x14ac:dyDescent="0.3">
      <c r="A153" s="5" t="s">
        <v>106</v>
      </c>
      <c r="B153" s="13">
        <v>81744948.790000007</v>
      </c>
      <c r="C153" s="13">
        <v>171643587.53999999</v>
      </c>
      <c r="D153" s="18" t="b">
        <f>+A153='Ene-Abr 2021_Destino'!A129</f>
        <v>1</v>
      </c>
      <c r="E153" s="18">
        <f>+B153-'Ene-Abr 2021_Destino'!B129</f>
        <v>-35296673.719999999</v>
      </c>
      <c r="F153" s="19">
        <f>+E153/$E$8</f>
        <v>-2.0986485487396431E-2</v>
      </c>
      <c r="H153" s="5" t="s">
        <v>321</v>
      </c>
      <c r="K153" s="1" t="b">
        <f t="shared" si="2"/>
        <v>0</v>
      </c>
    </row>
    <row r="154" spans="1:11" ht="24" customHeight="1" x14ac:dyDescent="0.3">
      <c r="A154" s="17" t="s">
        <v>107</v>
      </c>
      <c r="B154" s="17"/>
      <c r="C154" s="17"/>
      <c r="D154" s="18"/>
      <c r="F154" s="19"/>
    </row>
    <row r="155" spans="1:11" x14ac:dyDescent="0.3">
      <c r="A155" s="10" t="s">
        <v>108</v>
      </c>
      <c r="B155" s="11"/>
      <c r="C155" s="11"/>
      <c r="D155" s="18"/>
      <c r="F155" s="19"/>
      <c r="H155" s="10" t="s">
        <v>108</v>
      </c>
    </row>
    <row r="156" spans="1:11" x14ac:dyDescent="0.3">
      <c r="A156" s="12" t="s">
        <v>112</v>
      </c>
      <c r="B156" s="11"/>
      <c r="C156" s="11"/>
      <c r="D156" s="18"/>
      <c r="F156" s="19"/>
      <c r="H156" s="12" t="s">
        <v>112</v>
      </c>
    </row>
    <row r="157" spans="1:11" x14ac:dyDescent="0.3">
      <c r="A157" s="10" t="s">
        <v>109</v>
      </c>
      <c r="B157" s="11"/>
      <c r="C157" s="11"/>
      <c r="D157" s="18"/>
      <c r="F157" s="19"/>
      <c r="H157" s="10" t="s">
        <v>109</v>
      </c>
    </row>
  </sheetData>
  <sortState xmlns:xlrd2="http://schemas.microsoft.com/office/spreadsheetml/2017/richdata2" ref="A15:F153">
    <sortCondition descending="1" ref="F15:F153"/>
  </sortState>
  <mergeCells count="3">
    <mergeCell ref="A1:C2"/>
    <mergeCell ref="B4:C4"/>
    <mergeCell ref="A154:C15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23E8B-4085-41C6-A6DF-BB1E961BA50E}">
  <dimension ref="A1:C158"/>
  <sheetViews>
    <sheetView workbookViewId="0">
      <selection activeCell="A3" sqref="A3"/>
    </sheetView>
  </sheetViews>
  <sheetFormatPr baseColWidth="10" defaultColWidth="11.44140625" defaultRowHeight="14.4" x14ac:dyDescent="0.3"/>
  <cols>
    <col min="1" max="1" width="45.88671875" style="1" customWidth="1"/>
    <col min="2" max="2" width="18.33203125" style="1" bestFit="1" customWidth="1"/>
    <col min="3" max="3" width="18.44140625" style="1" bestFit="1" customWidth="1"/>
    <col min="4" max="16384" width="11.44140625" style="1"/>
  </cols>
  <sheetData>
    <row r="1" spans="1:3" x14ac:dyDescent="0.3">
      <c r="A1" s="14" t="s">
        <v>181</v>
      </c>
      <c r="B1" s="14"/>
      <c r="C1" s="14"/>
    </row>
    <row r="2" spans="1:3" x14ac:dyDescent="0.3">
      <c r="A2" s="14"/>
      <c r="B2" s="14"/>
      <c r="C2" s="14"/>
    </row>
    <row r="3" spans="1:3" s="2" customFormat="1" ht="13.2" x14ac:dyDescent="0.25"/>
    <row r="4" spans="1:3" s="3" customFormat="1" ht="13.2" x14ac:dyDescent="0.25">
      <c r="A4" s="6"/>
      <c r="B4" s="15" t="s">
        <v>170</v>
      </c>
      <c r="C4" s="16"/>
    </row>
    <row r="5" spans="1:3" s="3" customFormat="1" ht="13.2" x14ac:dyDescent="0.25">
      <c r="A5" s="4" t="s">
        <v>2</v>
      </c>
      <c r="B5" s="7" t="s">
        <v>4</v>
      </c>
      <c r="C5" s="7" t="s">
        <v>3</v>
      </c>
    </row>
    <row r="6" spans="1:3" s="3" customFormat="1" ht="13.2" x14ac:dyDescent="0.25">
      <c r="A6" s="8"/>
      <c r="B6" s="9" t="s">
        <v>0</v>
      </c>
      <c r="C6" s="9" t="s">
        <v>1</v>
      </c>
    </row>
    <row r="8" spans="1:3" x14ac:dyDescent="0.3">
      <c r="A8" s="5" t="s">
        <v>5</v>
      </c>
      <c r="B8" s="13">
        <v>8991063933.0200005</v>
      </c>
      <c r="C8" s="13">
        <v>16164534376.1</v>
      </c>
    </row>
    <row r="9" spans="1:3" x14ac:dyDescent="0.3">
      <c r="A9" s="5" t="s">
        <v>6</v>
      </c>
      <c r="B9" s="13"/>
      <c r="C9" s="13"/>
    </row>
    <row r="10" spans="1:3" x14ac:dyDescent="0.3">
      <c r="A10" s="5" t="s">
        <v>7</v>
      </c>
      <c r="B10" s="13">
        <v>885307873.17999995</v>
      </c>
      <c r="C10" s="13">
        <v>2021989441.5699999</v>
      </c>
    </row>
    <row r="11" spans="1:3" x14ac:dyDescent="0.3">
      <c r="A11" s="5" t="s">
        <v>8</v>
      </c>
      <c r="B11" s="13">
        <v>221742420.16</v>
      </c>
      <c r="C11" s="13">
        <v>481931905.17000002</v>
      </c>
    </row>
    <row r="12" spans="1:3" x14ac:dyDescent="0.3">
      <c r="A12" s="5" t="s">
        <v>9</v>
      </c>
      <c r="B12" s="13">
        <v>400290.86</v>
      </c>
      <c r="C12" s="13">
        <v>1975627.46</v>
      </c>
    </row>
    <row r="13" spans="1:3" x14ac:dyDescent="0.3">
      <c r="A13" s="5" t="s">
        <v>110</v>
      </c>
      <c r="B13" s="13">
        <v>660236.51</v>
      </c>
      <c r="C13" s="13">
        <v>1975189.78</v>
      </c>
    </row>
    <row r="14" spans="1:3" x14ac:dyDescent="0.3">
      <c r="A14" s="5" t="s">
        <v>115</v>
      </c>
      <c r="B14" s="13" t="s">
        <v>114</v>
      </c>
      <c r="C14" s="13" t="s">
        <v>114</v>
      </c>
    </row>
    <row r="15" spans="1:3" x14ac:dyDescent="0.3">
      <c r="A15" s="5" t="s">
        <v>10</v>
      </c>
      <c r="B15" s="13">
        <v>11550848.880000001</v>
      </c>
      <c r="C15" s="13">
        <v>33431398.59</v>
      </c>
    </row>
    <row r="16" spans="1:3" x14ac:dyDescent="0.3">
      <c r="A16" s="5" t="s">
        <v>11</v>
      </c>
      <c r="B16" s="13">
        <v>87595.199999999997</v>
      </c>
      <c r="C16" s="13">
        <v>147772.35</v>
      </c>
    </row>
    <row r="17" spans="1:3" x14ac:dyDescent="0.3">
      <c r="A17" s="5" t="s">
        <v>12</v>
      </c>
      <c r="B17" s="13">
        <v>259627803.63999999</v>
      </c>
      <c r="C17" s="13">
        <v>536173048.81</v>
      </c>
    </row>
    <row r="18" spans="1:3" x14ac:dyDescent="0.3">
      <c r="A18" s="5" t="s">
        <v>144</v>
      </c>
      <c r="B18" s="13">
        <v>8942.9500000000007</v>
      </c>
      <c r="C18" s="13">
        <v>15301</v>
      </c>
    </row>
    <row r="19" spans="1:3" x14ac:dyDescent="0.3">
      <c r="A19" s="5" t="s">
        <v>13</v>
      </c>
      <c r="B19" s="13">
        <v>1901509.62</v>
      </c>
      <c r="C19" s="13">
        <v>7850213.6399999997</v>
      </c>
    </row>
    <row r="20" spans="1:3" x14ac:dyDescent="0.3">
      <c r="A20" s="5" t="s">
        <v>14</v>
      </c>
      <c r="B20" s="13">
        <v>9514583.8000000007</v>
      </c>
      <c r="C20" s="13">
        <v>24432214.550000001</v>
      </c>
    </row>
    <row r="21" spans="1:3" x14ac:dyDescent="0.3">
      <c r="A21" s="5" t="s">
        <v>116</v>
      </c>
      <c r="B21" s="13">
        <v>2542800.91</v>
      </c>
      <c r="C21" s="13">
        <v>11422821.98</v>
      </c>
    </row>
    <row r="22" spans="1:3" x14ac:dyDescent="0.3">
      <c r="A22" s="5" t="s">
        <v>15</v>
      </c>
      <c r="B22" s="13">
        <v>6433564.1200000001</v>
      </c>
      <c r="C22" s="13">
        <v>26960736.620000001</v>
      </c>
    </row>
    <row r="23" spans="1:3" x14ac:dyDescent="0.3">
      <c r="A23" s="5" t="s">
        <v>117</v>
      </c>
      <c r="B23" s="13">
        <v>266603.53999999998</v>
      </c>
      <c r="C23" s="13">
        <v>1089973.3400000001</v>
      </c>
    </row>
    <row r="24" spans="1:3" x14ac:dyDescent="0.3">
      <c r="A24" s="5" t="s">
        <v>16</v>
      </c>
      <c r="B24" s="13">
        <v>120338.4</v>
      </c>
      <c r="C24" s="13">
        <v>142993.82999999999</v>
      </c>
    </row>
    <row r="25" spans="1:3" x14ac:dyDescent="0.3">
      <c r="A25" s="5" t="s">
        <v>145</v>
      </c>
      <c r="B25" s="13" t="s">
        <v>114</v>
      </c>
      <c r="C25" s="13" t="s">
        <v>114</v>
      </c>
    </row>
    <row r="26" spans="1:3" x14ac:dyDescent="0.3">
      <c r="A26" s="5" t="s">
        <v>17</v>
      </c>
      <c r="B26" s="13">
        <v>712991.5</v>
      </c>
      <c r="C26" s="13">
        <v>3136286.16</v>
      </c>
    </row>
    <row r="27" spans="1:3" x14ac:dyDescent="0.3">
      <c r="A27" s="5" t="s">
        <v>18</v>
      </c>
      <c r="B27" s="13">
        <v>112575787.09999999</v>
      </c>
      <c r="C27" s="13">
        <v>313950726.74000001</v>
      </c>
    </row>
    <row r="28" spans="1:3" x14ac:dyDescent="0.3">
      <c r="A28" s="5" t="s">
        <v>19</v>
      </c>
      <c r="B28" s="13">
        <v>1428006.58</v>
      </c>
      <c r="C28" s="13">
        <v>6272855.04</v>
      </c>
    </row>
    <row r="29" spans="1:3" x14ac:dyDescent="0.3">
      <c r="A29" s="5" t="s">
        <v>118</v>
      </c>
      <c r="B29" s="13">
        <v>3835697.46</v>
      </c>
      <c r="C29" s="13">
        <v>15829677.6</v>
      </c>
    </row>
    <row r="30" spans="1:3" x14ac:dyDescent="0.3">
      <c r="A30" s="5" t="s">
        <v>134</v>
      </c>
      <c r="B30" s="13">
        <v>24174.87</v>
      </c>
      <c r="C30" s="13">
        <v>42430.85</v>
      </c>
    </row>
    <row r="31" spans="1:3" x14ac:dyDescent="0.3">
      <c r="A31" s="5" t="s">
        <v>20</v>
      </c>
      <c r="B31" s="13">
        <v>13291384.82</v>
      </c>
      <c r="C31" s="13">
        <v>51331651.369999997</v>
      </c>
    </row>
    <row r="32" spans="1:3" x14ac:dyDescent="0.3">
      <c r="A32" s="5" t="s">
        <v>21</v>
      </c>
      <c r="B32" s="13">
        <v>12890469.77</v>
      </c>
      <c r="C32" s="13">
        <v>44912036.399999999</v>
      </c>
    </row>
    <row r="33" spans="1:3" x14ac:dyDescent="0.3">
      <c r="A33" s="5" t="s">
        <v>119</v>
      </c>
      <c r="B33" s="13">
        <v>49719.85</v>
      </c>
      <c r="C33" s="13">
        <v>85697.37</v>
      </c>
    </row>
    <row r="34" spans="1:3" x14ac:dyDescent="0.3">
      <c r="A34" s="5" t="s">
        <v>22</v>
      </c>
      <c r="B34" s="13">
        <v>2880598.19</v>
      </c>
      <c r="C34" s="13">
        <v>12484537.199999999</v>
      </c>
    </row>
    <row r="35" spans="1:3" x14ac:dyDescent="0.3">
      <c r="A35" s="5" t="s">
        <v>120</v>
      </c>
      <c r="B35" s="13">
        <v>27349890.82</v>
      </c>
      <c r="C35" s="13">
        <v>72611703.269999996</v>
      </c>
    </row>
    <row r="36" spans="1:3" x14ac:dyDescent="0.3">
      <c r="A36" s="5" t="s">
        <v>23</v>
      </c>
      <c r="B36" s="13">
        <v>5434287.5999999996</v>
      </c>
      <c r="C36" s="13">
        <v>22885797.050000001</v>
      </c>
    </row>
    <row r="37" spans="1:3" x14ac:dyDescent="0.3">
      <c r="A37" s="5" t="s">
        <v>24</v>
      </c>
      <c r="B37" s="13">
        <v>4953773.08</v>
      </c>
      <c r="C37" s="13">
        <v>17208466.670000002</v>
      </c>
    </row>
    <row r="38" spans="1:3" x14ac:dyDescent="0.3">
      <c r="A38" s="5" t="s">
        <v>25</v>
      </c>
      <c r="B38" s="13">
        <v>46837020.68</v>
      </c>
      <c r="C38" s="13">
        <v>46181626</v>
      </c>
    </row>
    <row r="39" spans="1:3" x14ac:dyDescent="0.3">
      <c r="A39" s="5" t="s">
        <v>121</v>
      </c>
      <c r="B39" s="13">
        <v>136227.45000000001</v>
      </c>
      <c r="C39" s="13">
        <v>234223</v>
      </c>
    </row>
    <row r="40" spans="1:3" x14ac:dyDescent="0.3">
      <c r="A40" s="5" t="s">
        <v>26</v>
      </c>
      <c r="B40" s="13">
        <v>138050304.81999999</v>
      </c>
      <c r="C40" s="13">
        <v>287272529.73000002</v>
      </c>
    </row>
    <row r="41" spans="1:3" x14ac:dyDescent="0.3">
      <c r="A41" s="5" t="s">
        <v>122</v>
      </c>
      <c r="B41" s="13" t="s">
        <v>114</v>
      </c>
      <c r="C41" s="13" t="s">
        <v>114</v>
      </c>
    </row>
    <row r="42" spans="1:3" x14ac:dyDescent="0.3">
      <c r="A42" s="5" t="s">
        <v>6</v>
      </c>
      <c r="B42" s="13"/>
      <c r="C42" s="13"/>
    </row>
    <row r="43" spans="1:3" x14ac:dyDescent="0.3">
      <c r="A43" s="5" t="s">
        <v>27</v>
      </c>
      <c r="B43" s="13">
        <v>1749262983.4100001</v>
      </c>
      <c r="C43" s="13">
        <v>2714030023.6100001</v>
      </c>
    </row>
    <row r="44" spans="1:3" x14ac:dyDescent="0.3">
      <c r="A44" s="5" t="s">
        <v>28</v>
      </c>
      <c r="B44" s="13">
        <v>43392610.649999999</v>
      </c>
      <c r="C44" s="13">
        <v>69617548.959999993</v>
      </c>
    </row>
    <row r="45" spans="1:3" x14ac:dyDescent="0.3">
      <c r="A45" s="5" t="s">
        <v>29</v>
      </c>
      <c r="B45" s="13">
        <v>549433153.15999997</v>
      </c>
      <c r="C45" s="13">
        <v>780476330.94000006</v>
      </c>
    </row>
    <row r="46" spans="1:3" x14ac:dyDescent="0.3">
      <c r="A46" s="5" t="s">
        <v>30</v>
      </c>
      <c r="B46" s="13">
        <v>1588201.09</v>
      </c>
      <c r="C46" s="13">
        <v>857859.16</v>
      </c>
    </row>
    <row r="47" spans="1:3" x14ac:dyDescent="0.3">
      <c r="A47" s="5" t="s">
        <v>31</v>
      </c>
      <c r="B47" s="13">
        <v>85955682.689999998</v>
      </c>
      <c r="C47" s="13">
        <v>195561378.80000001</v>
      </c>
    </row>
    <row r="48" spans="1:3" x14ac:dyDescent="0.3">
      <c r="A48" s="5" t="s">
        <v>32</v>
      </c>
      <c r="B48" s="13">
        <v>2496145.36</v>
      </c>
      <c r="C48" s="13">
        <v>1771137.74</v>
      </c>
    </row>
    <row r="49" spans="1:3" x14ac:dyDescent="0.3">
      <c r="A49" s="5" t="s">
        <v>33</v>
      </c>
      <c r="B49" s="13">
        <v>37542347.350000001</v>
      </c>
      <c r="C49" s="13">
        <v>102012390.73999999</v>
      </c>
    </row>
    <row r="50" spans="1:3" x14ac:dyDescent="0.3">
      <c r="A50" s="5" t="s">
        <v>34</v>
      </c>
      <c r="B50" s="13">
        <v>295392438.37</v>
      </c>
      <c r="C50" s="13">
        <v>480725808.36000001</v>
      </c>
    </row>
    <row r="51" spans="1:3" x14ac:dyDescent="0.3">
      <c r="A51" s="5" t="s">
        <v>35</v>
      </c>
      <c r="B51" s="13">
        <v>53231161.619999997</v>
      </c>
      <c r="C51" s="13">
        <v>75268544.590000004</v>
      </c>
    </row>
    <row r="52" spans="1:3" x14ac:dyDescent="0.3">
      <c r="A52" s="5" t="s">
        <v>36</v>
      </c>
      <c r="B52" s="13">
        <v>129675486.11</v>
      </c>
      <c r="C52" s="13">
        <v>289843063.88999999</v>
      </c>
    </row>
    <row r="53" spans="1:3" x14ac:dyDescent="0.3">
      <c r="A53" s="5" t="s">
        <v>37</v>
      </c>
      <c r="B53" s="13">
        <v>221320.75</v>
      </c>
      <c r="C53" s="13">
        <v>227357.26</v>
      </c>
    </row>
    <row r="54" spans="1:3" x14ac:dyDescent="0.3">
      <c r="A54" s="5" t="s">
        <v>38</v>
      </c>
      <c r="B54" s="13">
        <v>88995486.959999993</v>
      </c>
      <c r="C54" s="13">
        <v>41071965.840000004</v>
      </c>
    </row>
    <row r="55" spans="1:3" x14ac:dyDescent="0.3">
      <c r="A55" s="5" t="s">
        <v>39</v>
      </c>
      <c r="B55" s="13">
        <v>15820340.880000001</v>
      </c>
      <c r="C55" s="13">
        <v>14411341.310000001</v>
      </c>
    </row>
    <row r="56" spans="1:3" x14ac:dyDescent="0.3">
      <c r="A56" s="5" t="s">
        <v>135</v>
      </c>
      <c r="B56" s="13">
        <v>628991.87</v>
      </c>
      <c r="C56" s="13">
        <v>527414.72</v>
      </c>
    </row>
    <row r="57" spans="1:3" x14ac:dyDescent="0.3">
      <c r="A57" s="5" t="s">
        <v>123</v>
      </c>
      <c r="B57" s="13">
        <v>161993.04999999999</v>
      </c>
      <c r="C57" s="13">
        <v>367029</v>
      </c>
    </row>
    <row r="58" spans="1:3" x14ac:dyDescent="0.3">
      <c r="A58" s="5" t="s">
        <v>40</v>
      </c>
      <c r="B58" s="13">
        <v>758773.06</v>
      </c>
      <c r="C58" s="13">
        <v>469479.98</v>
      </c>
    </row>
    <row r="59" spans="1:3" x14ac:dyDescent="0.3">
      <c r="A59" s="5" t="s">
        <v>41</v>
      </c>
      <c r="B59" s="13">
        <v>33742295.020000003</v>
      </c>
      <c r="C59" s="13">
        <v>26293353.25</v>
      </c>
    </row>
    <row r="60" spans="1:3" x14ac:dyDescent="0.3">
      <c r="A60" s="5" t="s">
        <v>42</v>
      </c>
      <c r="B60" s="13">
        <v>3775184.66</v>
      </c>
      <c r="C60" s="13">
        <v>1759180.26</v>
      </c>
    </row>
    <row r="61" spans="1:3" x14ac:dyDescent="0.3">
      <c r="A61" s="5" t="s">
        <v>43</v>
      </c>
      <c r="B61" s="13">
        <v>3779904.2</v>
      </c>
      <c r="C61" s="13">
        <v>2313707.8199999998</v>
      </c>
    </row>
    <row r="62" spans="1:3" x14ac:dyDescent="0.3">
      <c r="A62" s="5" t="s">
        <v>44</v>
      </c>
      <c r="B62" s="13">
        <v>66832183.920000002</v>
      </c>
      <c r="C62" s="13">
        <v>67494296.590000004</v>
      </c>
    </row>
    <row r="63" spans="1:3" x14ac:dyDescent="0.3">
      <c r="A63" s="5" t="s">
        <v>45</v>
      </c>
      <c r="B63" s="13">
        <v>214588750.81</v>
      </c>
      <c r="C63" s="13">
        <v>314894449.20999998</v>
      </c>
    </row>
    <row r="64" spans="1:3" x14ac:dyDescent="0.3">
      <c r="A64" s="5" t="s">
        <v>124</v>
      </c>
      <c r="B64" s="13">
        <v>14313029.34</v>
      </c>
      <c r="C64" s="13">
        <v>42137244.259999998</v>
      </c>
    </row>
    <row r="65" spans="1:3" x14ac:dyDescent="0.3">
      <c r="A65" s="5" t="s">
        <v>46</v>
      </c>
      <c r="B65" s="13">
        <v>20841.72</v>
      </c>
      <c r="C65" s="13">
        <v>26125.29</v>
      </c>
    </row>
    <row r="66" spans="1:3" x14ac:dyDescent="0.3">
      <c r="A66" s="5" t="s">
        <v>47</v>
      </c>
      <c r="B66" s="13">
        <v>71523821.709999993</v>
      </c>
      <c r="C66" s="13">
        <v>138637995.68000001</v>
      </c>
    </row>
    <row r="67" spans="1:3" x14ac:dyDescent="0.3">
      <c r="A67" s="5" t="s">
        <v>48</v>
      </c>
      <c r="B67" s="13">
        <v>34476398.43</v>
      </c>
      <c r="C67" s="13">
        <v>67099682.32</v>
      </c>
    </row>
    <row r="68" spans="1:3" x14ac:dyDescent="0.3">
      <c r="A68" s="5" t="s">
        <v>151</v>
      </c>
      <c r="B68" s="13" t="s">
        <v>114</v>
      </c>
      <c r="C68" s="13" t="s">
        <v>114</v>
      </c>
    </row>
    <row r="69" spans="1:3" x14ac:dyDescent="0.3">
      <c r="A69" s="5" t="s">
        <v>136</v>
      </c>
      <c r="B69" s="13">
        <v>916440.63</v>
      </c>
      <c r="C69" s="13">
        <v>165337.65</v>
      </c>
    </row>
    <row r="70" spans="1:3" x14ac:dyDescent="0.3">
      <c r="A70" s="5" t="s">
        <v>6</v>
      </c>
      <c r="B70" s="13"/>
      <c r="C70" s="13"/>
    </row>
    <row r="71" spans="1:3" x14ac:dyDescent="0.3">
      <c r="A71" s="5" t="s">
        <v>49</v>
      </c>
      <c r="B71" s="13">
        <v>4375938295.6899996</v>
      </c>
      <c r="C71" s="13">
        <v>7780557703.04</v>
      </c>
    </row>
    <row r="72" spans="1:3" x14ac:dyDescent="0.3">
      <c r="A72" s="5" t="s">
        <v>50</v>
      </c>
      <c r="B72" s="13">
        <v>158685019.25</v>
      </c>
      <c r="C72" s="13">
        <v>430871846.25999999</v>
      </c>
    </row>
    <row r="73" spans="1:3" x14ac:dyDescent="0.3">
      <c r="A73" s="5" t="s">
        <v>137</v>
      </c>
      <c r="B73" s="13">
        <v>9737.73</v>
      </c>
      <c r="C73" s="13">
        <v>17545.580000000002</v>
      </c>
    </row>
    <row r="74" spans="1:3" x14ac:dyDescent="0.3">
      <c r="A74" s="5" t="s">
        <v>146</v>
      </c>
      <c r="B74" s="13">
        <v>8144379.6200000001</v>
      </c>
      <c r="C74" s="13">
        <v>18858659</v>
      </c>
    </row>
    <row r="75" spans="1:3" x14ac:dyDescent="0.3">
      <c r="A75" s="5" t="s">
        <v>147</v>
      </c>
      <c r="B75" s="13">
        <v>54130.76</v>
      </c>
      <c r="C75" s="13">
        <v>98380</v>
      </c>
    </row>
    <row r="76" spans="1:3" x14ac:dyDescent="0.3">
      <c r="A76" s="5" t="s">
        <v>51</v>
      </c>
      <c r="B76" s="13">
        <v>62600501.619999997</v>
      </c>
      <c r="C76" s="13">
        <v>189008061.94999999</v>
      </c>
    </row>
    <row r="77" spans="1:3" x14ac:dyDescent="0.3">
      <c r="A77" s="5" t="s">
        <v>52</v>
      </c>
      <c r="B77" s="13">
        <v>676733150.74000001</v>
      </c>
      <c r="C77" s="13">
        <v>717929544.94000006</v>
      </c>
    </row>
    <row r="78" spans="1:3" x14ac:dyDescent="0.3">
      <c r="A78" s="5" t="s">
        <v>53</v>
      </c>
      <c r="B78" s="13">
        <v>106517542.76000001</v>
      </c>
      <c r="C78" s="13">
        <v>247273429.15000001</v>
      </c>
    </row>
    <row r="79" spans="1:3" x14ac:dyDescent="0.3">
      <c r="A79" s="5" t="s">
        <v>54</v>
      </c>
      <c r="B79" s="13">
        <v>21743669.899999999</v>
      </c>
      <c r="C79" s="13">
        <v>55490740.25</v>
      </c>
    </row>
    <row r="80" spans="1:3" x14ac:dyDescent="0.3">
      <c r="A80" s="5" t="s">
        <v>55</v>
      </c>
      <c r="B80" s="13">
        <v>918884672.63999999</v>
      </c>
      <c r="C80" s="13">
        <v>898295484.20000005</v>
      </c>
    </row>
    <row r="81" spans="1:3" x14ac:dyDescent="0.3">
      <c r="A81" s="5" t="s">
        <v>56</v>
      </c>
      <c r="B81" s="13">
        <v>513458560.00999999</v>
      </c>
      <c r="C81" s="13">
        <v>1187295058.5599999</v>
      </c>
    </row>
    <row r="82" spans="1:3" x14ac:dyDescent="0.3">
      <c r="A82" s="5" t="s">
        <v>138</v>
      </c>
      <c r="B82" s="13">
        <v>155101463.91999999</v>
      </c>
      <c r="C82" s="13">
        <v>268799369.81999999</v>
      </c>
    </row>
    <row r="83" spans="1:3" x14ac:dyDescent="0.3">
      <c r="A83" s="5" t="s">
        <v>113</v>
      </c>
      <c r="B83" s="13">
        <v>180062668.50999999</v>
      </c>
      <c r="C83" s="13">
        <v>240334020</v>
      </c>
    </row>
    <row r="84" spans="1:3" x14ac:dyDescent="0.3">
      <c r="A84" s="5" t="s">
        <v>57</v>
      </c>
      <c r="B84" s="13">
        <v>55683030.07</v>
      </c>
      <c r="C84" s="13">
        <v>72467332.920000002</v>
      </c>
    </row>
    <row r="85" spans="1:3" x14ac:dyDescent="0.3">
      <c r="A85" s="5" t="s">
        <v>58</v>
      </c>
      <c r="B85" s="13">
        <v>26917089.800000001</v>
      </c>
      <c r="C85" s="13">
        <v>72102269.700000003</v>
      </c>
    </row>
    <row r="86" spans="1:3" x14ac:dyDescent="0.3">
      <c r="A86" s="5" t="s">
        <v>59</v>
      </c>
      <c r="B86" s="13">
        <v>44432939.649999999</v>
      </c>
      <c r="C86" s="13">
        <v>108719766.3</v>
      </c>
    </row>
    <row r="87" spans="1:3" x14ac:dyDescent="0.3">
      <c r="A87" s="5" t="s">
        <v>125</v>
      </c>
      <c r="B87" s="13">
        <v>1222070.8600000001</v>
      </c>
      <c r="C87" s="13">
        <v>2407452.59</v>
      </c>
    </row>
    <row r="88" spans="1:3" x14ac:dyDescent="0.3">
      <c r="A88" s="5" t="s">
        <v>60</v>
      </c>
      <c r="B88" s="13">
        <v>1905729.44</v>
      </c>
      <c r="C88" s="13">
        <v>9412657.0399999991</v>
      </c>
    </row>
    <row r="89" spans="1:3" x14ac:dyDescent="0.3">
      <c r="A89" s="5" t="s">
        <v>61</v>
      </c>
      <c r="B89" s="13">
        <v>4158501.93</v>
      </c>
      <c r="C89" s="13">
        <v>7338875.2999999998</v>
      </c>
    </row>
    <row r="90" spans="1:3" x14ac:dyDescent="0.3">
      <c r="A90" s="5" t="s">
        <v>62</v>
      </c>
      <c r="B90" s="13">
        <v>273364102.92000002</v>
      </c>
      <c r="C90" s="13">
        <v>703676457.80999994</v>
      </c>
    </row>
    <row r="91" spans="1:3" x14ac:dyDescent="0.3">
      <c r="A91" s="5" t="s">
        <v>126</v>
      </c>
      <c r="B91" s="13">
        <v>18847824.59</v>
      </c>
      <c r="C91" s="13">
        <v>35197351.18</v>
      </c>
    </row>
    <row r="92" spans="1:3" x14ac:dyDescent="0.3">
      <c r="A92" s="5" t="s">
        <v>63</v>
      </c>
      <c r="B92" s="13">
        <v>434756.65</v>
      </c>
      <c r="C92" s="13">
        <v>760038.33</v>
      </c>
    </row>
    <row r="93" spans="1:3" x14ac:dyDescent="0.3">
      <c r="A93" s="5" t="s">
        <v>64</v>
      </c>
      <c r="B93" s="13">
        <v>37670023.789999999</v>
      </c>
      <c r="C93" s="13">
        <v>95171706.379999995</v>
      </c>
    </row>
    <row r="94" spans="1:3" x14ac:dyDescent="0.3">
      <c r="A94" s="5" t="s">
        <v>65</v>
      </c>
      <c r="B94" s="13">
        <v>8023713.3300000001</v>
      </c>
      <c r="C94" s="13">
        <v>14468813.18</v>
      </c>
    </row>
    <row r="95" spans="1:3" x14ac:dyDescent="0.3">
      <c r="A95" s="5" t="s">
        <v>66</v>
      </c>
      <c r="B95" s="13">
        <v>280790.46999999997</v>
      </c>
      <c r="C95" s="13">
        <v>223021.65</v>
      </c>
    </row>
    <row r="96" spans="1:3" x14ac:dyDescent="0.3">
      <c r="A96" s="5" t="s">
        <v>139</v>
      </c>
      <c r="B96" s="13">
        <v>394073.52</v>
      </c>
      <c r="C96" s="13">
        <v>1743859.68</v>
      </c>
    </row>
    <row r="97" spans="1:3" x14ac:dyDescent="0.3">
      <c r="A97" s="5" t="s">
        <v>67</v>
      </c>
      <c r="B97" s="13">
        <v>97127615.159999996</v>
      </c>
      <c r="C97" s="13">
        <v>169392629.08000001</v>
      </c>
    </row>
    <row r="98" spans="1:3" x14ac:dyDescent="0.3">
      <c r="A98" s="5" t="s">
        <v>68</v>
      </c>
      <c r="B98" s="13">
        <v>702459306.63</v>
      </c>
      <c r="C98" s="13">
        <v>1751067822.27</v>
      </c>
    </row>
    <row r="99" spans="1:3" x14ac:dyDescent="0.3">
      <c r="A99" s="5" t="s">
        <v>69</v>
      </c>
      <c r="B99" s="13">
        <v>6923400.8099999996</v>
      </c>
      <c r="C99" s="13">
        <v>4296608.22</v>
      </c>
    </row>
    <row r="100" spans="1:3" x14ac:dyDescent="0.3">
      <c r="A100" s="5" t="s">
        <v>70</v>
      </c>
      <c r="B100" s="13">
        <v>242001015.99000001</v>
      </c>
      <c r="C100" s="13">
        <v>338500694.75</v>
      </c>
    </row>
    <row r="101" spans="1:3" x14ac:dyDescent="0.3">
      <c r="A101" s="5" t="s">
        <v>71</v>
      </c>
      <c r="B101" s="13">
        <v>51853960.079999998</v>
      </c>
      <c r="C101" s="13">
        <v>139263819.53999999</v>
      </c>
    </row>
    <row r="102" spans="1:3" x14ac:dyDescent="0.3">
      <c r="A102" s="5" t="s">
        <v>127</v>
      </c>
      <c r="B102" s="13">
        <v>29668.85</v>
      </c>
      <c r="C102" s="13">
        <v>40202.730000000003</v>
      </c>
    </row>
    <row r="103" spans="1:3" x14ac:dyDescent="0.3">
      <c r="A103" s="5" t="s">
        <v>149</v>
      </c>
      <c r="B103" s="13">
        <v>7465.31</v>
      </c>
      <c r="C103" s="13">
        <v>12644.02</v>
      </c>
    </row>
    <row r="104" spans="1:3" x14ac:dyDescent="0.3">
      <c r="A104" s="5" t="s">
        <v>128</v>
      </c>
      <c r="B104" s="13">
        <v>3480.79</v>
      </c>
      <c r="C104" s="13">
        <v>50.4</v>
      </c>
    </row>
    <row r="105" spans="1:3" x14ac:dyDescent="0.3">
      <c r="A105" s="5" t="s">
        <v>150</v>
      </c>
      <c r="B105" s="13">
        <v>202237.59</v>
      </c>
      <c r="C105" s="13">
        <v>21490.25</v>
      </c>
    </row>
    <row r="106" spans="1:3" x14ac:dyDescent="0.3">
      <c r="A106" s="5" t="s">
        <v>6</v>
      </c>
      <c r="B106" s="13"/>
      <c r="C106" s="13"/>
    </row>
    <row r="107" spans="1:3" x14ac:dyDescent="0.3">
      <c r="A107" s="5" t="s">
        <v>72</v>
      </c>
      <c r="B107" s="13">
        <v>1827091217.1199999</v>
      </c>
      <c r="C107" s="13">
        <v>3331096666.7399998</v>
      </c>
    </row>
    <row r="108" spans="1:3" x14ac:dyDescent="0.3">
      <c r="A108" s="5" t="s">
        <v>129</v>
      </c>
      <c r="B108" s="13">
        <v>18484.63</v>
      </c>
      <c r="C108" s="13">
        <v>24110.58</v>
      </c>
    </row>
    <row r="109" spans="1:3" x14ac:dyDescent="0.3">
      <c r="A109" s="5" t="s">
        <v>73</v>
      </c>
      <c r="B109" s="13">
        <v>846179.77</v>
      </c>
      <c r="C109" s="13">
        <v>36559.93</v>
      </c>
    </row>
    <row r="110" spans="1:3" x14ac:dyDescent="0.3">
      <c r="A110" s="5" t="s">
        <v>74</v>
      </c>
      <c r="B110" s="13">
        <v>19999177.670000002</v>
      </c>
      <c r="C110" s="13">
        <v>28743953.289999999</v>
      </c>
    </row>
    <row r="111" spans="1:3" x14ac:dyDescent="0.3">
      <c r="A111" s="5" t="s">
        <v>75</v>
      </c>
      <c r="B111" s="13">
        <v>1010466.46</v>
      </c>
      <c r="C111" s="13">
        <v>547253.04</v>
      </c>
    </row>
    <row r="112" spans="1:3" x14ac:dyDescent="0.3">
      <c r="A112" s="5" t="s">
        <v>76</v>
      </c>
      <c r="B112" s="13">
        <v>45476906.090000004</v>
      </c>
      <c r="C112" s="13">
        <v>103101586.43000001</v>
      </c>
    </row>
    <row r="113" spans="1:3" x14ac:dyDescent="0.3">
      <c r="A113" s="5" t="s">
        <v>77</v>
      </c>
      <c r="B113" s="13">
        <v>309968018.70999998</v>
      </c>
      <c r="C113" s="13">
        <v>685696914.42999995</v>
      </c>
    </row>
    <row r="114" spans="1:3" x14ac:dyDescent="0.3">
      <c r="A114" s="5" t="s">
        <v>78</v>
      </c>
      <c r="B114" s="13">
        <v>7082.55</v>
      </c>
      <c r="C114" s="13">
        <v>6474.98</v>
      </c>
    </row>
    <row r="115" spans="1:3" x14ac:dyDescent="0.3">
      <c r="A115" s="5" t="s">
        <v>79</v>
      </c>
      <c r="B115" s="13">
        <v>78531054.430000007</v>
      </c>
      <c r="C115" s="13">
        <v>166442238.52000001</v>
      </c>
    </row>
    <row r="116" spans="1:3" x14ac:dyDescent="0.3">
      <c r="A116" s="5" t="s">
        <v>80</v>
      </c>
      <c r="B116" s="13">
        <v>45351703.939999998</v>
      </c>
      <c r="C116" s="13">
        <v>100961619.2</v>
      </c>
    </row>
    <row r="117" spans="1:3" x14ac:dyDescent="0.3">
      <c r="A117" s="5" t="s">
        <v>81</v>
      </c>
      <c r="B117" s="13">
        <v>44787.79</v>
      </c>
      <c r="C117" s="13">
        <v>35192.559999999998</v>
      </c>
    </row>
    <row r="118" spans="1:3" x14ac:dyDescent="0.3">
      <c r="A118" s="5" t="s">
        <v>82</v>
      </c>
      <c r="B118" s="13">
        <v>47897256.039999999</v>
      </c>
      <c r="C118" s="13">
        <v>170932565.44999999</v>
      </c>
    </row>
    <row r="119" spans="1:3" x14ac:dyDescent="0.3">
      <c r="A119" s="5" t="s">
        <v>83</v>
      </c>
      <c r="B119" s="13">
        <v>162723738.44999999</v>
      </c>
      <c r="C119" s="13">
        <v>355165520.39999998</v>
      </c>
    </row>
    <row r="120" spans="1:3" x14ac:dyDescent="0.3">
      <c r="A120" s="5" t="s">
        <v>140</v>
      </c>
      <c r="B120" s="13">
        <v>489.37</v>
      </c>
      <c r="C120" s="13">
        <v>307.14999999999998</v>
      </c>
    </row>
    <row r="121" spans="1:3" x14ac:dyDescent="0.3">
      <c r="A121" s="5" t="s">
        <v>84</v>
      </c>
      <c r="B121" s="13">
        <v>53097.58</v>
      </c>
      <c r="C121" s="13">
        <v>31071.8</v>
      </c>
    </row>
    <row r="122" spans="1:3" x14ac:dyDescent="0.3">
      <c r="A122" s="5" t="s">
        <v>85</v>
      </c>
      <c r="B122" s="13">
        <v>517884008.24000001</v>
      </c>
      <c r="C122" s="13">
        <v>590773466.34000003</v>
      </c>
    </row>
    <row r="123" spans="1:3" x14ac:dyDescent="0.3">
      <c r="A123" s="5" t="s">
        <v>86</v>
      </c>
      <c r="B123" s="13">
        <v>203864809.06</v>
      </c>
      <c r="C123" s="13">
        <v>441470304.44999999</v>
      </c>
    </row>
    <row r="124" spans="1:3" x14ac:dyDescent="0.3">
      <c r="A124" s="5" t="s">
        <v>87</v>
      </c>
      <c r="B124" s="13">
        <v>2368673.79</v>
      </c>
      <c r="C124" s="13">
        <v>3585954.62</v>
      </c>
    </row>
    <row r="125" spans="1:3" x14ac:dyDescent="0.3">
      <c r="A125" s="5" t="s">
        <v>88</v>
      </c>
      <c r="B125" s="13">
        <v>162707848.46000001</v>
      </c>
      <c r="C125" s="13">
        <v>392716155.58999997</v>
      </c>
    </row>
    <row r="126" spans="1:3" x14ac:dyDescent="0.3">
      <c r="A126" s="5" t="s">
        <v>89</v>
      </c>
      <c r="B126" s="13">
        <v>18893910.699999999</v>
      </c>
      <c r="C126" s="13">
        <v>42493237.560000002</v>
      </c>
    </row>
    <row r="127" spans="1:3" x14ac:dyDescent="0.3">
      <c r="A127" s="5" t="s">
        <v>90</v>
      </c>
      <c r="B127" s="13">
        <v>6907.06</v>
      </c>
      <c r="C127" s="13">
        <v>5896.8</v>
      </c>
    </row>
    <row r="128" spans="1:3" x14ac:dyDescent="0.3">
      <c r="A128" s="5" t="s">
        <v>130</v>
      </c>
      <c r="B128" s="13">
        <v>1122271.75</v>
      </c>
      <c r="C128" s="13">
        <v>273036.84000000003</v>
      </c>
    </row>
    <row r="129" spans="1:3" x14ac:dyDescent="0.3">
      <c r="A129" s="5" t="s">
        <v>91</v>
      </c>
      <c r="B129" s="13">
        <v>10714.61</v>
      </c>
      <c r="C129" s="13">
        <v>14274.33</v>
      </c>
    </row>
    <row r="130" spans="1:3" x14ac:dyDescent="0.3">
      <c r="A130" s="5" t="s">
        <v>92</v>
      </c>
      <c r="B130" s="13">
        <v>71813047.200000003</v>
      </c>
      <c r="C130" s="13">
        <v>113122610.45</v>
      </c>
    </row>
    <row r="131" spans="1:3" x14ac:dyDescent="0.3">
      <c r="A131" s="5" t="s">
        <v>93</v>
      </c>
      <c r="B131" s="13">
        <v>42460430.649999999</v>
      </c>
      <c r="C131" s="13">
        <v>4702456.04</v>
      </c>
    </row>
    <row r="132" spans="1:3" x14ac:dyDescent="0.3">
      <c r="A132" s="5" t="s">
        <v>148</v>
      </c>
      <c r="B132" s="13">
        <v>21774233.210000001</v>
      </c>
      <c r="C132" s="13">
        <v>50782199.280000001</v>
      </c>
    </row>
    <row r="133" spans="1:3" x14ac:dyDescent="0.3">
      <c r="A133" s="5" t="s">
        <v>141</v>
      </c>
      <c r="B133" s="13" t="s">
        <v>114</v>
      </c>
      <c r="C133" s="13" t="s">
        <v>114</v>
      </c>
    </row>
    <row r="134" spans="1:3" x14ac:dyDescent="0.3">
      <c r="A134" s="5" t="s">
        <v>131</v>
      </c>
      <c r="B134" s="13">
        <v>7532.03</v>
      </c>
      <c r="C134" s="13">
        <v>5757.12</v>
      </c>
    </row>
    <row r="135" spans="1:3" x14ac:dyDescent="0.3">
      <c r="A135" s="5" t="s">
        <v>94</v>
      </c>
      <c r="B135" s="13">
        <v>4510099.2699999996</v>
      </c>
      <c r="C135" s="13">
        <v>9888958.7599999998</v>
      </c>
    </row>
    <row r="136" spans="1:3" x14ac:dyDescent="0.3">
      <c r="A136" s="5" t="s">
        <v>132</v>
      </c>
      <c r="B136" s="13">
        <v>7105.98</v>
      </c>
      <c r="C136" s="13">
        <v>5132</v>
      </c>
    </row>
    <row r="137" spans="1:3" x14ac:dyDescent="0.3">
      <c r="A137" s="5" t="s">
        <v>95</v>
      </c>
      <c r="B137" s="13">
        <v>42711055.600000001</v>
      </c>
      <c r="C137" s="13">
        <v>21641544.670000002</v>
      </c>
    </row>
    <row r="138" spans="1:3" x14ac:dyDescent="0.3">
      <c r="A138" s="5" t="s">
        <v>96</v>
      </c>
      <c r="B138" s="13">
        <v>159850.35</v>
      </c>
      <c r="C138" s="13">
        <v>41749.19</v>
      </c>
    </row>
    <row r="139" spans="1:3" x14ac:dyDescent="0.3">
      <c r="A139" s="5" t="s">
        <v>133</v>
      </c>
      <c r="B139" s="13">
        <v>4706.04</v>
      </c>
      <c r="C139" s="13">
        <v>6930.4</v>
      </c>
    </row>
    <row r="140" spans="1:3" x14ac:dyDescent="0.3">
      <c r="A140" s="5" t="s">
        <v>97</v>
      </c>
      <c r="B140" s="13">
        <v>45319.91</v>
      </c>
      <c r="C140" s="13">
        <v>47434.64</v>
      </c>
    </row>
    <row r="141" spans="1:3" x14ac:dyDescent="0.3">
      <c r="A141" s="5" t="s">
        <v>142</v>
      </c>
      <c r="B141" s="13">
        <v>4186281.53</v>
      </c>
      <c r="C141" s="13">
        <v>472443.29</v>
      </c>
    </row>
    <row r="142" spans="1:3" x14ac:dyDescent="0.3">
      <c r="A142" s="5" t="s">
        <v>143</v>
      </c>
      <c r="B142" s="13">
        <v>18952451.539999999</v>
      </c>
      <c r="C142" s="13">
        <v>47047826.490000002</v>
      </c>
    </row>
    <row r="143" spans="1:3" x14ac:dyDescent="0.3">
      <c r="A143" s="5" t="s">
        <v>98</v>
      </c>
      <c r="B143" s="13">
        <v>48208.4</v>
      </c>
      <c r="C143" s="13">
        <v>59941.73</v>
      </c>
    </row>
    <row r="144" spans="1:3" x14ac:dyDescent="0.3">
      <c r="A144" s="5" t="s">
        <v>99</v>
      </c>
      <c r="B144" s="13">
        <v>1591970.21</v>
      </c>
      <c r="C144" s="13">
        <v>188037.25</v>
      </c>
    </row>
    <row r="145" spans="1:3" x14ac:dyDescent="0.3">
      <c r="A145" s="5" t="s">
        <v>111</v>
      </c>
      <c r="B145" s="13">
        <v>9312.5300000000007</v>
      </c>
      <c r="C145" s="13">
        <v>10172.99</v>
      </c>
    </row>
    <row r="146" spans="1:3" x14ac:dyDescent="0.3">
      <c r="A146" s="5" t="s">
        <v>100</v>
      </c>
      <c r="B146" s="13">
        <v>22025.52</v>
      </c>
      <c r="C146" s="13">
        <v>15778.15</v>
      </c>
    </row>
    <row r="147" spans="1:3" x14ac:dyDescent="0.3">
      <c r="A147" s="5" t="s">
        <v>6</v>
      </c>
      <c r="B147" s="13"/>
      <c r="C147" s="13"/>
    </row>
    <row r="148" spans="1:3" x14ac:dyDescent="0.3">
      <c r="A148" s="5" t="s">
        <v>101</v>
      </c>
      <c r="B148" s="13">
        <v>41064836.5</v>
      </c>
      <c r="C148" s="13">
        <v>77679809.620000005</v>
      </c>
    </row>
    <row r="149" spans="1:3" x14ac:dyDescent="0.3">
      <c r="A149" s="5" t="s">
        <v>102</v>
      </c>
      <c r="B149" s="13">
        <v>40821194.439999998</v>
      </c>
      <c r="C149" s="13">
        <v>77530189.859999999</v>
      </c>
    </row>
    <row r="150" spans="1:3" x14ac:dyDescent="0.3">
      <c r="A150" s="5" t="s">
        <v>103</v>
      </c>
      <c r="B150" s="13">
        <v>243642.06</v>
      </c>
      <c r="C150" s="13">
        <v>149619.76</v>
      </c>
    </row>
    <row r="151" spans="1:3" x14ac:dyDescent="0.3">
      <c r="A151" s="5" t="s">
        <v>6</v>
      </c>
      <c r="B151" s="13"/>
      <c r="C151" s="13"/>
    </row>
    <row r="152" spans="1:3" x14ac:dyDescent="0.3">
      <c r="A152" s="5" t="s">
        <v>104</v>
      </c>
      <c r="B152" s="13">
        <v>112398727.12</v>
      </c>
      <c r="C152" s="13">
        <v>239180731.50999999</v>
      </c>
    </row>
    <row r="153" spans="1:3" x14ac:dyDescent="0.3">
      <c r="A153" s="5" t="s">
        <v>105</v>
      </c>
      <c r="B153" s="13">
        <v>7407963.0700000003</v>
      </c>
      <c r="C153" s="13">
        <v>10456203.98</v>
      </c>
    </row>
    <row r="154" spans="1:3" x14ac:dyDescent="0.3">
      <c r="A154" s="5" t="s">
        <v>106</v>
      </c>
      <c r="B154" s="13">
        <v>104990764.05</v>
      </c>
      <c r="C154" s="13">
        <v>228724527.53</v>
      </c>
    </row>
    <row r="155" spans="1:3" ht="24" customHeight="1" x14ac:dyDescent="0.3">
      <c r="A155" s="17" t="s">
        <v>107</v>
      </c>
      <c r="B155" s="17"/>
      <c r="C155" s="17"/>
    </row>
    <row r="156" spans="1:3" x14ac:dyDescent="0.3">
      <c r="A156" s="10" t="s">
        <v>108</v>
      </c>
      <c r="B156" s="11"/>
      <c r="C156" s="11"/>
    </row>
    <row r="157" spans="1:3" x14ac:dyDescent="0.3">
      <c r="A157" s="12" t="s">
        <v>112</v>
      </c>
      <c r="B157" s="11"/>
      <c r="C157" s="11"/>
    </row>
    <row r="158" spans="1:3" x14ac:dyDescent="0.3">
      <c r="A158" s="10" t="s">
        <v>109</v>
      </c>
      <c r="B158" s="11"/>
      <c r="C158" s="11"/>
    </row>
  </sheetData>
  <mergeCells count="3">
    <mergeCell ref="A1:C2"/>
    <mergeCell ref="B4:C4"/>
    <mergeCell ref="A155:C15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46ABF-E98C-44E7-8C97-C9FA0B1107BC}">
  <dimension ref="A1:C161"/>
  <sheetViews>
    <sheetView workbookViewId="0">
      <selection activeCell="A3" sqref="A3"/>
    </sheetView>
  </sheetViews>
  <sheetFormatPr baseColWidth="10" defaultColWidth="11.44140625" defaultRowHeight="14.4" x14ac:dyDescent="0.3"/>
  <cols>
    <col min="1" max="1" width="45.88671875" style="1" customWidth="1"/>
    <col min="2" max="2" width="18.33203125" style="1" bestFit="1" customWidth="1"/>
    <col min="3" max="3" width="18.44140625" style="1" bestFit="1" customWidth="1"/>
    <col min="4" max="16384" width="11.44140625" style="1"/>
  </cols>
  <sheetData>
    <row r="1" spans="1:3" x14ac:dyDescent="0.3">
      <c r="A1" s="14" t="s">
        <v>182</v>
      </c>
      <c r="B1" s="14"/>
      <c r="C1" s="14"/>
    </row>
    <row r="2" spans="1:3" x14ac:dyDescent="0.3">
      <c r="A2" s="14"/>
      <c r="B2" s="14"/>
      <c r="C2" s="14"/>
    </row>
    <row r="3" spans="1:3" s="2" customFormat="1" ht="13.2" x14ac:dyDescent="0.25"/>
    <row r="4" spans="1:3" s="3" customFormat="1" ht="13.2" x14ac:dyDescent="0.25">
      <c r="A4" s="6"/>
      <c r="B4" s="15" t="s">
        <v>171</v>
      </c>
      <c r="C4" s="16"/>
    </row>
    <row r="5" spans="1:3" s="3" customFormat="1" ht="13.2" x14ac:dyDescent="0.25">
      <c r="A5" s="4" t="s">
        <v>2</v>
      </c>
      <c r="B5" s="7" t="s">
        <v>4</v>
      </c>
      <c r="C5" s="7" t="s">
        <v>3</v>
      </c>
    </row>
    <row r="6" spans="1:3" s="3" customFormat="1" ht="13.2" x14ac:dyDescent="0.25">
      <c r="A6" s="8"/>
      <c r="B6" s="9" t="s">
        <v>0</v>
      </c>
      <c r="C6" s="9" t="s">
        <v>1</v>
      </c>
    </row>
    <row r="8" spans="1:3" x14ac:dyDescent="0.3">
      <c r="A8" s="5" t="s">
        <v>5</v>
      </c>
      <c r="B8" s="13">
        <v>10634121828.969999</v>
      </c>
      <c r="C8" s="13">
        <v>19037660148.200001</v>
      </c>
    </row>
    <row r="9" spans="1:3" x14ac:dyDescent="0.3">
      <c r="A9" s="5" t="s">
        <v>6</v>
      </c>
      <c r="B9" s="13"/>
      <c r="C9" s="13"/>
    </row>
    <row r="10" spans="1:3" x14ac:dyDescent="0.3">
      <c r="A10" s="5" t="s">
        <v>7</v>
      </c>
      <c r="B10" s="13">
        <v>1022834670.97</v>
      </c>
      <c r="C10" s="13">
        <v>2324051372.5999999</v>
      </c>
    </row>
    <row r="11" spans="1:3" x14ac:dyDescent="0.3">
      <c r="A11" s="5" t="s">
        <v>8</v>
      </c>
      <c r="B11" s="13">
        <v>265415195.83000001</v>
      </c>
      <c r="C11" s="13">
        <v>571950286.39999998</v>
      </c>
    </row>
    <row r="12" spans="1:3" x14ac:dyDescent="0.3">
      <c r="A12" s="5" t="s">
        <v>9</v>
      </c>
      <c r="B12" s="13">
        <v>4968452.84</v>
      </c>
      <c r="C12" s="13">
        <v>11723631.5</v>
      </c>
    </row>
    <row r="13" spans="1:3" x14ac:dyDescent="0.3">
      <c r="A13" s="5" t="s">
        <v>110</v>
      </c>
      <c r="B13" s="13">
        <v>733651.86</v>
      </c>
      <c r="C13" s="13">
        <v>2028361.2</v>
      </c>
    </row>
    <row r="14" spans="1:3" x14ac:dyDescent="0.3">
      <c r="A14" s="5" t="s">
        <v>115</v>
      </c>
      <c r="B14" s="13" t="s">
        <v>114</v>
      </c>
      <c r="C14" s="13" t="s">
        <v>114</v>
      </c>
    </row>
    <row r="15" spans="1:3" x14ac:dyDescent="0.3">
      <c r="A15" s="5" t="s">
        <v>10</v>
      </c>
      <c r="B15" s="13">
        <v>16862583.149999999</v>
      </c>
      <c r="C15" s="13">
        <v>46609361.899999999</v>
      </c>
    </row>
    <row r="16" spans="1:3" x14ac:dyDescent="0.3">
      <c r="A16" s="5" t="s">
        <v>11</v>
      </c>
      <c r="B16" s="13">
        <v>115498.93</v>
      </c>
      <c r="C16" s="13">
        <v>193086.9</v>
      </c>
    </row>
    <row r="17" spans="1:3" x14ac:dyDescent="0.3">
      <c r="A17" s="5" t="s">
        <v>12</v>
      </c>
      <c r="B17" s="13">
        <v>309778191.88999999</v>
      </c>
      <c r="C17" s="13">
        <v>632357124.5</v>
      </c>
    </row>
    <row r="18" spans="1:3" x14ac:dyDescent="0.3">
      <c r="A18" s="5" t="s">
        <v>144</v>
      </c>
      <c r="B18" s="13">
        <v>14630.92</v>
      </c>
      <c r="C18" s="13">
        <v>24481.599999999999</v>
      </c>
    </row>
    <row r="19" spans="1:3" x14ac:dyDescent="0.3">
      <c r="A19" s="5" t="s">
        <v>13</v>
      </c>
      <c r="B19" s="13">
        <v>1921085.93</v>
      </c>
      <c r="C19" s="13">
        <v>7896925.7000000002</v>
      </c>
    </row>
    <row r="20" spans="1:3" x14ac:dyDescent="0.3">
      <c r="A20" s="5" t="s">
        <v>14</v>
      </c>
      <c r="B20" s="13">
        <v>9527433.1500000004</v>
      </c>
      <c r="C20" s="13">
        <v>24453636</v>
      </c>
    </row>
    <row r="21" spans="1:3" x14ac:dyDescent="0.3">
      <c r="A21" s="5" t="s">
        <v>116</v>
      </c>
      <c r="B21" s="13">
        <v>2542800.91</v>
      </c>
      <c r="C21" s="13">
        <v>11422822</v>
      </c>
    </row>
    <row r="22" spans="1:3" x14ac:dyDescent="0.3">
      <c r="A22" s="5" t="s">
        <v>15</v>
      </c>
      <c r="B22" s="13">
        <v>6434500.4699999997</v>
      </c>
      <c r="C22" s="13">
        <v>26961550.800000001</v>
      </c>
    </row>
    <row r="23" spans="1:3" x14ac:dyDescent="0.3">
      <c r="A23" s="5" t="s">
        <v>117</v>
      </c>
      <c r="B23" s="13">
        <v>279452.14</v>
      </c>
      <c r="C23" s="13">
        <v>1111394.7</v>
      </c>
    </row>
    <row r="24" spans="1:3" x14ac:dyDescent="0.3">
      <c r="A24" s="5" t="s">
        <v>16</v>
      </c>
      <c r="B24" s="13">
        <v>822258.65</v>
      </c>
      <c r="C24" s="13">
        <v>2952255.9</v>
      </c>
    </row>
    <row r="25" spans="1:3" x14ac:dyDescent="0.3">
      <c r="A25" s="5" t="s">
        <v>145</v>
      </c>
      <c r="B25" s="13" t="s">
        <v>114</v>
      </c>
      <c r="C25" s="13" t="s">
        <v>114</v>
      </c>
    </row>
    <row r="26" spans="1:3" x14ac:dyDescent="0.3">
      <c r="A26" s="5" t="s">
        <v>17</v>
      </c>
      <c r="B26" s="13">
        <v>714818.44</v>
      </c>
      <c r="C26" s="13">
        <v>3139346.4</v>
      </c>
    </row>
    <row r="27" spans="1:3" x14ac:dyDescent="0.3">
      <c r="A27" s="5" t="s">
        <v>18</v>
      </c>
      <c r="B27" s="13">
        <v>124885738.56999999</v>
      </c>
      <c r="C27" s="13">
        <v>358392202.19999999</v>
      </c>
    </row>
    <row r="28" spans="1:3" x14ac:dyDescent="0.3">
      <c r="A28" s="5" t="s">
        <v>19</v>
      </c>
      <c r="B28" s="13">
        <v>1793856.48</v>
      </c>
      <c r="C28" s="13">
        <v>7721800.0999999996</v>
      </c>
    </row>
    <row r="29" spans="1:3" x14ac:dyDescent="0.3">
      <c r="A29" s="5" t="s">
        <v>118</v>
      </c>
      <c r="B29" s="13">
        <v>3835697.46</v>
      </c>
      <c r="C29" s="13">
        <v>15829677.6</v>
      </c>
    </row>
    <row r="30" spans="1:3" x14ac:dyDescent="0.3">
      <c r="A30" s="5" t="s">
        <v>134</v>
      </c>
      <c r="B30" s="13">
        <v>28063.45</v>
      </c>
      <c r="C30" s="13">
        <v>48551.3</v>
      </c>
    </row>
    <row r="31" spans="1:3" x14ac:dyDescent="0.3">
      <c r="A31" s="5" t="s">
        <v>20</v>
      </c>
      <c r="B31" s="13">
        <v>13403775.32</v>
      </c>
      <c r="C31" s="13">
        <v>51449712.200000003</v>
      </c>
    </row>
    <row r="32" spans="1:3" x14ac:dyDescent="0.3">
      <c r="A32" s="5" t="s">
        <v>21</v>
      </c>
      <c r="B32" s="13">
        <v>13391170.9</v>
      </c>
      <c r="C32" s="13">
        <v>46794556.799999997</v>
      </c>
    </row>
    <row r="33" spans="1:3" x14ac:dyDescent="0.3">
      <c r="A33" s="5" t="s">
        <v>119</v>
      </c>
      <c r="B33" s="13">
        <v>51698.36</v>
      </c>
      <c r="C33" s="13">
        <v>88734</v>
      </c>
    </row>
    <row r="34" spans="1:3" x14ac:dyDescent="0.3">
      <c r="A34" s="5" t="s">
        <v>22</v>
      </c>
      <c r="B34" s="13">
        <v>2880598.19</v>
      </c>
      <c r="C34" s="13">
        <v>12484537.199999999</v>
      </c>
    </row>
    <row r="35" spans="1:3" x14ac:dyDescent="0.3">
      <c r="A35" s="5" t="s">
        <v>152</v>
      </c>
      <c r="B35" s="13" t="s">
        <v>114</v>
      </c>
      <c r="C35" s="13" t="s">
        <v>114</v>
      </c>
    </row>
    <row r="36" spans="1:3" x14ac:dyDescent="0.3">
      <c r="A36" s="5" t="s">
        <v>120</v>
      </c>
      <c r="B36" s="13">
        <v>28726044.050000001</v>
      </c>
      <c r="C36" s="13">
        <v>76488033.299999997</v>
      </c>
    </row>
    <row r="37" spans="1:3" x14ac:dyDescent="0.3">
      <c r="A37" s="5" t="s">
        <v>23</v>
      </c>
      <c r="B37" s="13">
        <v>5434287.5999999996</v>
      </c>
      <c r="C37" s="13">
        <v>22885797.100000001</v>
      </c>
    </row>
    <row r="38" spans="1:3" x14ac:dyDescent="0.3">
      <c r="A38" s="5" t="s">
        <v>24</v>
      </c>
      <c r="B38" s="13">
        <v>5241108.8899999997</v>
      </c>
      <c r="C38" s="13">
        <v>17837682.899999999</v>
      </c>
    </row>
    <row r="39" spans="1:3" x14ac:dyDescent="0.3">
      <c r="A39" s="5" t="s">
        <v>153</v>
      </c>
      <c r="B39" s="13" t="s">
        <v>114</v>
      </c>
      <c r="C39" s="13" t="s">
        <v>114</v>
      </c>
    </row>
    <row r="40" spans="1:3" x14ac:dyDescent="0.3">
      <c r="A40" s="5" t="s">
        <v>25</v>
      </c>
      <c r="B40" s="13">
        <v>49088191.600000001</v>
      </c>
      <c r="C40" s="13">
        <v>48084560</v>
      </c>
    </row>
    <row r="41" spans="1:3" x14ac:dyDescent="0.3">
      <c r="A41" s="5" t="s">
        <v>121</v>
      </c>
      <c r="B41" s="13">
        <v>136227.45000000001</v>
      </c>
      <c r="C41" s="13">
        <v>234223</v>
      </c>
    </row>
    <row r="42" spans="1:3" x14ac:dyDescent="0.3">
      <c r="A42" s="5" t="s">
        <v>26</v>
      </c>
      <c r="B42" s="13">
        <v>153807657.53999999</v>
      </c>
      <c r="C42" s="13">
        <v>322887039.39999998</v>
      </c>
    </row>
    <row r="43" spans="1:3" x14ac:dyDescent="0.3">
      <c r="A43" s="5" t="s">
        <v>122</v>
      </c>
      <c r="B43" s="13" t="s">
        <v>114</v>
      </c>
      <c r="C43" s="13" t="s">
        <v>114</v>
      </c>
    </row>
    <row r="44" spans="1:3" x14ac:dyDescent="0.3">
      <c r="A44" s="5" t="s">
        <v>6</v>
      </c>
      <c r="B44" s="13"/>
      <c r="C44" s="13"/>
    </row>
    <row r="45" spans="1:3" x14ac:dyDescent="0.3">
      <c r="A45" s="5" t="s">
        <v>27</v>
      </c>
      <c r="B45" s="13">
        <v>2113842795.6700001</v>
      </c>
      <c r="C45" s="13">
        <v>3249099610.4000001</v>
      </c>
    </row>
    <row r="46" spans="1:3" x14ac:dyDescent="0.3">
      <c r="A46" s="5" t="s">
        <v>28</v>
      </c>
      <c r="B46" s="13">
        <v>49518344.270000003</v>
      </c>
      <c r="C46" s="13">
        <v>77553446.099999994</v>
      </c>
    </row>
    <row r="47" spans="1:3" x14ac:dyDescent="0.3">
      <c r="A47" s="5" t="s">
        <v>29</v>
      </c>
      <c r="B47" s="13">
        <v>653891366.16999996</v>
      </c>
      <c r="C47" s="13">
        <v>906822417.79999995</v>
      </c>
    </row>
    <row r="48" spans="1:3" x14ac:dyDescent="0.3">
      <c r="A48" s="5" t="s">
        <v>30</v>
      </c>
      <c r="B48" s="13">
        <v>1790193.87</v>
      </c>
      <c r="C48" s="13">
        <v>1088069.7</v>
      </c>
    </row>
    <row r="49" spans="1:3" x14ac:dyDescent="0.3">
      <c r="A49" s="5" t="s">
        <v>31</v>
      </c>
      <c r="B49" s="13">
        <v>118911472.03</v>
      </c>
      <c r="C49" s="13">
        <v>289917812.30000001</v>
      </c>
    </row>
    <row r="50" spans="1:3" x14ac:dyDescent="0.3">
      <c r="A50" s="5" t="s">
        <v>32</v>
      </c>
      <c r="B50" s="13">
        <v>2917408.33</v>
      </c>
      <c r="C50" s="13">
        <v>2053559.8</v>
      </c>
    </row>
    <row r="51" spans="1:3" x14ac:dyDescent="0.3">
      <c r="A51" s="5" t="s">
        <v>33</v>
      </c>
      <c r="B51" s="13">
        <v>44100953.810000002</v>
      </c>
      <c r="C51" s="13">
        <v>117481617.7</v>
      </c>
    </row>
    <row r="52" spans="1:3" x14ac:dyDescent="0.3">
      <c r="A52" s="5" t="s">
        <v>34</v>
      </c>
      <c r="B52" s="13">
        <v>362274504.39999998</v>
      </c>
      <c r="C52" s="13">
        <v>586965848.89999998</v>
      </c>
    </row>
    <row r="53" spans="1:3" x14ac:dyDescent="0.3">
      <c r="A53" s="5" t="s">
        <v>35</v>
      </c>
      <c r="B53" s="13">
        <v>71041661.329999998</v>
      </c>
      <c r="C53" s="13">
        <v>93874678.900000006</v>
      </c>
    </row>
    <row r="54" spans="1:3" x14ac:dyDescent="0.3">
      <c r="A54" s="5" t="s">
        <v>36</v>
      </c>
      <c r="B54" s="13">
        <v>139462846.18000001</v>
      </c>
      <c r="C54" s="13">
        <v>311445049.30000001</v>
      </c>
    </row>
    <row r="55" spans="1:3" x14ac:dyDescent="0.3">
      <c r="A55" s="5" t="s">
        <v>37</v>
      </c>
      <c r="B55" s="13">
        <v>511113.43</v>
      </c>
      <c r="C55" s="13">
        <v>372304</v>
      </c>
    </row>
    <row r="56" spans="1:3" x14ac:dyDescent="0.3">
      <c r="A56" s="5" t="s">
        <v>38</v>
      </c>
      <c r="B56" s="13">
        <v>112972104.73</v>
      </c>
      <c r="C56" s="13">
        <v>55453723.899999999</v>
      </c>
    </row>
    <row r="57" spans="1:3" x14ac:dyDescent="0.3">
      <c r="A57" s="5" t="s">
        <v>39</v>
      </c>
      <c r="B57" s="13">
        <v>33306927.170000002</v>
      </c>
      <c r="C57" s="13">
        <v>29630176.699999999</v>
      </c>
    </row>
    <row r="58" spans="1:3" x14ac:dyDescent="0.3">
      <c r="A58" s="5" t="s">
        <v>135</v>
      </c>
      <c r="B58" s="13">
        <v>782584.87</v>
      </c>
      <c r="C58" s="13">
        <v>630892.1</v>
      </c>
    </row>
    <row r="59" spans="1:3" x14ac:dyDescent="0.3">
      <c r="A59" s="5" t="s">
        <v>123</v>
      </c>
      <c r="B59" s="13">
        <v>185129.2</v>
      </c>
      <c r="C59" s="13">
        <v>420834</v>
      </c>
    </row>
    <row r="60" spans="1:3" x14ac:dyDescent="0.3">
      <c r="A60" s="5" t="s">
        <v>40</v>
      </c>
      <c r="B60" s="13">
        <v>906580.82</v>
      </c>
      <c r="C60" s="13">
        <v>571325.80000000005</v>
      </c>
    </row>
    <row r="61" spans="1:3" x14ac:dyDescent="0.3">
      <c r="A61" s="5" t="s">
        <v>41</v>
      </c>
      <c r="B61" s="13">
        <v>45785002.060000002</v>
      </c>
      <c r="C61" s="13">
        <v>37667185.700000003</v>
      </c>
    </row>
    <row r="62" spans="1:3" x14ac:dyDescent="0.3">
      <c r="A62" s="5" t="s">
        <v>42</v>
      </c>
      <c r="B62" s="13">
        <v>4284789.42</v>
      </c>
      <c r="C62" s="13">
        <v>1809161</v>
      </c>
    </row>
    <row r="63" spans="1:3" x14ac:dyDescent="0.3">
      <c r="A63" s="5" t="s">
        <v>43</v>
      </c>
      <c r="B63" s="13">
        <v>4160631.63</v>
      </c>
      <c r="C63" s="13">
        <v>3095408.6</v>
      </c>
    </row>
    <row r="64" spans="1:3" x14ac:dyDescent="0.3">
      <c r="A64" s="5" t="s">
        <v>44</v>
      </c>
      <c r="B64" s="13">
        <v>82842958.150000006</v>
      </c>
      <c r="C64" s="13">
        <v>84168187.200000003</v>
      </c>
    </row>
    <row r="65" spans="1:3" x14ac:dyDescent="0.3">
      <c r="A65" s="5" t="s">
        <v>45</v>
      </c>
      <c r="B65" s="13">
        <v>248188318.81</v>
      </c>
      <c r="C65" s="13">
        <v>372769591.89999998</v>
      </c>
    </row>
    <row r="66" spans="1:3" x14ac:dyDescent="0.3">
      <c r="A66" s="5" t="s">
        <v>124</v>
      </c>
      <c r="B66" s="13">
        <v>14333205.49</v>
      </c>
      <c r="C66" s="13">
        <v>42162572.299999997</v>
      </c>
    </row>
    <row r="67" spans="1:3" x14ac:dyDescent="0.3">
      <c r="A67" s="5" t="s">
        <v>46</v>
      </c>
      <c r="B67" s="13">
        <v>24101.15</v>
      </c>
      <c r="C67" s="13">
        <v>31625.5</v>
      </c>
    </row>
    <row r="68" spans="1:3" x14ac:dyDescent="0.3">
      <c r="A68" s="5" t="s">
        <v>47</v>
      </c>
      <c r="B68" s="13">
        <v>83508733.420000002</v>
      </c>
      <c r="C68" s="13">
        <v>163778245.69999999</v>
      </c>
    </row>
    <row r="69" spans="1:3" x14ac:dyDescent="0.3">
      <c r="A69" s="5" t="s">
        <v>48</v>
      </c>
      <c r="B69" s="13">
        <v>37166431.890000001</v>
      </c>
      <c r="C69" s="13">
        <v>69150573.099999994</v>
      </c>
    </row>
    <row r="70" spans="1:3" x14ac:dyDescent="0.3">
      <c r="A70" s="5" t="s">
        <v>151</v>
      </c>
      <c r="B70" s="13">
        <v>6078.21</v>
      </c>
      <c r="C70" s="13">
        <v>9211.4</v>
      </c>
    </row>
    <row r="71" spans="1:3" x14ac:dyDescent="0.3">
      <c r="A71" s="5" t="s">
        <v>136</v>
      </c>
      <c r="B71" s="13">
        <v>969354.83</v>
      </c>
      <c r="C71" s="13">
        <v>176091</v>
      </c>
    </row>
    <row r="72" spans="1:3" x14ac:dyDescent="0.3">
      <c r="A72" s="5" t="s">
        <v>6</v>
      </c>
      <c r="B72" s="13"/>
      <c r="C72" s="13"/>
    </row>
    <row r="73" spans="1:3" x14ac:dyDescent="0.3">
      <c r="A73" s="5" t="s">
        <v>49</v>
      </c>
      <c r="B73" s="13">
        <v>4994227038.6599998</v>
      </c>
      <c r="C73" s="13">
        <v>9011516072.5</v>
      </c>
    </row>
    <row r="74" spans="1:3" x14ac:dyDescent="0.3">
      <c r="A74" s="5" t="s">
        <v>50</v>
      </c>
      <c r="B74" s="13">
        <v>172490226.71000001</v>
      </c>
      <c r="C74" s="13">
        <v>467431612.69999999</v>
      </c>
    </row>
    <row r="75" spans="1:3" x14ac:dyDescent="0.3">
      <c r="A75" s="5" t="s">
        <v>137</v>
      </c>
      <c r="B75" s="13">
        <v>9737.73</v>
      </c>
      <c r="C75" s="13">
        <v>17545.599999999999</v>
      </c>
    </row>
    <row r="76" spans="1:3" x14ac:dyDescent="0.3">
      <c r="A76" s="5" t="s">
        <v>146</v>
      </c>
      <c r="B76" s="13">
        <v>8169070.46</v>
      </c>
      <c r="C76" s="13">
        <v>18859662</v>
      </c>
    </row>
    <row r="77" spans="1:3" x14ac:dyDescent="0.3">
      <c r="A77" s="5" t="s">
        <v>147</v>
      </c>
      <c r="B77" s="13">
        <v>54130.76</v>
      </c>
      <c r="C77" s="13">
        <v>98380</v>
      </c>
    </row>
    <row r="78" spans="1:3" x14ac:dyDescent="0.3">
      <c r="A78" s="5" t="s">
        <v>51</v>
      </c>
      <c r="B78" s="13">
        <v>86154442.609999999</v>
      </c>
      <c r="C78" s="13">
        <v>282074435.39999998</v>
      </c>
    </row>
    <row r="79" spans="1:3" x14ac:dyDescent="0.3">
      <c r="A79" s="5" t="s">
        <v>52</v>
      </c>
      <c r="B79" s="13">
        <v>817907644.09000003</v>
      </c>
      <c r="C79" s="13">
        <v>924856141.60000002</v>
      </c>
    </row>
    <row r="80" spans="1:3" x14ac:dyDescent="0.3">
      <c r="A80" s="5" t="s">
        <v>53</v>
      </c>
      <c r="B80" s="13">
        <v>132363651.12</v>
      </c>
      <c r="C80" s="13">
        <v>308932404.89999998</v>
      </c>
    </row>
    <row r="81" spans="1:3" x14ac:dyDescent="0.3">
      <c r="A81" s="5" t="s">
        <v>54</v>
      </c>
      <c r="B81" s="13">
        <v>29283055.010000002</v>
      </c>
      <c r="C81" s="13">
        <v>84714270.599999994</v>
      </c>
    </row>
    <row r="82" spans="1:3" x14ac:dyDescent="0.3">
      <c r="A82" s="5" t="s">
        <v>55</v>
      </c>
      <c r="B82" s="13">
        <v>1035434931.75</v>
      </c>
      <c r="C82" s="13">
        <v>998625609.5</v>
      </c>
    </row>
    <row r="83" spans="1:3" x14ac:dyDescent="0.3">
      <c r="A83" s="5" t="s">
        <v>56</v>
      </c>
      <c r="B83" s="13">
        <v>566163127.88999999</v>
      </c>
      <c r="C83" s="13">
        <v>1319357770.5</v>
      </c>
    </row>
    <row r="84" spans="1:3" x14ac:dyDescent="0.3">
      <c r="A84" s="5" t="s">
        <v>138</v>
      </c>
      <c r="B84" s="13">
        <v>155101463.91999999</v>
      </c>
      <c r="C84" s="13">
        <v>268799369.80000001</v>
      </c>
    </row>
    <row r="85" spans="1:3" x14ac:dyDescent="0.3">
      <c r="A85" s="5" t="s">
        <v>113</v>
      </c>
      <c r="B85" s="13">
        <v>213564818.11000001</v>
      </c>
      <c r="C85" s="13">
        <v>288337320</v>
      </c>
    </row>
    <row r="86" spans="1:3" x14ac:dyDescent="0.3">
      <c r="A86" s="5" t="s">
        <v>57</v>
      </c>
      <c r="B86" s="13">
        <v>71199051.060000002</v>
      </c>
      <c r="C86" s="13">
        <v>105022458.5</v>
      </c>
    </row>
    <row r="87" spans="1:3" x14ac:dyDescent="0.3">
      <c r="A87" s="5" t="s">
        <v>58</v>
      </c>
      <c r="B87" s="13">
        <v>59706093.32</v>
      </c>
      <c r="C87" s="13">
        <v>160573917.90000001</v>
      </c>
    </row>
    <row r="88" spans="1:3" x14ac:dyDescent="0.3">
      <c r="A88" s="5" t="s">
        <v>59</v>
      </c>
      <c r="B88" s="13">
        <v>54658018.420000002</v>
      </c>
      <c r="C88" s="13">
        <v>137000215.09999999</v>
      </c>
    </row>
    <row r="89" spans="1:3" x14ac:dyDescent="0.3">
      <c r="A89" s="5" t="s">
        <v>125</v>
      </c>
      <c r="B89" s="13">
        <v>1265983.94</v>
      </c>
      <c r="C89" s="13">
        <v>2430296.6</v>
      </c>
    </row>
    <row r="90" spans="1:3" x14ac:dyDescent="0.3">
      <c r="A90" s="5" t="s">
        <v>60</v>
      </c>
      <c r="B90" s="13">
        <v>1923645.99</v>
      </c>
      <c r="C90" s="13">
        <v>9480864.0999999996</v>
      </c>
    </row>
    <row r="91" spans="1:3" x14ac:dyDescent="0.3">
      <c r="A91" s="5" t="s">
        <v>61</v>
      </c>
      <c r="B91" s="13">
        <v>4179646.12</v>
      </c>
      <c r="C91" s="13">
        <v>7365622.2999999998</v>
      </c>
    </row>
    <row r="92" spans="1:3" x14ac:dyDescent="0.3">
      <c r="A92" s="5" t="s">
        <v>62</v>
      </c>
      <c r="B92" s="13">
        <v>306809007.56999999</v>
      </c>
      <c r="C92" s="13">
        <v>798463907.70000005</v>
      </c>
    </row>
    <row r="93" spans="1:3" x14ac:dyDescent="0.3">
      <c r="A93" s="5" t="s">
        <v>126</v>
      </c>
      <c r="B93" s="13">
        <v>18847993.449999999</v>
      </c>
      <c r="C93" s="13">
        <v>35198650.200000003</v>
      </c>
    </row>
    <row r="94" spans="1:3" x14ac:dyDescent="0.3">
      <c r="A94" s="5" t="s">
        <v>63</v>
      </c>
      <c r="B94" s="13">
        <v>645089.82999999996</v>
      </c>
      <c r="C94" s="13">
        <v>1128838.8</v>
      </c>
    </row>
    <row r="95" spans="1:3" x14ac:dyDescent="0.3">
      <c r="A95" s="5" t="s">
        <v>64</v>
      </c>
      <c r="B95" s="13">
        <v>38007840.399999999</v>
      </c>
      <c r="C95" s="13">
        <v>95787237.799999997</v>
      </c>
    </row>
    <row r="96" spans="1:3" x14ac:dyDescent="0.3">
      <c r="A96" s="5" t="s">
        <v>65</v>
      </c>
      <c r="B96" s="13">
        <v>9242114.5999999996</v>
      </c>
      <c r="C96" s="13">
        <v>15267317.300000001</v>
      </c>
    </row>
    <row r="97" spans="1:3" x14ac:dyDescent="0.3">
      <c r="A97" s="5" t="s">
        <v>66</v>
      </c>
      <c r="B97" s="13">
        <v>382052.5</v>
      </c>
      <c r="C97" s="13">
        <v>250708.2</v>
      </c>
    </row>
    <row r="98" spans="1:3" x14ac:dyDescent="0.3">
      <c r="A98" s="5" t="s">
        <v>139</v>
      </c>
      <c r="B98" s="13">
        <v>398893.83</v>
      </c>
      <c r="C98" s="13">
        <v>1747099.7</v>
      </c>
    </row>
    <row r="99" spans="1:3" x14ac:dyDescent="0.3">
      <c r="A99" s="5" t="s">
        <v>67</v>
      </c>
      <c r="B99" s="13">
        <v>102262113.54000001</v>
      </c>
      <c r="C99" s="13">
        <v>171221674.69999999</v>
      </c>
    </row>
    <row r="100" spans="1:3" x14ac:dyDescent="0.3">
      <c r="A100" s="5" t="s">
        <v>68</v>
      </c>
      <c r="B100" s="13">
        <v>793175629.02999997</v>
      </c>
      <c r="C100" s="13">
        <v>2000460143.8</v>
      </c>
    </row>
    <row r="101" spans="1:3" x14ac:dyDescent="0.3">
      <c r="A101" s="5" t="s">
        <v>69</v>
      </c>
      <c r="B101" s="13">
        <v>7614716.0999999996</v>
      </c>
      <c r="C101" s="13">
        <v>4499899.2</v>
      </c>
    </row>
    <row r="102" spans="1:3" x14ac:dyDescent="0.3">
      <c r="A102" s="5" t="s">
        <v>70</v>
      </c>
      <c r="B102" s="13">
        <v>252729147.66</v>
      </c>
      <c r="C102" s="13">
        <v>353588562.19999999</v>
      </c>
    </row>
    <row r="103" spans="1:3" x14ac:dyDescent="0.3">
      <c r="A103" s="5" t="s">
        <v>71</v>
      </c>
      <c r="B103" s="13">
        <v>54236086.259999998</v>
      </c>
      <c r="C103" s="13">
        <v>149842777.90000001</v>
      </c>
    </row>
    <row r="104" spans="1:3" x14ac:dyDescent="0.3">
      <c r="A104" s="5" t="s">
        <v>154</v>
      </c>
      <c r="B104" s="13" t="s">
        <v>114</v>
      </c>
      <c r="C104" s="13" t="s">
        <v>114</v>
      </c>
    </row>
    <row r="105" spans="1:3" x14ac:dyDescent="0.3">
      <c r="A105" s="5" t="s">
        <v>127</v>
      </c>
      <c r="B105" s="13">
        <v>30767.21</v>
      </c>
      <c r="C105" s="13">
        <v>41012.800000000003</v>
      </c>
    </row>
    <row r="106" spans="1:3" x14ac:dyDescent="0.3">
      <c r="A106" s="5" t="s">
        <v>149</v>
      </c>
      <c r="B106" s="13">
        <v>11089.29</v>
      </c>
      <c r="C106" s="13">
        <v>18764.400000000001</v>
      </c>
    </row>
    <row r="107" spans="1:3" x14ac:dyDescent="0.3">
      <c r="A107" s="5" t="s">
        <v>128</v>
      </c>
      <c r="B107" s="13">
        <v>3520.79</v>
      </c>
      <c r="C107" s="13">
        <v>90.4</v>
      </c>
    </row>
    <row r="108" spans="1:3" x14ac:dyDescent="0.3">
      <c r="A108" s="5" t="s">
        <v>150</v>
      </c>
      <c r="B108" s="13">
        <v>202237.59</v>
      </c>
      <c r="C108" s="13">
        <v>21490.3</v>
      </c>
    </row>
    <row r="109" spans="1:3" x14ac:dyDescent="0.3">
      <c r="A109" s="5" t="s">
        <v>6</v>
      </c>
      <c r="B109" s="13"/>
      <c r="C109" s="13"/>
    </row>
    <row r="110" spans="1:3" x14ac:dyDescent="0.3">
      <c r="A110" s="5" t="s">
        <v>72</v>
      </c>
      <c r="B110" s="13">
        <v>2356267475.0799999</v>
      </c>
      <c r="C110" s="13">
        <v>4158491528.5</v>
      </c>
    </row>
    <row r="111" spans="1:3" x14ac:dyDescent="0.3">
      <c r="A111" s="5" t="s">
        <v>129</v>
      </c>
      <c r="B111" s="13">
        <v>23170.78</v>
      </c>
      <c r="C111" s="13">
        <v>29110.7</v>
      </c>
    </row>
    <row r="112" spans="1:3" x14ac:dyDescent="0.3">
      <c r="A112" s="5" t="s">
        <v>73</v>
      </c>
      <c r="B112" s="13">
        <v>918891.22</v>
      </c>
      <c r="C112" s="13">
        <v>41290</v>
      </c>
    </row>
    <row r="113" spans="1:3" x14ac:dyDescent="0.3">
      <c r="A113" s="5" t="s">
        <v>74</v>
      </c>
      <c r="B113" s="13">
        <v>20135944.109999999</v>
      </c>
      <c r="C113" s="13">
        <v>28846780.300000001</v>
      </c>
    </row>
    <row r="114" spans="1:3" x14ac:dyDescent="0.3">
      <c r="A114" s="5" t="s">
        <v>75</v>
      </c>
      <c r="B114" s="13">
        <v>1379007.67</v>
      </c>
      <c r="C114" s="13">
        <v>596812.19999999995</v>
      </c>
    </row>
    <row r="115" spans="1:3" x14ac:dyDescent="0.3">
      <c r="A115" s="5" t="s">
        <v>76</v>
      </c>
      <c r="B115" s="13">
        <v>61331066.969999999</v>
      </c>
      <c r="C115" s="13">
        <v>141895456.69999999</v>
      </c>
    </row>
    <row r="116" spans="1:3" x14ac:dyDescent="0.3">
      <c r="A116" s="5" t="s">
        <v>77</v>
      </c>
      <c r="B116" s="13">
        <v>409803047.00999999</v>
      </c>
      <c r="C116" s="13">
        <v>890906508.70000005</v>
      </c>
    </row>
    <row r="117" spans="1:3" x14ac:dyDescent="0.3">
      <c r="A117" s="5" t="s">
        <v>78</v>
      </c>
      <c r="B117" s="13">
        <v>8637.42</v>
      </c>
      <c r="C117" s="13">
        <v>8086.9</v>
      </c>
    </row>
    <row r="118" spans="1:3" x14ac:dyDescent="0.3">
      <c r="A118" s="5" t="s">
        <v>79</v>
      </c>
      <c r="B118" s="13">
        <v>97213553.959999993</v>
      </c>
      <c r="C118" s="13">
        <v>209553036.30000001</v>
      </c>
    </row>
    <row r="119" spans="1:3" x14ac:dyDescent="0.3">
      <c r="A119" s="5" t="s">
        <v>80</v>
      </c>
      <c r="B119" s="13">
        <v>57736017.909999996</v>
      </c>
      <c r="C119" s="13">
        <v>129267805.3</v>
      </c>
    </row>
    <row r="120" spans="1:3" x14ac:dyDescent="0.3">
      <c r="A120" s="5" t="s">
        <v>81</v>
      </c>
      <c r="B120" s="13">
        <v>54375.39</v>
      </c>
      <c r="C120" s="13">
        <v>42866.2</v>
      </c>
    </row>
    <row r="121" spans="1:3" x14ac:dyDescent="0.3">
      <c r="A121" s="5" t="s">
        <v>82</v>
      </c>
      <c r="B121" s="13">
        <v>56199564.18</v>
      </c>
      <c r="C121" s="13">
        <v>196428229.59999999</v>
      </c>
    </row>
    <row r="122" spans="1:3" x14ac:dyDescent="0.3">
      <c r="A122" s="5" t="s">
        <v>83</v>
      </c>
      <c r="B122" s="13">
        <v>200841714.52000001</v>
      </c>
      <c r="C122" s="13">
        <v>440496602.5</v>
      </c>
    </row>
    <row r="123" spans="1:3" x14ac:dyDescent="0.3">
      <c r="A123" s="5" t="s">
        <v>140</v>
      </c>
      <c r="B123" s="13">
        <v>489.37</v>
      </c>
      <c r="C123" s="13">
        <v>307.2</v>
      </c>
    </row>
    <row r="124" spans="1:3" x14ac:dyDescent="0.3">
      <c r="A124" s="5" t="s">
        <v>84</v>
      </c>
      <c r="B124" s="13">
        <v>59974.29</v>
      </c>
      <c r="C124" s="13">
        <v>37698.199999999997</v>
      </c>
    </row>
    <row r="125" spans="1:3" x14ac:dyDescent="0.3">
      <c r="A125" s="5" t="s">
        <v>85</v>
      </c>
      <c r="B125" s="13">
        <v>751040092.63999999</v>
      </c>
      <c r="C125" s="13">
        <v>783390378.70000005</v>
      </c>
    </row>
    <row r="126" spans="1:3" x14ac:dyDescent="0.3">
      <c r="A126" s="5" t="s">
        <v>86</v>
      </c>
      <c r="B126" s="13">
        <v>223503287.66999999</v>
      </c>
      <c r="C126" s="13">
        <v>488032867.60000002</v>
      </c>
    </row>
    <row r="127" spans="1:3" x14ac:dyDescent="0.3">
      <c r="A127" s="5" t="s">
        <v>87</v>
      </c>
      <c r="B127" s="13">
        <v>2888037.44</v>
      </c>
      <c r="C127" s="13">
        <v>3751980.6</v>
      </c>
    </row>
    <row r="128" spans="1:3" x14ac:dyDescent="0.3">
      <c r="A128" s="5" t="s">
        <v>88</v>
      </c>
      <c r="B128" s="13">
        <v>185007239.05000001</v>
      </c>
      <c r="C128" s="13">
        <v>452017613.30000001</v>
      </c>
    </row>
    <row r="129" spans="1:3" x14ac:dyDescent="0.3">
      <c r="A129" s="5" t="s">
        <v>89</v>
      </c>
      <c r="B129" s="13">
        <v>18913045.75</v>
      </c>
      <c r="C129" s="13">
        <v>42504816.200000003</v>
      </c>
    </row>
    <row r="130" spans="1:3" x14ac:dyDescent="0.3">
      <c r="A130" s="5" t="s">
        <v>90</v>
      </c>
      <c r="B130" s="13">
        <v>10482.31</v>
      </c>
      <c r="C130" s="13">
        <v>9119.4</v>
      </c>
    </row>
    <row r="131" spans="1:3" x14ac:dyDescent="0.3">
      <c r="A131" s="5" t="s">
        <v>130</v>
      </c>
      <c r="B131" s="13">
        <v>1264485.83</v>
      </c>
      <c r="C131" s="13">
        <v>283856.3</v>
      </c>
    </row>
    <row r="132" spans="1:3" x14ac:dyDescent="0.3">
      <c r="A132" s="5" t="s">
        <v>91</v>
      </c>
      <c r="B132" s="13">
        <v>12999.74</v>
      </c>
      <c r="C132" s="13">
        <v>15895</v>
      </c>
    </row>
    <row r="133" spans="1:3" x14ac:dyDescent="0.3">
      <c r="A133" s="5" t="s">
        <v>92</v>
      </c>
      <c r="B133" s="13">
        <v>72436708.109999999</v>
      </c>
      <c r="C133" s="13">
        <v>114540189.90000001</v>
      </c>
    </row>
    <row r="134" spans="1:3" x14ac:dyDescent="0.3">
      <c r="A134" s="5" t="s">
        <v>93</v>
      </c>
      <c r="B134" s="13">
        <v>55506252.93</v>
      </c>
      <c r="C134" s="13">
        <v>10514022.1</v>
      </c>
    </row>
    <row r="135" spans="1:3" x14ac:dyDescent="0.3">
      <c r="A135" s="5" t="s">
        <v>148</v>
      </c>
      <c r="B135" s="13">
        <v>21776235.5</v>
      </c>
      <c r="C135" s="13">
        <v>50783708.100000001</v>
      </c>
    </row>
    <row r="136" spans="1:3" x14ac:dyDescent="0.3">
      <c r="A136" s="5" t="s">
        <v>141</v>
      </c>
      <c r="B136" s="13" t="s">
        <v>114</v>
      </c>
      <c r="C136" s="13" t="s">
        <v>114</v>
      </c>
    </row>
    <row r="137" spans="1:3" x14ac:dyDescent="0.3">
      <c r="A137" s="5" t="s">
        <v>131</v>
      </c>
      <c r="B137" s="13">
        <v>26184720.879999999</v>
      </c>
      <c r="C137" s="13">
        <v>67081161.200000003</v>
      </c>
    </row>
    <row r="138" spans="1:3" x14ac:dyDescent="0.3">
      <c r="A138" s="5" t="s">
        <v>94</v>
      </c>
      <c r="B138" s="13">
        <v>4520534.58</v>
      </c>
      <c r="C138" s="13">
        <v>9914682</v>
      </c>
    </row>
    <row r="139" spans="1:3" x14ac:dyDescent="0.3">
      <c r="A139" s="5" t="s">
        <v>132</v>
      </c>
      <c r="B139" s="13">
        <v>11025.67</v>
      </c>
      <c r="C139" s="13">
        <v>7925.7</v>
      </c>
    </row>
    <row r="140" spans="1:3" x14ac:dyDescent="0.3">
      <c r="A140" s="5" t="s">
        <v>95</v>
      </c>
      <c r="B140" s="13">
        <v>52208384.170000002</v>
      </c>
      <c r="C140" s="13">
        <v>28546350.699999999</v>
      </c>
    </row>
    <row r="141" spans="1:3" x14ac:dyDescent="0.3">
      <c r="A141" s="5" t="s">
        <v>96</v>
      </c>
      <c r="B141" s="13">
        <v>223186.03</v>
      </c>
      <c r="C141" s="13">
        <v>63749.3</v>
      </c>
    </row>
    <row r="142" spans="1:3" x14ac:dyDescent="0.3">
      <c r="A142" s="5" t="s">
        <v>133</v>
      </c>
      <c r="B142" s="13">
        <v>6497.43</v>
      </c>
      <c r="C142" s="13">
        <v>9872.9</v>
      </c>
    </row>
    <row r="143" spans="1:3" x14ac:dyDescent="0.3">
      <c r="A143" s="5" t="s">
        <v>97</v>
      </c>
      <c r="B143" s="13">
        <v>62322.37</v>
      </c>
      <c r="C143" s="13">
        <v>68395.600000000006</v>
      </c>
    </row>
    <row r="144" spans="1:3" x14ac:dyDescent="0.3">
      <c r="A144" s="5" t="s">
        <v>142</v>
      </c>
      <c r="B144" s="13">
        <v>5481500.3499999996</v>
      </c>
      <c r="C144" s="13">
        <v>584795.6</v>
      </c>
    </row>
    <row r="145" spans="1:3" x14ac:dyDescent="0.3">
      <c r="A145" s="5" t="s">
        <v>143</v>
      </c>
      <c r="B145" s="13">
        <v>27725537.129999999</v>
      </c>
      <c r="C145" s="13">
        <v>67886509.599999994</v>
      </c>
    </row>
    <row r="146" spans="1:3" x14ac:dyDescent="0.3">
      <c r="A146" s="5" t="s">
        <v>98</v>
      </c>
      <c r="B146" s="13">
        <v>57613.03</v>
      </c>
      <c r="C146" s="13">
        <v>71776.600000000006</v>
      </c>
    </row>
    <row r="147" spans="1:3" x14ac:dyDescent="0.3">
      <c r="A147" s="5" t="s">
        <v>99</v>
      </c>
      <c r="B147" s="13">
        <v>1685555.86</v>
      </c>
      <c r="C147" s="13">
        <v>231664.6</v>
      </c>
    </row>
    <row r="148" spans="1:3" x14ac:dyDescent="0.3">
      <c r="A148" s="5" t="s">
        <v>111</v>
      </c>
      <c r="B148" s="13">
        <v>11465.61</v>
      </c>
      <c r="C148" s="13">
        <v>11795.3</v>
      </c>
    </row>
    <row r="149" spans="1:3" x14ac:dyDescent="0.3">
      <c r="A149" s="5" t="s">
        <v>100</v>
      </c>
      <c r="B149" s="13">
        <v>24810.2</v>
      </c>
      <c r="C149" s="13">
        <v>17811.400000000001</v>
      </c>
    </row>
    <row r="150" spans="1:3" x14ac:dyDescent="0.3">
      <c r="A150" s="5" t="s">
        <v>6</v>
      </c>
      <c r="B150" s="13"/>
      <c r="C150" s="13"/>
    </row>
    <row r="151" spans="1:3" x14ac:dyDescent="0.3">
      <c r="A151" s="5" t="s">
        <v>101</v>
      </c>
      <c r="B151" s="13">
        <v>50281491.490000002</v>
      </c>
      <c r="C151" s="13">
        <v>100667340.09999999</v>
      </c>
    </row>
    <row r="152" spans="1:3" x14ac:dyDescent="0.3">
      <c r="A152" s="5" t="s">
        <v>102</v>
      </c>
      <c r="B152" s="13">
        <v>41134271.659999996</v>
      </c>
      <c r="C152" s="13">
        <v>77638707.099999994</v>
      </c>
    </row>
    <row r="153" spans="1:3" x14ac:dyDescent="0.3">
      <c r="A153" s="5" t="s">
        <v>103</v>
      </c>
      <c r="B153" s="13">
        <v>9147219.8300000001</v>
      </c>
      <c r="C153" s="13">
        <v>23028633</v>
      </c>
    </row>
    <row r="154" spans="1:3" x14ac:dyDescent="0.3">
      <c r="A154" s="5" t="s">
        <v>6</v>
      </c>
      <c r="B154" s="13"/>
      <c r="C154" s="13"/>
    </row>
    <row r="155" spans="1:3" x14ac:dyDescent="0.3">
      <c r="A155" s="5" t="s">
        <v>104</v>
      </c>
      <c r="B155" s="13">
        <v>96668357.099999994</v>
      </c>
      <c r="C155" s="13">
        <v>193834224.09999999</v>
      </c>
    </row>
    <row r="156" spans="1:3" x14ac:dyDescent="0.3">
      <c r="A156" s="5" t="s">
        <v>105</v>
      </c>
      <c r="B156" s="13">
        <v>9121891.8499999996</v>
      </c>
      <c r="C156" s="13">
        <v>12676947.5</v>
      </c>
    </row>
    <row r="157" spans="1:3" x14ac:dyDescent="0.3">
      <c r="A157" s="5" t="s">
        <v>106</v>
      </c>
      <c r="B157" s="13">
        <v>87546465.25</v>
      </c>
      <c r="C157" s="13">
        <v>181157276.59999999</v>
      </c>
    </row>
    <row r="158" spans="1:3" ht="24" customHeight="1" x14ac:dyDescent="0.3">
      <c r="A158" s="17" t="s">
        <v>107</v>
      </c>
      <c r="B158" s="17"/>
      <c r="C158" s="17"/>
    </row>
    <row r="159" spans="1:3" x14ac:dyDescent="0.3">
      <c r="A159" s="10" t="s">
        <v>108</v>
      </c>
      <c r="B159" s="11"/>
      <c r="C159" s="11"/>
    </row>
    <row r="160" spans="1:3" x14ac:dyDescent="0.3">
      <c r="A160" s="12" t="s">
        <v>112</v>
      </c>
      <c r="B160" s="11"/>
      <c r="C160" s="11"/>
    </row>
    <row r="161" spans="1:3" x14ac:dyDescent="0.3">
      <c r="A161" s="10" t="s">
        <v>109</v>
      </c>
      <c r="B161" s="11"/>
      <c r="C161" s="11"/>
    </row>
  </sheetData>
  <mergeCells count="3">
    <mergeCell ref="A1:C2"/>
    <mergeCell ref="B4:C4"/>
    <mergeCell ref="A158:C15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1222E-D539-4688-BDE8-A44FB04005CF}">
  <dimension ref="A1:C163"/>
  <sheetViews>
    <sheetView workbookViewId="0">
      <selection activeCell="A3" sqref="A3"/>
    </sheetView>
  </sheetViews>
  <sheetFormatPr baseColWidth="10" defaultColWidth="11.44140625" defaultRowHeight="14.4" x14ac:dyDescent="0.3"/>
  <cols>
    <col min="1" max="1" width="45.88671875" style="1" customWidth="1"/>
    <col min="2" max="2" width="18.33203125" style="1" bestFit="1" customWidth="1"/>
    <col min="3" max="3" width="18.44140625" style="1" bestFit="1" customWidth="1"/>
    <col min="4" max="16384" width="11.44140625" style="1"/>
  </cols>
  <sheetData>
    <row r="1" spans="1:3" x14ac:dyDescent="0.3">
      <c r="A1" s="14" t="s">
        <v>183</v>
      </c>
      <c r="B1" s="14"/>
      <c r="C1" s="14"/>
    </row>
    <row r="2" spans="1:3" x14ac:dyDescent="0.3">
      <c r="A2" s="14"/>
      <c r="B2" s="14"/>
      <c r="C2" s="14"/>
    </row>
    <row r="3" spans="1:3" s="2" customFormat="1" ht="13.2" x14ac:dyDescent="0.25"/>
    <row r="4" spans="1:3" s="3" customFormat="1" ht="13.2" x14ac:dyDescent="0.25">
      <c r="A4" s="6"/>
      <c r="B4" s="15" t="s">
        <v>172</v>
      </c>
      <c r="C4" s="16"/>
    </row>
    <row r="5" spans="1:3" s="3" customFormat="1" ht="13.2" x14ac:dyDescent="0.25">
      <c r="A5" s="4" t="s">
        <v>2</v>
      </c>
      <c r="B5" s="7" t="s">
        <v>4</v>
      </c>
      <c r="C5" s="7" t="s">
        <v>3</v>
      </c>
    </row>
    <row r="6" spans="1:3" s="3" customFormat="1" ht="13.2" x14ac:dyDescent="0.25">
      <c r="A6" s="8"/>
      <c r="B6" s="9" t="s">
        <v>0</v>
      </c>
      <c r="C6" s="9" t="s">
        <v>1</v>
      </c>
    </row>
    <row r="8" spans="1:3" x14ac:dyDescent="0.3">
      <c r="A8" s="5" t="s">
        <v>5</v>
      </c>
      <c r="B8" s="13">
        <v>12210268524.59</v>
      </c>
      <c r="C8" s="13">
        <v>21930301990.650002</v>
      </c>
    </row>
    <row r="9" spans="1:3" x14ac:dyDescent="0.3">
      <c r="A9" s="5" t="s">
        <v>6</v>
      </c>
      <c r="B9" s="13"/>
      <c r="C9" s="13"/>
    </row>
    <row r="10" spans="1:3" x14ac:dyDescent="0.3">
      <c r="A10" s="5" t="s">
        <v>7</v>
      </c>
      <c r="B10" s="13">
        <v>1168033246.48</v>
      </c>
      <c r="C10" s="13">
        <v>2622984060.5999999</v>
      </c>
    </row>
    <row r="11" spans="1:3" x14ac:dyDescent="0.3">
      <c r="A11" s="5" t="s">
        <v>155</v>
      </c>
      <c r="B11" s="13" t="s">
        <v>114</v>
      </c>
      <c r="C11" s="13" t="s">
        <v>114</v>
      </c>
    </row>
    <row r="12" spans="1:3" x14ac:dyDescent="0.3">
      <c r="A12" s="5" t="s">
        <v>8</v>
      </c>
      <c r="B12" s="13">
        <v>287211559.60000002</v>
      </c>
      <c r="C12" s="13">
        <v>609666456.63</v>
      </c>
    </row>
    <row r="13" spans="1:3" x14ac:dyDescent="0.3">
      <c r="A13" s="5" t="s">
        <v>9</v>
      </c>
      <c r="B13" s="13">
        <v>4981594.6399999997</v>
      </c>
      <c r="C13" s="13">
        <v>11744817.51</v>
      </c>
    </row>
    <row r="14" spans="1:3" x14ac:dyDescent="0.3">
      <c r="A14" s="5" t="s">
        <v>110</v>
      </c>
      <c r="B14" s="13">
        <v>2855173.33</v>
      </c>
      <c r="C14" s="13">
        <v>8040031.5800000001</v>
      </c>
    </row>
    <row r="15" spans="1:3" x14ac:dyDescent="0.3">
      <c r="A15" s="5" t="s">
        <v>115</v>
      </c>
      <c r="B15" s="13" t="s">
        <v>114</v>
      </c>
      <c r="C15" s="13" t="s">
        <v>114</v>
      </c>
    </row>
    <row r="16" spans="1:3" x14ac:dyDescent="0.3">
      <c r="A16" s="5" t="s">
        <v>10</v>
      </c>
      <c r="B16" s="13">
        <v>20669415.960000001</v>
      </c>
      <c r="C16" s="13">
        <v>56124083.350000001</v>
      </c>
    </row>
    <row r="17" spans="1:3" x14ac:dyDescent="0.3">
      <c r="A17" s="5" t="s">
        <v>11</v>
      </c>
      <c r="B17" s="13">
        <v>133854.82999999999</v>
      </c>
      <c r="C17" s="13">
        <v>222864.95</v>
      </c>
    </row>
    <row r="18" spans="1:3" x14ac:dyDescent="0.3">
      <c r="A18" s="5" t="s">
        <v>12</v>
      </c>
      <c r="B18" s="13">
        <v>333081321.49000001</v>
      </c>
      <c r="C18" s="13">
        <v>714303807.09000003</v>
      </c>
    </row>
    <row r="19" spans="1:3" x14ac:dyDescent="0.3">
      <c r="A19" s="5" t="s">
        <v>144</v>
      </c>
      <c r="B19" s="13">
        <v>27248.48</v>
      </c>
      <c r="C19" s="13">
        <v>45691.14</v>
      </c>
    </row>
    <row r="20" spans="1:3" x14ac:dyDescent="0.3">
      <c r="A20" s="5" t="s">
        <v>13</v>
      </c>
      <c r="B20" s="13">
        <v>1934878.11</v>
      </c>
      <c r="C20" s="13">
        <v>7931718.4400000004</v>
      </c>
    </row>
    <row r="21" spans="1:3" x14ac:dyDescent="0.3">
      <c r="A21" s="5" t="s">
        <v>14</v>
      </c>
      <c r="B21" s="13">
        <v>13401347.310000001</v>
      </c>
      <c r="C21" s="13">
        <v>34268261.590000004</v>
      </c>
    </row>
    <row r="22" spans="1:3" x14ac:dyDescent="0.3">
      <c r="A22" s="5" t="s">
        <v>116</v>
      </c>
      <c r="B22" s="13">
        <v>2550715.06</v>
      </c>
      <c r="C22" s="13">
        <v>11435062.779999999</v>
      </c>
    </row>
    <row r="23" spans="1:3" x14ac:dyDescent="0.3">
      <c r="A23" s="5" t="s">
        <v>15</v>
      </c>
      <c r="B23" s="13">
        <v>6434500.4699999997</v>
      </c>
      <c r="C23" s="13">
        <v>26961550.829999998</v>
      </c>
    </row>
    <row r="24" spans="1:3" x14ac:dyDescent="0.3">
      <c r="A24" s="5" t="s">
        <v>117</v>
      </c>
      <c r="B24" s="13">
        <v>281243.89</v>
      </c>
      <c r="C24" s="13">
        <v>1114454.94</v>
      </c>
    </row>
    <row r="25" spans="1:3" x14ac:dyDescent="0.3">
      <c r="A25" s="5" t="s">
        <v>16</v>
      </c>
      <c r="B25" s="13">
        <v>849398.14</v>
      </c>
      <c r="C25" s="13">
        <v>2983951.25</v>
      </c>
    </row>
    <row r="26" spans="1:3" x14ac:dyDescent="0.3">
      <c r="A26" s="5" t="s">
        <v>145</v>
      </c>
      <c r="B26" s="13" t="s">
        <v>114</v>
      </c>
      <c r="C26" s="13" t="s">
        <v>114</v>
      </c>
    </row>
    <row r="27" spans="1:3" x14ac:dyDescent="0.3">
      <c r="A27" s="5" t="s">
        <v>17</v>
      </c>
      <c r="B27" s="13">
        <v>722222.27</v>
      </c>
      <c r="C27" s="13">
        <v>3151587.16</v>
      </c>
    </row>
    <row r="28" spans="1:3" x14ac:dyDescent="0.3">
      <c r="A28" s="5" t="s">
        <v>18</v>
      </c>
      <c r="B28" s="13">
        <v>150070799</v>
      </c>
      <c r="C28" s="13">
        <v>395042925.55000001</v>
      </c>
    </row>
    <row r="29" spans="1:3" x14ac:dyDescent="0.3">
      <c r="A29" s="5" t="s">
        <v>19</v>
      </c>
      <c r="B29" s="13">
        <v>16386074.34</v>
      </c>
      <c r="C29" s="13">
        <v>37116520.560000002</v>
      </c>
    </row>
    <row r="30" spans="1:3" x14ac:dyDescent="0.3">
      <c r="A30" s="5" t="s">
        <v>118</v>
      </c>
      <c r="B30" s="13">
        <v>3835697.46</v>
      </c>
      <c r="C30" s="13">
        <v>15829677.6</v>
      </c>
    </row>
    <row r="31" spans="1:3" x14ac:dyDescent="0.3">
      <c r="A31" s="5" t="s">
        <v>134</v>
      </c>
      <c r="B31" s="13">
        <v>28063.45</v>
      </c>
      <c r="C31" s="13">
        <v>48551.25</v>
      </c>
    </row>
    <row r="32" spans="1:3" x14ac:dyDescent="0.3">
      <c r="A32" s="5" t="s">
        <v>20</v>
      </c>
      <c r="B32" s="13">
        <v>13594337.75</v>
      </c>
      <c r="C32" s="13">
        <v>51667552.299999997</v>
      </c>
    </row>
    <row r="33" spans="1:3" x14ac:dyDescent="0.3">
      <c r="A33" s="5" t="s">
        <v>21</v>
      </c>
      <c r="B33" s="13">
        <v>20721304.649999999</v>
      </c>
      <c r="C33" s="13">
        <v>66143735.520000003</v>
      </c>
    </row>
    <row r="34" spans="1:3" x14ac:dyDescent="0.3">
      <c r="A34" s="5" t="s">
        <v>119</v>
      </c>
      <c r="B34" s="13">
        <v>55232.89</v>
      </c>
      <c r="C34" s="13">
        <v>94854.43</v>
      </c>
    </row>
    <row r="35" spans="1:3" x14ac:dyDescent="0.3">
      <c r="A35" s="5" t="s">
        <v>22</v>
      </c>
      <c r="B35" s="13">
        <v>2884267.13</v>
      </c>
      <c r="C35" s="13">
        <v>12490657.6</v>
      </c>
    </row>
    <row r="36" spans="1:3" x14ac:dyDescent="0.3">
      <c r="A36" s="5" t="s">
        <v>152</v>
      </c>
      <c r="B36" s="13" t="s">
        <v>114</v>
      </c>
      <c r="C36" s="13" t="s">
        <v>114</v>
      </c>
    </row>
    <row r="37" spans="1:3" x14ac:dyDescent="0.3">
      <c r="A37" s="5" t="s">
        <v>120</v>
      </c>
      <c r="B37" s="13">
        <v>29429893.949999999</v>
      </c>
      <c r="C37" s="13">
        <v>79697302.700000003</v>
      </c>
    </row>
    <row r="38" spans="1:3" x14ac:dyDescent="0.3">
      <c r="A38" s="5" t="s">
        <v>23</v>
      </c>
      <c r="B38" s="13">
        <v>5434287.5999999996</v>
      </c>
      <c r="C38" s="13">
        <v>22885797.050000001</v>
      </c>
    </row>
    <row r="39" spans="1:3" x14ac:dyDescent="0.3">
      <c r="A39" s="5" t="s">
        <v>24</v>
      </c>
      <c r="B39" s="13">
        <v>6900593.1699999999</v>
      </c>
      <c r="C39" s="13">
        <v>23058647.059999999</v>
      </c>
    </row>
    <row r="40" spans="1:3" x14ac:dyDescent="0.3">
      <c r="A40" s="5" t="s">
        <v>153</v>
      </c>
      <c r="B40" s="13">
        <v>671913.37</v>
      </c>
      <c r="C40" s="13">
        <v>3666824.86</v>
      </c>
    </row>
    <row r="41" spans="1:3" x14ac:dyDescent="0.3">
      <c r="A41" s="5" t="s">
        <v>25</v>
      </c>
      <c r="B41" s="13">
        <v>68302043.840000004</v>
      </c>
      <c r="C41" s="13">
        <v>64122640</v>
      </c>
    </row>
    <row r="42" spans="1:3" x14ac:dyDescent="0.3">
      <c r="A42" s="5" t="s">
        <v>121</v>
      </c>
      <c r="B42" s="13">
        <v>136227.45000000001</v>
      </c>
      <c r="C42" s="13">
        <v>234223</v>
      </c>
    </row>
    <row r="43" spans="1:3" x14ac:dyDescent="0.3">
      <c r="A43" s="5" t="s">
        <v>26</v>
      </c>
      <c r="B43" s="13">
        <v>174448036.84999999</v>
      </c>
      <c r="C43" s="13">
        <v>362889811.88</v>
      </c>
    </row>
    <row r="44" spans="1:3" x14ac:dyDescent="0.3">
      <c r="A44" s="5" t="s">
        <v>122</v>
      </c>
      <c r="B44" s="13" t="s">
        <v>114</v>
      </c>
      <c r="C44" s="13" t="s">
        <v>114</v>
      </c>
    </row>
    <row r="45" spans="1:3" x14ac:dyDescent="0.3">
      <c r="A45" s="5" t="s">
        <v>6</v>
      </c>
      <c r="B45" s="13"/>
      <c r="C45" s="13"/>
    </row>
    <row r="46" spans="1:3" x14ac:dyDescent="0.3">
      <c r="A46" s="5" t="s">
        <v>27</v>
      </c>
      <c r="B46" s="13">
        <v>2494960923.5100002</v>
      </c>
      <c r="C46" s="13">
        <v>3794686539.79</v>
      </c>
    </row>
    <row r="47" spans="1:3" x14ac:dyDescent="0.3">
      <c r="A47" s="5" t="s">
        <v>28</v>
      </c>
      <c r="B47" s="13">
        <v>57073724.189999998</v>
      </c>
      <c r="C47" s="13">
        <v>86771357.230000004</v>
      </c>
    </row>
    <row r="48" spans="1:3" x14ac:dyDescent="0.3">
      <c r="A48" s="5" t="s">
        <v>29</v>
      </c>
      <c r="B48" s="13">
        <v>771659734.07000005</v>
      </c>
      <c r="C48" s="13">
        <v>1060246696.85</v>
      </c>
    </row>
    <row r="49" spans="1:3" x14ac:dyDescent="0.3">
      <c r="A49" s="5" t="s">
        <v>30</v>
      </c>
      <c r="B49" s="13">
        <v>2261906.46</v>
      </c>
      <c r="C49" s="13">
        <v>1524433.75</v>
      </c>
    </row>
    <row r="50" spans="1:3" x14ac:dyDescent="0.3">
      <c r="A50" s="5" t="s">
        <v>31</v>
      </c>
      <c r="B50" s="13">
        <v>137307763.03999999</v>
      </c>
      <c r="C50" s="13">
        <v>337043306.31</v>
      </c>
    </row>
    <row r="51" spans="1:3" x14ac:dyDescent="0.3">
      <c r="A51" s="5" t="s">
        <v>32</v>
      </c>
      <c r="B51" s="13">
        <v>3520298.29</v>
      </c>
      <c r="C51" s="13">
        <v>2671512.9</v>
      </c>
    </row>
    <row r="52" spans="1:3" x14ac:dyDescent="0.3">
      <c r="A52" s="5" t="s">
        <v>33</v>
      </c>
      <c r="B52" s="13">
        <v>46631167.799999997</v>
      </c>
      <c r="C52" s="13">
        <v>126360645.23999999</v>
      </c>
    </row>
    <row r="53" spans="1:3" x14ac:dyDescent="0.3">
      <c r="A53" s="5" t="s">
        <v>34</v>
      </c>
      <c r="B53" s="13">
        <v>422405549.70999998</v>
      </c>
      <c r="C53" s="13">
        <v>687195143.91999996</v>
      </c>
    </row>
    <row r="54" spans="1:3" x14ac:dyDescent="0.3">
      <c r="A54" s="5" t="s">
        <v>35</v>
      </c>
      <c r="B54" s="13">
        <v>84993643.409999996</v>
      </c>
      <c r="C54" s="13">
        <v>104739561.39</v>
      </c>
    </row>
    <row r="55" spans="1:3" x14ac:dyDescent="0.3">
      <c r="A55" s="5" t="s">
        <v>36</v>
      </c>
      <c r="B55" s="13">
        <v>153649764.97999999</v>
      </c>
      <c r="C55" s="13">
        <v>342601635.05000001</v>
      </c>
    </row>
    <row r="56" spans="1:3" x14ac:dyDescent="0.3">
      <c r="A56" s="5" t="s">
        <v>37</v>
      </c>
      <c r="B56" s="13">
        <v>670488.31000000006</v>
      </c>
      <c r="C56" s="13">
        <v>480943.88</v>
      </c>
    </row>
    <row r="57" spans="1:3" x14ac:dyDescent="0.3">
      <c r="A57" s="5" t="s">
        <v>38</v>
      </c>
      <c r="B57" s="13">
        <v>134072566.28</v>
      </c>
      <c r="C57" s="13">
        <v>67349988.870000005</v>
      </c>
    </row>
    <row r="58" spans="1:3" x14ac:dyDescent="0.3">
      <c r="A58" s="5" t="s">
        <v>39</v>
      </c>
      <c r="B58" s="13">
        <v>33470631.149999999</v>
      </c>
      <c r="C58" s="13">
        <v>29673908.030000001</v>
      </c>
    </row>
    <row r="59" spans="1:3" x14ac:dyDescent="0.3">
      <c r="A59" s="5" t="s">
        <v>135</v>
      </c>
      <c r="B59" s="13">
        <v>782584.87</v>
      </c>
      <c r="C59" s="13">
        <v>630892.07999999996</v>
      </c>
    </row>
    <row r="60" spans="1:3" x14ac:dyDescent="0.3">
      <c r="A60" s="5" t="s">
        <v>123</v>
      </c>
      <c r="B60" s="13">
        <v>185129.2</v>
      </c>
      <c r="C60" s="13">
        <v>420834</v>
      </c>
    </row>
    <row r="61" spans="1:3" x14ac:dyDescent="0.3">
      <c r="A61" s="5" t="s">
        <v>40</v>
      </c>
      <c r="B61" s="13">
        <v>997900.29</v>
      </c>
      <c r="C61" s="13">
        <v>747927.12</v>
      </c>
    </row>
    <row r="62" spans="1:3" x14ac:dyDescent="0.3">
      <c r="A62" s="5" t="s">
        <v>156</v>
      </c>
      <c r="B62" s="13" t="s">
        <v>114</v>
      </c>
      <c r="C62" s="13" t="s">
        <v>114</v>
      </c>
    </row>
    <row r="63" spans="1:3" x14ac:dyDescent="0.3">
      <c r="A63" s="5" t="s">
        <v>41</v>
      </c>
      <c r="B63" s="13">
        <v>59987728.909999996</v>
      </c>
      <c r="C63" s="13">
        <v>47014445.030000001</v>
      </c>
    </row>
    <row r="64" spans="1:3" x14ac:dyDescent="0.3">
      <c r="A64" s="5" t="s">
        <v>42</v>
      </c>
      <c r="B64" s="13">
        <v>4535331.34</v>
      </c>
      <c r="C64" s="13">
        <v>1846698.22</v>
      </c>
    </row>
    <row r="65" spans="1:3" x14ac:dyDescent="0.3">
      <c r="A65" s="5" t="s">
        <v>43</v>
      </c>
      <c r="B65" s="13">
        <v>4807664.2699999996</v>
      </c>
      <c r="C65" s="13">
        <v>4058365.23</v>
      </c>
    </row>
    <row r="66" spans="1:3" x14ac:dyDescent="0.3">
      <c r="A66" s="5" t="s">
        <v>44</v>
      </c>
      <c r="B66" s="13">
        <v>102805824.52</v>
      </c>
      <c r="C66" s="13">
        <v>110290615.42</v>
      </c>
    </row>
    <row r="67" spans="1:3" x14ac:dyDescent="0.3">
      <c r="A67" s="5" t="s">
        <v>45</v>
      </c>
      <c r="B67" s="13">
        <v>308843171.45999998</v>
      </c>
      <c r="C67" s="13">
        <v>470776893.63</v>
      </c>
    </row>
    <row r="68" spans="1:3" x14ac:dyDescent="0.3">
      <c r="A68" s="5" t="s">
        <v>124</v>
      </c>
      <c r="B68" s="13">
        <v>14352756.99</v>
      </c>
      <c r="C68" s="13">
        <v>42168003.850000001</v>
      </c>
    </row>
    <row r="69" spans="1:3" x14ac:dyDescent="0.3">
      <c r="A69" s="5" t="s">
        <v>46</v>
      </c>
      <c r="B69" s="13">
        <v>28025.040000000001</v>
      </c>
      <c r="C69" s="13">
        <v>37307.519999999997</v>
      </c>
    </row>
    <row r="70" spans="1:3" x14ac:dyDescent="0.3">
      <c r="A70" s="5" t="s">
        <v>47</v>
      </c>
      <c r="B70" s="13">
        <v>98372685.75</v>
      </c>
      <c r="C70" s="13">
        <v>188860066.44999999</v>
      </c>
    </row>
    <row r="71" spans="1:3" x14ac:dyDescent="0.3">
      <c r="A71" s="5" t="s">
        <v>48</v>
      </c>
      <c r="B71" s="13">
        <v>50435132.399999999</v>
      </c>
      <c r="C71" s="13">
        <v>80967039.420000002</v>
      </c>
    </row>
    <row r="72" spans="1:3" x14ac:dyDescent="0.3">
      <c r="A72" s="5" t="s">
        <v>151</v>
      </c>
      <c r="B72" s="13">
        <v>7849.65</v>
      </c>
      <c r="C72" s="13">
        <v>11895.42</v>
      </c>
    </row>
    <row r="73" spans="1:3" x14ac:dyDescent="0.3">
      <c r="A73" s="5" t="s">
        <v>136</v>
      </c>
      <c r="B73" s="13">
        <v>1101901.1299999999</v>
      </c>
      <c r="C73" s="13">
        <v>196422.98</v>
      </c>
    </row>
    <row r="74" spans="1:3" x14ac:dyDescent="0.3">
      <c r="A74" s="5" t="s">
        <v>6</v>
      </c>
      <c r="B74" s="13"/>
      <c r="C74" s="13"/>
    </row>
    <row r="75" spans="1:3" x14ac:dyDescent="0.3">
      <c r="A75" s="5" t="s">
        <v>49</v>
      </c>
      <c r="B75" s="13">
        <v>5646445562.21</v>
      </c>
      <c r="C75" s="13">
        <v>10367589108.959999</v>
      </c>
    </row>
    <row r="76" spans="1:3" x14ac:dyDescent="0.3">
      <c r="A76" s="5" t="s">
        <v>50</v>
      </c>
      <c r="B76" s="13">
        <v>201177397.16</v>
      </c>
      <c r="C76" s="13">
        <v>559078680.65999997</v>
      </c>
    </row>
    <row r="77" spans="1:3" x14ac:dyDescent="0.3">
      <c r="A77" s="5" t="s">
        <v>137</v>
      </c>
      <c r="B77" s="13">
        <v>9737.73</v>
      </c>
      <c r="C77" s="13">
        <v>17545.580000000002</v>
      </c>
    </row>
    <row r="78" spans="1:3" x14ac:dyDescent="0.3">
      <c r="A78" s="5" t="s">
        <v>146</v>
      </c>
      <c r="B78" s="13">
        <v>8169070.46</v>
      </c>
      <c r="C78" s="13">
        <v>18859662</v>
      </c>
    </row>
    <row r="79" spans="1:3" x14ac:dyDescent="0.3">
      <c r="A79" s="5" t="s">
        <v>147</v>
      </c>
      <c r="B79" s="13">
        <v>54130.76</v>
      </c>
      <c r="C79" s="13">
        <v>98380</v>
      </c>
    </row>
    <row r="80" spans="1:3" x14ac:dyDescent="0.3">
      <c r="A80" s="5" t="s">
        <v>51</v>
      </c>
      <c r="B80" s="13">
        <v>110301435.42</v>
      </c>
      <c r="C80" s="13">
        <v>368646801.63</v>
      </c>
    </row>
    <row r="81" spans="1:3" x14ac:dyDescent="0.3">
      <c r="A81" s="5" t="s">
        <v>52</v>
      </c>
      <c r="B81" s="13">
        <v>1030964355.5700001</v>
      </c>
      <c r="C81" s="13">
        <v>1285282706.46</v>
      </c>
    </row>
    <row r="82" spans="1:3" x14ac:dyDescent="0.3">
      <c r="A82" s="5" t="s">
        <v>53</v>
      </c>
      <c r="B82" s="13">
        <v>158833752.03</v>
      </c>
      <c r="C82" s="13">
        <v>372575685.29000002</v>
      </c>
    </row>
    <row r="83" spans="1:3" x14ac:dyDescent="0.3">
      <c r="A83" s="5" t="s">
        <v>54</v>
      </c>
      <c r="B83" s="13">
        <v>34273801.049999997</v>
      </c>
      <c r="C83" s="13">
        <v>101583305.17</v>
      </c>
    </row>
    <row r="84" spans="1:3" x14ac:dyDescent="0.3">
      <c r="A84" s="5" t="s">
        <v>55</v>
      </c>
      <c r="B84" s="13">
        <v>1154392845</v>
      </c>
      <c r="C84" s="13">
        <v>1114208838.01</v>
      </c>
    </row>
    <row r="85" spans="1:3" x14ac:dyDescent="0.3">
      <c r="A85" s="5" t="s">
        <v>56</v>
      </c>
      <c r="B85" s="13">
        <v>593729791.22000003</v>
      </c>
      <c r="C85" s="13">
        <v>1383833283.4000001</v>
      </c>
    </row>
    <row r="86" spans="1:3" x14ac:dyDescent="0.3">
      <c r="A86" s="5" t="s">
        <v>138</v>
      </c>
      <c r="B86" s="13">
        <v>169942762.37</v>
      </c>
      <c r="C86" s="13">
        <v>311080549.81999999</v>
      </c>
    </row>
    <row r="87" spans="1:3" x14ac:dyDescent="0.3">
      <c r="A87" s="5" t="s">
        <v>113</v>
      </c>
      <c r="B87" s="13">
        <v>227645679.71000001</v>
      </c>
      <c r="C87" s="13">
        <v>324906040</v>
      </c>
    </row>
    <row r="88" spans="1:3" x14ac:dyDescent="0.3">
      <c r="A88" s="5" t="s">
        <v>57</v>
      </c>
      <c r="B88" s="13">
        <v>75450638.450000003</v>
      </c>
      <c r="C88" s="13">
        <v>105674393.16</v>
      </c>
    </row>
    <row r="89" spans="1:3" x14ac:dyDescent="0.3">
      <c r="A89" s="5" t="s">
        <v>58</v>
      </c>
      <c r="B89" s="13">
        <v>80352664.760000005</v>
      </c>
      <c r="C89" s="13">
        <v>220521608.96000001</v>
      </c>
    </row>
    <row r="90" spans="1:3" x14ac:dyDescent="0.3">
      <c r="A90" s="5" t="s">
        <v>59</v>
      </c>
      <c r="B90" s="13">
        <v>59411373.270000003</v>
      </c>
      <c r="C90" s="13">
        <v>156684473.56999999</v>
      </c>
    </row>
    <row r="91" spans="1:3" x14ac:dyDescent="0.3">
      <c r="A91" s="5" t="s">
        <v>125</v>
      </c>
      <c r="B91" s="13">
        <v>1277324.53</v>
      </c>
      <c r="C91" s="13">
        <v>2445555.5499999998</v>
      </c>
    </row>
    <row r="92" spans="1:3" x14ac:dyDescent="0.3">
      <c r="A92" s="5" t="s">
        <v>60</v>
      </c>
      <c r="B92" s="13">
        <v>1923645.99</v>
      </c>
      <c r="C92" s="13">
        <v>9480864.2200000007</v>
      </c>
    </row>
    <row r="93" spans="1:3" x14ac:dyDescent="0.3">
      <c r="A93" s="5" t="s">
        <v>61</v>
      </c>
      <c r="B93" s="13">
        <v>4710696.87</v>
      </c>
      <c r="C93" s="13">
        <v>8692816.0199999996</v>
      </c>
    </row>
    <row r="94" spans="1:3" x14ac:dyDescent="0.3">
      <c r="A94" s="5" t="s">
        <v>62</v>
      </c>
      <c r="B94" s="13">
        <v>329069926.94999999</v>
      </c>
      <c r="C94" s="13">
        <v>867646034.76999998</v>
      </c>
    </row>
    <row r="95" spans="1:3" x14ac:dyDescent="0.3">
      <c r="A95" s="5" t="s">
        <v>126</v>
      </c>
      <c r="B95" s="13">
        <v>23239107.870000001</v>
      </c>
      <c r="C95" s="13">
        <v>45620089.5</v>
      </c>
    </row>
    <row r="96" spans="1:3" x14ac:dyDescent="0.3">
      <c r="A96" s="5" t="s">
        <v>63</v>
      </c>
      <c r="B96" s="13">
        <v>736469.85</v>
      </c>
      <c r="C96" s="13">
        <v>1295972.8</v>
      </c>
    </row>
    <row r="97" spans="1:3" x14ac:dyDescent="0.3">
      <c r="A97" s="5" t="s">
        <v>64</v>
      </c>
      <c r="B97" s="13">
        <v>42115469.100000001</v>
      </c>
      <c r="C97" s="13">
        <v>106110973.17</v>
      </c>
    </row>
    <row r="98" spans="1:3" x14ac:dyDescent="0.3">
      <c r="A98" s="5" t="s">
        <v>65</v>
      </c>
      <c r="B98" s="13">
        <v>10278197.18</v>
      </c>
      <c r="C98" s="13">
        <v>15869059.470000001</v>
      </c>
    </row>
    <row r="99" spans="1:3" x14ac:dyDescent="0.3">
      <c r="A99" s="5" t="s">
        <v>66</v>
      </c>
      <c r="B99" s="13">
        <v>481948.29</v>
      </c>
      <c r="C99" s="13">
        <v>320901.39</v>
      </c>
    </row>
    <row r="100" spans="1:3" x14ac:dyDescent="0.3">
      <c r="A100" s="5" t="s">
        <v>139</v>
      </c>
      <c r="B100" s="13">
        <v>398893.83</v>
      </c>
      <c r="C100" s="13">
        <v>1747099.68</v>
      </c>
    </row>
    <row r="101" spans="1:3" x14ac:dyDescent="0.3">
      <c r="A101" s="5" t="s">
        <v>67</v>
      </c>
      <c r="B101" s="13">
        <v>107832796.94</v>
      </c>
      <c r="C101" s="13">
        <v>172800533.81</v>
      </c>
    </row>
    <row r="102" spans="1:3" x14ac:dyDescent="0.3">
      <c r="A102" s="5" t="s">
        <v>68</v>
      </c>
      <c r="B102" s="13">
        <v>886177918.86000001</v>
      </c>
      <c r="C102" s="13">
        <v>2266683017.8600001</v>
      </c>
    </row>
    <row r="103" spans="1:3" x14ac:dyDescent="0.3">
      <c r="A103" s="5" t="s">
        <v>69</v>
      </c>
      <c r="B103" s="13">
        <v>9374654.8699999992</v>
      </c>
      <c r="C103" s="13">
        <v>4920436.83</v>
      </c>
    </row>
    <row r="104" spans="1:3" x14ac:dyDescent="0.3">
      <c r="A104" s="5" t="s">
        <v>70</v>
      </c>
      <c r="B104" s="13">
        <v>269312906.00999999</v>
      </c>
      <c r="C104" s="13">
        <v>389653579.27999997</v>
      </c>
    </row>
    <row r="105" spans="1:3" x14ac:dyDescent="0.3">
      <c r="A105" s="5" t="s">
        <v>71</v>
      </c>
      <c r="B105" s="13">
        <v>54546273.460000001</v>
      </c>
      <c r="C105" s="13">
        <v>151157991.33000001</v>
      </c>
    </row>
    <row r="106" spans="1:3" x14ac:dyDescent="0.3">
      <c r="A106" s="5" t="s">
        <v>154</v>
      </c>
      <c r="B106" s="13" t="s">
        <v>114</v>
      </c>
      <c r="C106" s="13" t="s">
        <v>114</v>
      </c>
    </row>
    <row r="107" spans="1:3" x14ac:dyDescent="0.3">
      <c r="A107" s="5" t="s">
        <v>127</v>
      </c>
      <c r="B107" s="13">
        <v>33716.49</v>
      </c>
      <c r="C107" s="13">
        <v>43034.81</v>
      </c>
    </row>
    <row r="108" spans="1:3" x14ac:dyDescent="0.3">
      <c r="A108" s="5" t="s">
        <v>149</v>
      </c>
      <c r="B108" s="13">
        <v>15097.46</v>
      </c>
      <c r="C108" s="13">
        <v>25289.82</v>
      </c>
    </row>
    <row r="109" spans="1:3" x14ac:dyDescent="0.3">
      <c r="A109" s="5" t="s">
        <v>128</v>
      </c>
      <c r="B109" s="13">
        <v>8845.11</v>
      </c>
      <c r="C109" s="13">
        <v>2414.69</v>
      </c>
    </row>
    <row r="110" spans="1:3" x14ac:dyDescent="0.3">
      <c r="A110" s="5" t="s">
        <v>150</v>
      </c>
      <c r="B110" s="13">
        <v>202237.59</v>
      </c>
      <c r="C110" s="13">
        <v>21490.25</v>
      </c>
    </row>
    <row r="111" spans="1:3" x14ac:dyDescent="0.3">
      <c r="A111" s="5" t="s">
        <v>6</v>
      </c>
      <c r="B111" s="13"/>
      <c r="C111" s="13"/>
    </row>
    <row r="112" spans="1:3" x14ac:dyDescent="0.3">
      <c r="A112" s="5" t="s">
        <v>72</v>
      </c>
      <c r="B112" s="13">
        <v>2750542841.1100001</v>
      </c>
      <c r="C112" s="13">
        <v>4844906821.6499996</v>
      </c>
    </row>
    <row r="113" spans="1:3" x14ac:dyDescent="0.3">
      <c r="A113" s="5" t="s">
        <v>129</v>
      </c>
      <c r="B113" s="13">
        <v>23760.91</v>
      </c>
      <c r="C113" s="13">
        <v>29514.6</v>
      </c>
    </row>
    <row r="114" spans="1:3" x14ac:dyDescent="0.3">
      <c r="A114" s="5" t="s">
        <v>73</v>
      </c>
      <c r="B114" s="13">
        <v>1059107.94</v>
      </c>
      <c r="C114" s="13">
        <v>44804.51</v>
      </c>
    </row>
    <row r="115" spans="1:3" x14ac:dyDescent="0.3">
      <c r="A115" s="5" t="s">
        <v>74</v>
      </c>
      <c r="B115" s="13">
        <v>20346873.379999999</v>
      </c>
      <c r="C115" s="13">
        <v>28986003.859999999</v>
      </c>
    </row>
    <row r="116" spans="1:3" x14ac:dyDescent="0.3">
      <c r="A116" s="5" t="s">
        <v>75</v>
      </c>
      <c r="B116" s="13">
        <v>1429202.09</v>
      </c>
      <c r="C116" s="13">
        <v>655212.71</v>
      </c>
    </row>
    <row r="117" spans="1:3" x14ac:dyDescent="0.3">
      <c r="A117" s="5" t="s">
        <v>76</v>
      </c>
      <c r="B117" s="13">
        <v>74201116.780000001</v>
      </c>
      <c r="C117" s="13">
        <v>172345955.03</v>
      </c>
    </row>
    <row r="118" spans="1:3" x14ac:dyDescent="0.3">
      <c r="A118" s="5" t="s">
        <v>77</v>
      </c>
      <c r="B118" s="13">
        <v>499672540.19999999</v>
      </c>
      <c r="C118" s="13">
        <v>1077279060.03</v>
      </c>
    </row>
    <row r="119" spans="1:3" x14ac:dyDescent="0.3">
      <c r="A119" s="5" t="s">
        <v>78</v>
      </c>
      <c r="B119" s="13">
        <v>10930.59</v>
      </c>
      <c r="C119" s="13">
        <v>10482.86</v>
      </c>
    </row>
    <row r="120" spans="1:3" x14ac:dyDescent="0.3">
      <c r="A120" s="5" t="s">
        <v>79</v>
      </c>
      <c r="B120" s="13">
        <v>115888050.23999999</v>
      </c>
      <c r="C120" s="13">
        <v>256567608.69999999</v>
      </c>
    </row>
    <row r="121" spans="1:3" x14ac:dyDescent="0.3">
      <c r="A121" s="5" t="s">
        <v>80</v>
      </c>
      <c r="B121" s="13">
        <v>57765483.020000003</v>
      </c>
      <c r="C121" s="13">
        <v>129291029.14</v>
      </c>
    </row>
    <row r="122" spans="1:3" x14ac:dyDescent="0.3">
      <c r="A122" s="5" t="s">
        <v>81</v>
      </c>
      <c r="B122" s="13">
        <v>58249.75</v>
      </c>
      <c r="C122" s="13">
        <v>46060.49</v>
      </c>
    </row>
    <row r="123" spans="1:3" x14ac:dyDescent="0.3">
      <c r="A123" s="5" t="s">
        <v>82</v>
      </c>
      <c r="B123" s="13">
        <v>78983004.260000005</v>
      </c>
      <c r="C123" s="13">
        <v>264897628.53999999</v>
      </c>
    </row>
    <row r="124" spans="1:3" x14ac:dyDescent="0.3">
      <c r="A124" s="5" t="s">
        <v>83</v>
      </c>
      <c r="B124" s="13">
        <v>227617217.52000001</v>
      </c>
      <c r="C124" s="13">
        <v>505571558.94</v>
      </c>
    </row>
    <row r="125" spans="1:3" x14ac:dyDescent="0.3">
      <c r="A125" s="5" t="s">
        <v>140</v>
      </c>
      <c r="B125" s="13">
        <v>489.37</v>
      </c>
      <c r="C125" s="13">
        <v>307.14999999999998</v>
      </c>
    </row>
    <row r="126" spans="1:3" x14ac:dyDescent="0.3">
      <c r="A126" s="5" t="s">
        <v>84</v>
      </c>
      <c r="B126" s="13">
        <v>73201.64</v>
      </c>
      <c r="C126" s="13">
        <v>42629.86</v>
      </c>
    </row>
    <row r="127" spans="1:3" x14ac:dyDescent="0.3">
      <c r="A127" s="5" t="s">
        <v>85</v>
      </c>
      <c r="B127" s="13">
        <v>880873302.57000005</v>
      </c>
      <c r="C127" s="13">
        <v>880969518.37</v>
      </c>
    </row>
    <row r="128" spans="1:3" x14ac:dyDescent="0.3">
      <c r="A128" s="5" t="s">
        <v>86</v>
      </c>
      <c r="B128" s="13">
        <v>238675241.09999999</v>
      </c>
      <c r="C128" s="13">
        <v>524950090.33999997</v>
      </c>
    </row>
    <row r="129" spans="1:3" x14ac:dyDescent="0.3">
      <c r="A129" s="5" t="s">
        <v>87</v>
      </c>
      <c r="B129" s="13">
        <v>10913203.26</v>
      </c>
      <c r="C129" s="13">
        <v>25905710.390000001</v>
      </c>
    </row>
    <row r="130" spans="1:3" x14ac:dyDescent="0.3">
      <c r="A130" s="5" t="s">
        <v>88</v>
      </c>
      <c r="B130" s="13">
        <v>195780246.78</v>
      </c>
      <c r="C130" s="13">
        <v>478826484.19</v>
      </c>
    </row>
    <row r="131" spans="1:3" x14ac:dyDescent="0.3">
      <c r="A131" s="5" t="s">
        <v>89</v>
      </c>
      <c r="B131" s="13">
        <v>19002657.57</v>
      </c>
      <c r="C131" s="13">
        <v>42544073.850000001</v>
      </c>
    </row>
    <row r="132" spans="1:3" x14ac:dyDescent="0.3">
      <c r="A132" s="5" t="s">
        <v>90</v>
      </c>
      <c r="B132" s="13">
        <v>12771.05</v>
      </c>
      <c r="C132" s="13">
        <v>11145.38</v>
      </c>
    </row>
    <row r="133" spans="1:3" x14ac:dyDescent="0.3">
      <c r="A133" s="5" t="s">
        <v>130</v>
      </c>
      <c r="B133" s="13">
        <v>1490436.74</v>
      </c>
      <c r="C133" s="13">
        <v>301555.03999999998</v>
      </c>
    </row>
    <row r="134" spans="1:3" x14ac:dyDescent="0.3">
      <c r="A134" s="5" t="s">
        <v>91</v>
      </c>
      <c r="B134" s="13">
        <v>13557.07</v>
      </c>
      <c r="C134" s="13">
        <v>16296.9</v>
      </c>
    </row>
    <row r="135" spans="1:3" x14ac:dyDescent="0.3">
      <c r="A135" s="5" t="s">
        <v>92</v>
      </c>
      <c r="B135" s="13">
        <v>100885678.31999999</v>
      </c>
      <c r="C135" s="13">
        <v>184094534</v>
      </c>
    </row>
    <row r="136" spans="1:3" x14ac:dyDescent="0.3">
      <c r="A136" s="5" t="s">
        <v>93</v>
      </c>
      <c r="B136" s="13">
        <v>63784893.439999998</v>
      </c>
      <c r="C136" s="13">
        <v>11436464.960000001</v>
      </c>
    </row>
    <row r="137" spans="1:3" x14ac:dyDescent="0.3">
      <c r="A137" s="5" t="s">
        <v>148</v>
      </c>
      <c r="B137" s="13">
        <v>31052026.84</v>
      </c>
      <c r="C137" s="13">
        <v>74726228.140000001</v>
      </c>
    </row>
    <row r="138" spans="1:3" x14ac:dyDescent="0.3">
      <c r="A138" s="5" t="s">
        <v>141</v>
      </c>
      <c r="B138" s="13" t="s">
        <v>114</v>
      </c>
      <c r="C138" s="13" t="s">
        <v>114</v>
      </c>
    </row>
    <row r="139" spans="1:3" x14ac:dyDescent="0.3">
      <c r="A139" s="5" t="s">
        <v>131</v>
      </c>
      <c r="B139" s="13">
        <v>26184720.879999999</v>
      </c>
      <c r="C139" s="13">
        <v>67081161.149999999</v>
      </c>
    </row>
    <row r="140" spans="1:3" x14ac:dyDescent="0.3">
      <c r="A140" s="5" t="s">
        <v>94</v>
      </c>
      <c r="B140" s="13">
        <v>5873766.5</v>
      </c>
      <c r="C140" s="13">
        <v>13415044.9</v>
      </c>
    </row>
    <row r="141" spans="1:3" x14ac:dyDescent="0.3">
      <c r="A141" s="5" t="s">
        <v>132</v>
      </c>
      <c r="B141" s="13">
        <v>11592.67</v>
      </c>
      <c r="C141" s="13">
        <v>8330.69</v>
      </c>
    </row>
    <row r="142" spans="1:3" x14ac:dyDescent="0.3">
      <c r="A142" s="5" t="s">
        <v>95</v>
      </c>
      <c r="B142" s="13">
        <v>62719274.469999999</v>
      </c>
      <c r="C142" s="13">
        <v>35778419.710000001</v>
      </c>
    </row>
    <row r="143" spans="1:3" x14ac:dyDescent="0.3">
      <c r="A143" s="5" t="s">
        <v>96</v>
      </c>
      <c r="B143" s="13">
        <v>233689.57</v>
      </c>
      <c r="C143" s="13">
        <v>70246.789999999994</v>
      </c>
    </row>
    <row r="144" spans="1:3" x14ac:dyDescent="0.3">
      <c r="A144" s="5" t="s">
        <v>133</v>
      </c>
      <c r="B144" s="13">
        <v>10265.36</v>
      </c>
      <c r="C144" s="13">
        <v>15875.6</v>
      </c>
    </row>
    <row r="145" spans="1:3" x14ac:dyDescent="0.3">
      <c r="A145" s="5" t="s">
        <v>97</v>
      </c>
      <c r="B145" s="13">
        <v>76746.44</v>
      </c>
      <c r="C145" s="13">
        <v>81417.740000000005</v>
      </c>
    </row>
    <row r="146" spans="1:3" x14ac:dyDescent="0.3">
      <c r="A146" s="5" t="s">
        <v>142</v>
      </c>
      <c r="B146" s="13">
        <v>6265966.9000000004</v>
      </c>
      <c r="C146" s="13">
        <v>669935.19999999995</v>
      </c>
    </row>
    <row r="147" spans="1:3" x14ac:dyDescent="0.3">
      <c r="A147" s="5" t="s">
        <v>143</v>
      </c>
      <c r="B147" s="13">
        <v>27730088.98</v>
      </c>
      <c r="C147" s="13">
        <v>67886696.459999993</v>
      </c>
    </row>
    <row r="148" spans="1:3" x14ac:dyDescent="0.3">
      <c r="A148" s="5" t="s">
        <v>98</v>
      </c>
      <c r="B148" s="13">
        <v>62589.58</v>
      </c>
      <c r="C148" s="13">
        <v>75454.320000000007</v>
      </c>
    </row>
    <row r="149" spans="1:3" x14ac:dyDescent="0.3">
      <c r="A149" s="5" t="s">
        <v>99</v>
      </c>
      <c r="B149" s="13">
        <v>1721642.2</v>
      </c>
      <c r="C149" s="13">
        <v>242646.52</v>
      </c>
    </row>
    <row r="150" spans="1:3" x14ac:dyDescent="0.3">
      <c r="A150" s="5" t="s">
        <v>111</v>
      </c>
      <c r="B150" s="13">
        <v>12543.96</v>
      </c>
      <c r="C150" s="13">
        <v>12608.5</v>
      </c>
    </row>
    <row r="151" spans="1:3" x14ac:dyDescent="0.3">
      <c r="A151" s="5" t="s">
        <v>100</v>
      </c>
      <c r="B151" s="13">
        <v>26711.17</v>
      </c>
      <c r="C151" s="13">
        <v>19026.09</v>
      </c>
    </row>
    <row r="152" spans="1:3" x14ac:dyDescent="0.3">
      <c r="A152" s="5" t="s">
        <v>6</v>
      </c>
      <c r="B152" s="13"/>
      <c r="C152" s="13"/>
    </row>
    <row r="153" spans="1:3" x14ac:dyDescent="0.3">
      <c r="A153" s="5" t="s">
        <v>101</v>
      </c>
      <c r="B153" s="13">
        <v>51167912.93</v>
      </c>
      <c r="C153" s="13">
        <v>101622538.39</v>
      </c>
    </row>
    <row r="154" spans="1:3" x14ac:dyDescent="0.3">
      <c r="A154" s="5" t="s">
        <v>102</v>
      </c>
      <c r="B154" s="13">
        <v>41850417.329999998</v>
      </c>
      <c r="C154" s="13">
        <v>77744978.450000003</v>
      </c>
    </row>
    <row r="155" spans="1:3" x14ac:dyDescent="0.3">
      <c r="A155" s="5" t="s">
        <v>103</v>
      </c>
      <c r="B155" s="13">
        <v>9317495.5999999996</v>
      </c>
      <c r="C155" s="13">
        <v>23877559.940000001</v>
      </c>
    </row>
    <row r="156" spans="1:3" x14ac:dyDescent="0.3">
      <c r="A156" s="5" t="s">
        <v>6</v>
      </c>
      <c r="B156" s="13"/>
      <c r="C156" s="13"/>
    </row>
    <row r="157" spans="1:3" x14ac:dyDescent="0.3">
      <c r="A157" s="5" t="s">
        <v>104</v>
      </c>
      <c r="B157" s="13">
        <v>99118038.349999994</v>
      </c>
      <c r="C157" s="13">
        <v>198512921.25999999</v>
      </c>
    </row>
    <row r="158" spans="1:3" x14ac:dyDescent="0.3">
      <c r="A158" s="5" t="s">
        <v>105</v>
      </c>
      <c r="B158" s="13">
        <v>10756982.91</v>
      </c>
      <c r="C158" s="13">
        <v>15013301.539999999</v>
      </c>
    </row>
    <row r="159" spans="1:3" x14ac:dyDescent="0.3">
      <c r="A159" s="5" t="s">
        <v>106</v>
      </c>
      <c r="B159" s="13">
        <v>88361055.439999998</v>
      </c>
      <c r="C159" s="13">
        <v>183499619.72</v>
      </c>
    </row>
    <row r="160" spans="1:3" ht="24" customHeight="1" x14ac:dyDescent="0.3">
      <c r="A160" s="17" t="s">
        <v>107</v>
      </c>
      <c r="B160" s="17"/>
      <c r="C160" s="17"/>
    </row>
    <row r="161" spans="1:3" x14ac:dyDescent="0.3">
      <c r="A161" s="10" t="s">
        <v>108</v>
      </c>
      <c r="B161" s="11"/>
      <c r="C161" s="11"/>
    </row>
    <row r="162" spans="1:3" x14ac:dyDescent="0.3">
      <c r="A162" s="12" t="s">
        <v>112</v>
      </c>
      <c r="B162" s="11"/>
      <c r="C162" s="11"/>
    </row>
    <row r="163" spans="1:3" x14ac:dyDescent="0.3">
      <c r="A163" s="10" t="s">
        <v>109</v>
      </c>
      <c r="B163" s="11"/>
      <c r="C163" s="11"/>
    </row>
  </sheetData>
  <mergeCells count="3">
    <mergeCell ref="A1:C2"/>
    <mergeCell ref="B4:C4"/>
    <mergeCell ref="A160:C16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349DB-76EA-408E-B231-9EF3C031A5B6}">
  <dimension ref="A1:C163"/>
  <sheetViews>
    <sheetView workbookViewId="0">
      <selection activeCell="A3" sqref="A3"/>
    </sheetView>
  </sheetViews>
  <sheetFormatPr baseColWidth="10" defaultColWidth="11.44140625" defaultRowHeight="14.4" x14ac:dyDescent="0.3"/>
  <cols>
    <col min="1" max="1" width="45.88671875" style="1" customWidth="1"/>
    <col min="2" max="2" width="18.33203125" style="1" bestFit="1" customWidth="1"/>
    <col min="3" max="3" width="18.44140625" style="1" bestFit="1" customWidth="1"/>
    <col min="4" max="16384" width="11.44140625" style="1"/>
  </cols>
  <sheetData>
    <row r="1" spans="1:3" x14ac:dyDescent="0.3">
      <c r="A1" s="14" t="s">
        <v>184</v>
      </c>
      <c r="B1" s="14"/>
      <c r="C1" s="14"/>
    </row>
    <row r="2" spans="1:3" x14ac:dyDescent="0.3">
      <c r="A2" s="14"/>
      <c r="B2" s="14"/>
      <c r="C2" s="14"/>
    </row>
    <row r="3" spans="1:3" s="2" customFormat="1" ht="13.2" x14ac:dyDescent="0.25"/>
    <row r="4" spans="1:3" s="3" customFormat="1" ht="13.2" x14ac:dyDescent="0.25">
      <c r="A4" s="6"/>
      <c r="B4" s="15" t="s">
        <v>173</v>
      </c>
      <c r="C4" s="16"/>
    </row>
    <row r="5" spans="1:3" s="3" customFormat="1" ht="13.2" x14ac:dyDescent="0.25">
      <c r="A5" s="4" t="s">
        <v>2</v>
      </c>
      <c r="B5" s="7" t="s">
        <v>4</v>
      </c>
      <c r="C5" s="7" t="s">
        <v>3</v>
      </c>
    </row>
    <row r="6" spans="1:3" s="3" customFormat="1" ht="13.2" x14ac:dyDescent="0.25">
      <c r="A6" s="8"/>
      <c r="B6" s="9" t="s">
        <v>0</v>
      </c>
      <c r="C6" s="9" t="s">
        <v>1</v>
      </c>
    </row>
    <row r="8" spans="1:3" x14ac:dyDescent="0.3">
      <c r="A8" s="5" t="s">
        <v>5</v>
      </c>
      <c r="B8" s="13">
        <v>13905559725.200001</v>
      </c>
      <c r="C8" s="13">
        <v>24909575587.049999</v>
      </c>
    </row>
    <row r="9" spans="1:3" x14ac:dyDescent="0.3">
      <c r="A9" s="5" t="s">
        <v>6</v>
      </c>
      <c r="B9" s="13"/>
      <c r="C9" s="13"/>
    </row>
    <row r="10" spans="1:3" x14ac:dyDescent="0.3">
      <c r="A10" s="5" t="s">
        <v>7</v>
      </c>
      <c r="B10" s="13">
        <v>1308380643.4400001</v>
      </c>
      <c r="C10" s="13">
        <v>2887696117.8499999</v>
      </c>
    </row>
    <row r="11" spans="1:3" x14ac:dyDescent="0.3">
      <c r="A11" s="5" t="s">
        <v>155</v>
      </c>
      <c r="B11" s="13">
        <v>21586.18</v>
      </c>
      <c r="C11" s="13">
        <v>36133.9</v>
      </c>
    </row>
    <row r="12" spans="1:3" x14ac:dyDescent="0.3">
      <c r="A12" s="5" t="s">
        <v>8</v>
      </c>
      <c r="B12" s="13">
        <v>339833606.06</v>
      </c>
      <c r="C12" s="13">
        <v>710417752.91999996</v>
      </c>
    </row>
    <row r="13" spans="1:3" x14ac:dyDescent="0.3">
      <c r="A13" s="5" t="s">
        <v>9</v>
      </c>
      <c r="B13" s="13">
        <v>4991123.92</v>
      </c>
      <c r="C13" s="13">
        <v>11759824.26</v>
      </c>
    </row>
    <row r="14" spans="1:3" x14ac:dyDescent="0.3">
      <c r="A14" s="5" t="s">
        <v>110</v>
      </c>
      <c r="B14" s="13">
        <v>2863273.33</v>
      </c>
      <c r="C14" s="13">
        <v>8067031.5800000001</v>
      </c>
    </row>
    <row r="15" spans="1:3" x14ac:dyDescent="0.3">
      <c r="A15" s="5" t="s">
        <v>115</v>
      </c>
      <c r="B15" s="13" t="s">
        <v>114</v>
      </c>
      <c r="C15" s="13" t="s">
        <v>114</v>
      </c>
    </row>
    <row r="16" spans="1:3" x14ac:dyDescent="0.3">
      <c r="A16" s="5" t="s">
        <v>10</v>
      </c>
      <c r="B16" s="13">
        <v>25851640.670000002</v>
      </c>
      <c r="C16" s="13">
        <v>69920297.040000007</v>
      </c>
    </row>
    <row r="17" spans="1:3" x14ac:dyDescent="0.3">
      <c r="A17" s="5" t="s">
        <v>11</v>
      </c>
      <c r="B17" s="13">
        <v>152551.48000000001</v>
      </c>
      <c r="C17" s="13">
        <v>253466.95</v>
      </c>
    </row>
    <row r="18" spans="1:3" x14ac:dyDescent="0.3">
      <c r="A18" s="5" t="s">
        <v>12</v>
      </c>
      <c r="B18" s="13">
        <v>337167341.13</v>
      </c>
      <c r="C18" s="13">
        <v>731067442.36000001</v>
      </c>
    </row>
    <row r="19" spans="1:3" x14ac:dyDescent="0.3">
      <c r="A19" s="5" t="s">
        <v>144</v>
      </c>
      <c r="B19" s="13">
        <v>27248.48</v>
      </c>
      <c r="C19" s="13">
        <v>45691.14</v>
      </c>
    </row>
    <row r="20" spans="1:3" x14ac:dyDescent="0.3">
      <c r="A20" s="5" t="s">
        <v>13</v>
      </c>
      <c r="B20" s="13">
        <v>1942686.61</v>
      </c>
      <c r="C20" s="13">
        <v>7951600.04</v>
      </c>
    </row>
    <row r="21" spans="1:3" x14ac:dyDescent="0.3">
      <c r="A21" s="5" t="s">
        <v>14</v>
      </c>
      <c r="B21" s="13">
        <v>21609415.219999999</v>
      </c>
      <c r="C21" s="13">
        <v>56268811.630000003</v>
      </c>
    </row>
    <row r="22" spans="1:3" x14ac:dyDescent="0.3">
      <c r="A22" s="5" t="s">
        <v>116</v>
      </c>
      <c r="B22" s="13">
        <v>2564234.2000000002</v>
      </c>
      <c r="C22" s="13">
        <v>11456484.18</v>
      </c>
    </row>
    <row r="23" spans="1:3" x14ac:dyDescent="0.3">
      <c r="A23" s="5" t="s">
        <v>15</v>
      </c>
      <c r="B23" s="13">
        <v>6446245.1100000003</v>
      </c>
      <c r="C23" s="13">
        <v>26964112.829999998</v>
      </c>
    </row>
    <row r="24" spans="1:3" x14ac:dyDescent="0.3">
      <c r="A24" s="5" t="s">
        <v>117</v>
      </c>
      <c r="B24" s="13">
        <v>288935.12</v>
      </c>
      <c r="C24" s="13">
        <v>1126695.74</v>
      </c>
    </row>
    <row r="25" spans="1:3" x14ac:dyDescent="0.3">
      <c r="A25" s="5" t="s">
        <v>16</v>
      </c>
      <c r="B25" s="13">
        <v>876421.47</v>
      </c>
      <c r="C25" s="13">
        <v>3026794.05</v>
      </c>
    </row>
    <row r="26" spans="1:3" x14ac:dyDescent="0.3">
      <c r="A26" s="5" t="s">
        <v>145</v>
      </c>
      <c r="B26" s="13" t="s">
        <v>114</v>
      </c>
      <c r="C26" s="13" t="s">
        <v>114</v>
      </c>
    </row>
    <row r="27" spans="1:3" x14ac:dyDescent="0.3">
      <c r="A27" s="5" t="s">
        <v>17</v>
      </c>
      <c r="B27" s="13">
        <v>729677.4</v>
      </c>
      <c r="C27" s="13">
        <v>3163827.96</v>
      </c>
    </row>
    <row r="28" spans="1:3" x14ac:dyDescent="0.3">
      <c r="A28" s="5" t="s">
        <v>18</v>
      </c>
      <c r="B28" s="13">
        <v>154781846.31</v>
      </c>
      <c r="C28" s="13">
        <v>416841972.91000003</v>
      </c>
    </row>
    <row r="29" spans="1:3" x14ac:dyDescent="0.3">
      <c r="A29" s="5" t="s">
        <v>19</v>
      </c>
      <c r="B29" s="13">
        <v>16389070.949999999</v>
      </c>
      <c r="C29" s="13">
        <v>37121605.520000003</v>
      </c>
    </row>
    <row r="30" spans="1:3" x14ac:dyDescent="0.3">
      <c r="A30" s="5" t="s">
        <v>118</v>
      </c>
      <c r="B30" s="13">
        <v>3835697.46</v>
      </c>
      <c r="C30" s="13">
        <v>15829677.6</v>
      </c>
    </row>
    <row r="31" spans="1:3" x14ac:dyDescent="0.3">
      <c r="A31" s="5" t="s">
        <v>134</v>
      </c>
      <c r="B31" s="13">
        <v>31766.29</v>
      </c>
      <c r="C31" s="13">
        <v>54671.65</v>
      </c>
    </row>
    <row r="32" spans="1:3" x14ac:dyDescent="0.3">
      <c r="A32" s="5" t="s">
        <v>20</v>
      </c>
      <c r="B32" s="13">
        <v>37182138.020000003</v>
      </c>
      <c r="C32" s="13">
        <v>69375118</v>
      </c>
    </row>
    <row r="33" spans="1:3" x14ac:dyDescent="0.3">
      <c r="A33" s="5" t="s">
        <v>21</v>
      </c>
      <c r="B33" s="13">
        <v>25837728.300000001</v>
      </c>
      <c r="C33" s="13">
        <v>80412941.299999997</v>
      </c>
    </row>
    <row r="34" spans="1:3" x14ac:dyDescent="0.3">
      <c r="A34" s="5" t="s">
        <v>119</v>
      </c>
      <c r="B34" s="13">
        <v>55232.89</v>
      </c>
      <c r="C34" s="13">
        <v>94854.43</v>
      </c>
    </row>
    <row r="35" spans="1:3" x14ac:dyDescent="0.3">
      <c r="A35" s="5" t="s">
        <v>22</v>
      </c>
      <c r="B35" s="13">
        <v>2884267.13</v>
      </c>
      <c r="C35" s="13">
        <v>12490657.6</v>
      </c>
    </row>
    <row r="36" spans="1:3" x14ac:dyDescent="0.3">
      <c r="A36" s="5" t="s">
        <v>152</v>
      </c>
      <c r="B36" s="13">
        <v>154882.74</v>
      </c>
      <c r="C36" s="13">
        <v>684744.63</v>
      </c>
    </row>
    <row r="37" spans="1:3" x14ac:dyDescent="0.3">
      <c r="A37" s="5" t="s">
        <v>120</v>
      </c>
      <c r="B37" s="13">
        <v>40023941.299999997</v>
      </c>
      <c r="C37" s="13">
        <v>91333402.700000003</v>
      </c>
    </row>
    <row r="38" spans="1:3" x14ac:dyDescent="0.3">
      <c r="A38" s="5" t="s">
        <v>23</v>
      </c>
      <c r="B38" s="13">
        <v>5434287.5999999996</v>
      </c>
      <c r="C38" s="13">
        <v>22885797.050000001</v>
      </c>
    </row>
    <row r="39" spans="1:3" x14ac:dyDescent="0.3">
      <c r="A39" s="5" t="s">
        <v>24</v>
      </c>
      <c r="B39" s="13">
        <v>7084513.29</v>
      </c>
      <c r="C39" s="13">
        <v>23196320.199999999</v>
      </c>
    </row>
    <row r="40" spans="1:3" x14ac:dyDescent="0.3">
      <c r="A40" s="5" t="s">
        <v>153</v>
      </c>
      <c r="B40" s="13">
        <v>671913.37</v>
      </c>
      <c r="C40" s="13">
        <v>3666824.86</v>
      </c>
    </row>
    <row r="41" spans="1:3" x14ac:dyDescent="0.3">
      <c r="A41" s="5" t="s">
        <v>25</v>
      </c>
      <c r="B41" s="13">
        <v>79917803.840000004</v>
      </c>
      <c r="C41" s="13">
        <v>73482640</v>
      </c>
    </row>
    <row r="42" spans="1:3" x14ac:dyDescent="0.3">
      <c r="A42" s="5" t="s">
        <v>121</v>
      </c>
      <c r="B42" s="13">
        <v>136227.45000000001</v>
      </c>
      <c r="C42" s="13">
        <v>234223</v>
      </c>
    </row>
    <row r="43" spans="1:3" x14ac:dyDescent="0.3">
      <c r="A43" s="5" t="s">
        <v>26</v>
      </c>
      <c r="B43" s="13">
        <v>188593340.12</v>
      </c>
      <c r="C43" s="13">
        <v>398464699.81999999</v>
      </c>
    </row>
    <row r="44" spans="1:3" x14ac:dyDescent="0.3">
      <c r="A44" s="5" t="s">
        <v>122</v>
      </c>
      <c r="B44" s="13" t="s">
        <v>114</v>
      </c>
      <c r="C44" s="13" t="s">
        <v>114</v>
      </c>
    </row>
    <row r="45" spans="1:3" x14ac:dyDescent="0.3">
      <c r="A45" s="5" t="s">
        <v>6</v>
      </c>
      <c r="B45" s="13"/>
      <c r="C45" s="13"/>
    </row>
    <row r="46" spans="1:3" x14ac:dyDescent="0.3">
      <c r="A46" s="5" t="s">
        <v>27</v>
      </c>
      <c r="B46" s="13">
        <v>2906551295.9400001</v>
      </c>
      <c r="C46" s="13">
        <v>4370768829.71</v>
      </c>
    </row>
    <row r="47" spans="1:3" x14ac:dyDescent="0.3">
      <c r="A47" s="5" t="s">
        <v>28</v>
      </c>
      <c r="B47" s="13">
        <v>65764394.409999996</v>
      </c>
      <c r="C47" s="13">
        <v>96164258.629999995</v>
      </c>
    </row>
    <row r="48" spans="1:3" x14ac:dyDescent="0.3">
      <c r="A48" s="5" t="s">
        <v>29</v>
      </c>
      <c r="B48" s="13">
        <v>909466700.02999997</v>
      </c>
      <c r="C48" s="13">
        <v>1234403585.4200001</v>
      </c>
    </row>
    <row r="49" spans="1:3" x14ac:dyDescent="0.3">
      <c r="A49" s="5" t="s">
        <v>30</v>
      </c>
      <c r="B49" s="13">
        <v>2814811.04</v>
      </c>
      <c r="C49" s="13">
        <v>2087245.93</v>
      </c>
    </row>
    <row r="50" spans="1:3" x14ac:dyDescent="0.3">
      <c r="A50" s="5" t="s">
        <v>31</v>
      </c>
      <c r="B50" s="13">
        <v>167306872.13</v>
      </c>
      <c r="C50" s="13">
        <v>401599179.33999997</v>
      </c>
    </row>
    <row r="51" spans="1:3" x14ac:dyDescent="0.3">
      <c r="A51" s="5" t="s">
        <v>32</v>
      </c>
      <c r="B51" s="13">
        <v>3901828.45</v>
      </c>
      <c r="C51" s="13">
        <v>2800544.32</v>
      </c>
    </row>
    <row r="52" spans="1:3" x14ac:dyDescent="0.3">
      <c r="A52" s="5" t="s">
        <v>33</v>
      </c>
      <c r="B52" s="13">
        <v>47743370.18</v>
      </c>
      <c r="C52" s="13">
        <v>130146732.89</v>
      </c>
    </row>
    <row r="53" spans="1:3" x14ac:dyDescent="0.3">
      <c r="A53" s="5" t="s">
        <v>34</v>
      </c>
      <c r="B53" s="13">
        <v>500494237.31</v>
      </c>
      <c r="C53" s="13">
        <v>814360302.70000005</v>
      </c>
    </row>
    <row r="54" spans="1:3" x14ac:dyDescent="0.3">
      <c r="A54" s="5" t="s">
        <v>35</v>
      </c>
      <c r="B54" s="13">
        <v>96269102.590000004</v>
      </c>
      <c r="C54" s="13">
        <v>113318161.62</v>
      </c>
    </row>
    <row r="55" spans="1:3" x14ac:dyDescent="0.3">
      <c r="A55" s="5" t="s">
        <v>36</v>
      </c>
      <c r="B55" s="13">
        <v>168050863.63999999</v>
      </c>
      <c r="C55" s="13">
        <v>377678161.25</v>
      </c>
    </row>
    <row r="56" spans="1:3" x14ac:dyDescent="0.3">
      <c r="A56" s="5" t="s">
        <v>37</v>
      </c>
      <c r="B56" s="13">
        <v>3094510.21</v>
      </c>
      <c r="C56" s="13">
        <v>2371159.7400000002</v>
      </c>
    </row>
    <row r="57" spans="1:3" x14ac:dyDescent="0.3">
      <c r="A57" s="5" t="s">
        <v>38</v>
      </c>
      <c r="B57" s="13">
        <v>150734617.94</v>
      </c>
      <c r="C57" s="13">
        <v>72205727.810000002</v>
      </c>
    </row>
    <row r="58" spans="1:3" x14ac:dyDescent="0.3">
      <c r="A58" s="5" t="s">
        <v>39</v>
      </c>
      <c r="B58" s="13">
        <v>49472669.539999999</v>
      </c>
      <c r="C58" s="13">
        <v>44696436.939999998</v>
      </c>
    </row>
    <row r="59" spans="1:3" x14ac:dyDescent="0.3">
      <c r="A59" s="5" t="s">
        <v>135</v>
      </c>
      <c r="B59" s="13">
        <v>1278471.8700000001</v>
      </c>
      <c r="C59" s="13">
        <v>944477.84</v>
      </c>
    </row>
    <row r="60" spans="1:3" x14ac:dyDescent="0.3">
      <c r="A60" s="5" t="s">
        <v>123</v>
      </c>
      <c r="B60" s="13">
        <v>185129.2</v>
      </c>
      <c r="C60" s="13">
        <v>420834</v>
      </c>
    </row>
    <row r="61" spans="1:3" x14ac:dyDescent="0.3">
      <c r="A61" s="5" t="s">
        <v>40</v>
      </c>
      <c r="B61" s="13">
        <v>1116821.42</v>
      </c>
      <c r="C61" s="13">
        <v>821706.85</v>
      </c>
    </row>
    <row r="62" spans="1:3" x14ac:dyDescent="0.3">
      <c r="A62" s="5" t="s">
        <v>156</v>
      </c>
      <c r="B62" s="13">
        <v>4639213.5</v>
      </c>
      <c r="C62" s="13">
        <v>3501239.6</v>
      </c>
    </row>
    <row r="63" spans="1:3" x14ac:dyDescent="0.3">
      <c r="A63" s="5" t="s">
        <v>41</v>
      </c>
      <c r="B63" s="13">
        <v>67608096.989999995</v>
      </c>
      <c r="C63" s="13">
        <v>51140571.100000001</v>
      </c>
    </row>
    <row r="64" spans="1:3" x14ac:dyDescent="0.3">
      <c r="A64" s="5" t="s">
        <v>42</v>
      </c>
      <c r="B64" s="13">
        <v>4630810.91</v>
      </c>
      <c r="C64" s="13">
        <v>1851067.35</v>
      </c>
    </row>
    <row r="65" spans="1:3" x14ac:dyDescent="0.3">
      <c r="A65" s="5" t="s">
        <v>43</v>
      </c>
      <c r="B65" s="13">
        <v>5253822.12</v>
      </c>
      <c r="C65" s="13">
        <v>4239160.5</v>
      </c>
    </row>
    <row r="66" spans="1:3" x14ac:dyDescent="0.3">
      <c r="A66" s="5" t="s">
        <v>44</v>
      </c>
      <c r="B66" s="13">
        <v>126475634.52</v>
      </c>
      <c r="C66" s="13">
        <v>146151011.86000001</v>
      </c>
    </row>
    <row r="67" spans="1:3" x14ac:dyDescent="0.3">
      <c r="A67" s="5" t="s">
        <v>45</v>
      </c>
      <c r="B67" s="13">
        <v>344611384.52999997</v>
      </c>
      <c r="C67" s="13">
        <v>520965888.86000001</v>
      </c>
    </row>
    <row r="68" spans="1:3" x14ac:dyDescent="0.3">
      <c r="A68" s="5" t="s">
        <v>124</v>
      </c>
      <c r="B68" s="13">
        <v>14371574.67</v>
      </c>
      <c r="C68" s="13">
        <v>42192896.149999999</v>
      </c>
    </row>
    <row r="69" spans="1:3" x14ac:dyDescent="0.3">
      <c r="A69" s="5" t="s">
        <v>46</v>
      </c>
      <c r="B69" s="13">
        <v>39940.35</v>
      </c>
      <c r="C69" s="13">
        <v>54280.78</v>
      </c>
    </row>
    <row r="70" spans="1:3" x14ac:dyDescent="0.3">
      <c r="A70" s="5" t="s">
        <v>47</v>
      </c>
      <c r="B70" s="13">
        <v>118165564.11</v>
      </c>
      <c r="C70" s="13">
        <v>222438808.08000001</v>
      </c>
    </row>
    <row r="71" spans="1:3" x14ac:dyDescent="0.3">
      <c r="A71" s="5" t="s">
        <v>48</v>
      </c>
      <c r="B71" s="13">
        <v>51876121.259999998</v>
      </c>
      <c r="C71" s="13">
        <v>83990667.549999997</v>
      </c>
    </row>
    <row r="72" spans="1:3" x14ac:dyDescent="0.3">
      <c r="A72" s="5" t="s">
        <v>151</v>
      </c>
      <c r="B72" s="13">
        <v>10972.89</v>
      </c>
      <c r="C72" s="13">
        <v>17517.62</v>
      </c>
    </row>
    <row r="73" spans="1:3" x14ac:dyDescent="0.3">
      <c r="A73" s="5" t="s">
        <v>136</v>
      </c>
      <c r="B73" s="13">
        <v>1173760.1299999999</v>
      </c>
      <c r="C73" s="13">
        <v>207204.98</v>
      </c>
    </row>
    <row r="74" spans="1:3" x14ac:dyDescent="0.3">
      <c r="A74" s="5" t="s">
        <v>6</v>
      </c>
      <c r="B74" s="13"/>
      <c r="C74" s="13"/>
    </row>
    <row r="75" spans="1:3" x14ac:dyDescent="0.3">
      <c r="A75" s="5" t="s">
        <v>49</v>
      </c>
      <c r="B75" s="13">
        <v>6394935563.4899998</v>
      </c>
      <c r="C75" s="13">
        <v>11808699088.219999</v>
      </c>
    </row>
    <row r="76" spans="1:3" x14ac:dyDescent="0.3">
      <c r="A76" s="5" t="s">
        <v>50</v>
      </c>
      <c r="B76" s="13">
        <v>218898212.19</v>
      </c>
      <c r="C76" s="13">
        <v>603057125.26999998</v>
      </c>
    </row>
    <row r="77" spans="1:3" x14ac:dyDescent="0.3">
      <c r="A77" s="5" t="s">
        <v>137</v>
      </c>
      <c r="B77" s="13">
        <v>134331.25</v>
      </c>
      <c r="C77" s="13">
        <v>43390.85</v>
      </c>
    </row>
    <row r="78" spans="1:3" x14ac:dyDescent="0.3">
      <c r="A78" s="5" t="s">
        <v>146</v>
      </c>
      <c r="B78" s="13">
        <v>8169070.46</v>
      </c>
      <c r="C78" s="13">
        <v>18859662</v>
      </c>
    </row>
    <row r="79" spans="1:3" x14ac:dyDescent="0.3">
      <c r="A79" s="5" t="s">
        <v>147</v>
      </c>
      <c r="B79" s="13">
        <v>54130.76</v>
      </c>
      <c r="C79" s="13">
        <v>98380</v>
      </c>
    </row>
    <row r="80" spans="1:3" x14ac:dyDescent="0.3">
      <c r="A80" s="5" t="s">
        <v>51</v>
      </c>
      <c r="B80" s="13">
        <v>211290025.06</v>
      </c>
      <c r="C80" s="13">
        <v>594761569.19000006</v>
      </c>
    </row>
    <row r="81" spans="1:3" x14ac:dyDescent="0.3">
      <c r="A81" s="5" t="s">
        <v>52</v>
      </c>
      <c r="B81" s="13">
        <v>1168308792.5799999</v>
      </c>
      <c r="C81" s="13">
        <v>1503893653.53</v>
      </c>
    </row>
    <row r="82" spans="1:3" x14ac:dyDescent="0.3">
      <c r="A82" s="5" t="s">
        <v>53</v>
      </c>
      <c r="B82" s="13">
        <v>172678226.22</v>
      </c>
      <c r="C82" s="13">
        <v>406946596.06</v>
      </c>
    </row>
    <row r="83" spans="1:3" x14ac:dyDescent="0.3">
      <c r="A83" s="5" t="s">
        <v>54</v>
      </c>
      <c r="B83" s="13">
        <v>37485279.850000001</v>
      </c>
      <c r="C83" s="13">
        <v>112294320.41</v>
      </c>
    </row>
    <row r="84" spans="1:3" x14ac:dyDescent="0.3">
      <c r="A84" s="5" t="s">
        <v>55</v>
      </c>
      <c r="B84" s="13">
        <v>1330766426.3599999</v>
      </c>
      <c r="C84" s="13">
        <v>1298824929.6700001</v>
      </c>
    </row>
    <row r="85" spans="1:3" x14ac:dyDescent="0.3">
      <c r="A85" s="5" t="s">
        <v>56</v>
      </c>
      <c r="B85" s="13">
        <v>656344596.86000001</v>
      </c>
      <c r="C85" s="13">
        <v>1538762270.5899999</v>
      </c>
    </row>
    <row r="86" spans="1:3" x14ac:dyDescent="0.3">
      <c r="A86" s="5" t="s">
        <v>138</v>
      </c>
      <c r="B86" s="13">
        <v>170039338.96000001</v>
      </c>
      <c r="C86" s="13">
        <v>311106591.25</v>
      </c>
    </row>
    <row r="87" spans="1:3" x14ac:dyDescent="0.3">
      <c r="A87" s="5" t="s">
        <v>113</v>
      </c>
      <c r="B87" s="13">
        <v>227645679.71000001</v>
      </c>
      <c r="C87" s="13">
        <v>324906040</v>
      </c>
    </row>
    <row r="88" spans="1:3" x14ac:dyDescent="0.3">
      <c r="A88" s="5" t="s">
        <v>57</v>
      </c>
      <c r="B88" s="13">
        <v>80377850.299999997</v>
      </c>
      <c r="C88" s="13">
        <v>110656361.25</v>
      </c>
    </row>
    <row r="89" spans="1:3" x14ac:dyDescent="0.3">
      <c r="A89" s="5" t="s">
        <v>58</v>
      </c>
      <c r="B89" s="13">
        <v>90561219.230000004</v>
      </c>
      <c r="C89" s="13">
        <v>259663360.21000001</v>
      </c>
    </row>
    <row r="90" spans="1:3" x14ac:dyDescent="0.3">
      <c r="A90" s="5" t="s">
        <v>59</v>
      </c>
      <c r="B90" s="13">
        <v>67482195.530000001</v>
      </c>
      <c r="C90" s="13">
        <v>177997681.25999999</v>
      </c>
    </row>
    <row r="91" spans="1:3" x14ac:dyDescent="0.3">
      <c r="A91" s="5" t="s">
        <v>125</v>
      </c>
      <c r="B91" s="13">
        <v>1376337.78</v>
      </c>
      <c r="C91" s="13">
        <v>2482844.04</v>
      </c>
    </row>
    <row r="92" spans="1:3" x14ac:dyDescent="0.3">
      <c r="A92" s="5" t="s">
        <v>60</v>
      </c>
      <c r="B92" s="13">
        <v>1931611.74</v>
      </c>
      <c r="C92" s="13">
        <v>9491768.0500000007</v>
      </c>
    </row>
    <row r="93" spans="1:3" x14ac:dyDescent="0.3">
      <c r="A93" s="5" t="s">
        <v>61</v>
      </c>
      <c r="B93" s="13">
        <v>10141534.99</v>
      </c>
      <c r="C93" s="13">
        <v>21477959.120000001</v>
      </c>
    </row>
    <row r="94" spans="1:3" x14ac:dyDescent="0.3">
      <c r="A94" s="5" t="s">
        <v>62</v>
      </c>
      <c r="B94" s="13">
        <v>378261910.48000002</v>
      </c>
      <c r="C94" s="13">
        <v>1001492748</v>
      </c>
    </row>
    <row r="95" spans="1:3" x14ac:dyDescent="0.3">
      <c r="A95" s="5" t="s">
        <v>126</v>
      </c>
      <c r="B95" s="13">
        <v>26213046.329999998</v>
      </c>
      <c r="C95" s="13">
        <v>53847012.5</v>
      </c>
    </row>
    <row r="96" spans="1:3" x14ac:dyDescent="0.3">
      <c r="A96" s="5" t="s">
        <v>63</v>
      </c>
      <c r="B96" s="13">
        <v>814744.31</v>
      </c>
      <c r="C96" s="13">
        <v>1430056.64</v>
      </c>
    </row>
    <row r="97" spans="1:3" x14ac:dyDescent="0.3">
      <c r="A97" s="5" t="s">
        <v>64</v>
      </c>
      <c r="B97" s="13">
        <v>44935251.340000004</v>
      </c>
      <c r="C97" s="13">
        <v>116638867.27</v>
      </c>
    </row>
    <row r="98" spans="1:3" x14ac:dyDescent="0.3">
      <c r="A98" s="5" t="s">
        <v>65</v>
      </c>
      <c r="B98" s="13">
        <v>10982169.859999999</v>
      </c>
      <c r="C98" s="13">
        <v>16332144.369999999</v>
      </c>
    </row>
    <row r="99" spans="1:3" x14ac:dyDescent="0.3">
      <c r="A99" s="5" t="s">
        <v>66</v>
      </c>
      <c r="B99" s="13">
        <v>529813.29</v>
      </c>
      <c r="C99" s="13">
        <v>427902.05</v>
      </c>
    </row>
    <row r="100" spans="1:3" x14ac:dyDescent="0.3">
      <c r="A100" s="5" t="s">
        <v>139</v>
      </c>
      <c r="B100" s="13">
        <v>398893.83</v>
      </c>
      <c r="C100" s="13">
        <v>1747099.68</v>
      </c>
    </row>
    <row r="101" spans="1:3" x14ac:dyDescent="0.3">
      <c r="A101" s="5" t="s">
        <v>67</v>
      </c>
      <c r="B101" s="13">
        <v>113691573.97</v>
      </c>
      <c r="C101" s="13">
        <v>174223528.18000001</v>
      </c>
    </row>
    <row r="102" spans="1:3" x14ac:dyDescent="0.3">
      <c r="A102" s="5" t="s">
        <v>68</v>
      </c>
      <c r="B102" s="13">
        <v>979078414.71000004</v>
      </c>
      <c r="C102" s="13">
        <v>2534543130.77</v>
      </c>
    </row>
    <row r="103" spans="1:3" x14ac:dyDescent="0.3">
      <c r="A103" s="5" t="s">
        <v>69</v>
      </c>
      <c r="B103" s="13">
        <v>11642887.1</v>
      </c>
      <c r="C103" s="13">
        <v>5383193.9900000002</v>
      </c>
    </row>
    <row r="104" spans="1:3" x14ac:dyDescent="0.3">
      <c r="A104" s="5" t="s">
        <v>70</v>
      </c>
      <c r="B104" s="13">
        <v>317136994.29000002</v>
      </c>
      <c r="C104" s="13">
        <v>444779074.67000002</v>
      </c>
    </row>
    <row r="105" spans="1:3" x14ac:dyDescent="0.3">
      <c r="A105" s="5" t="s">
        <v>71</v>
      </c>
      <c r="B105" s="13">
        <v>57299649.979999997</v>
      </c>
      <c r="C105" s="13">
        <v>162429989.68000001</v>
      </c>
    </row>
    <row r="106" spans="1:3" x14ac:dyDescent="0.3">
      <c r="A106" s="5" t="s">
        <v>154</v>
      </c>
      <c r="B106" s="13">
        <v>3259.62</v>
      </c>
      <c r="C106" s="13">
        <v>5986.53</v>
      </c>
    </row>
    <row r="107" spans="1:3" x14ac:dyDescent="0.3">
      <c r="A107" s="5" t="s">
        <v>127</v>
      </c>
      <c r="B107" s="13">
        <v>35357.14</v>
      </c>
      <c r="C107" s="13">
        <v>44249.81</v>
      </c>
    </row>
    <row r="108" spans="1:3" x14ac:dyDescent="0.3">
      <c r="A108" s="5" t="s">
        <v>149</v>
      </c>
      <c r="B108" s="13">
        <v>15652.31</v>
      </c>
      <c r="C108" s="13">
        <v>25694.82</v>
      </c>
    </row>
    <row r="109" spans="1:3" x14ac:dyDescent="0.3">
      <c r="A109" s="5" t="s">
        <v>128</v>
      </c>
      <c r="B109" s="13">
        <v>8847.51</v>
      </c>
      <c r="C109" s="13">
        <v>2416.2600000000002</v>
      </c>
    </row>
    <row r="110" spans="1:3" x14ac:dyDescent="0.3">
      <c r="A110" s="5" t="s">
        <v>150</v>
      </c>
      <c r="B110" s="13">
        <v>202237.59</v>
      </c>
      <c r="C110" s="13">
        <v>21490.25</v>
      </c>
    </row>
    <row r="111" spans="1:3" x14ac:dyDescent="0.3">
      <c r="A111" s="5" t="s">
        <v>6</v>
      </c>
      <c r="B111" s="13"/>
      <c r="C111" s="13"/>
    </row>
    <row r="112" spans="1:3" x14ac:dyDescent="0.3">
      <c r="A112" s="5" t="s">
        <v>72</v>
      </c>
      <c r="B112" s="13">
        <v>3135362940.9299998</v>
      </c>
      <c r="C112" s="13">
        <v>5528342476.4300003</v>
      </c>
    </row>
    <row r="113" spans="1:3" x14ac:dyDescent="0.3">
      <c r="A113" s="5" t="s">
        <v>129</v>
      </c>
      <c r="B113" s="13">
        <v>23760.91</v>
      </c>
      <c r="C113" s="13">
        <v>29514.6</v>
      </c>
    </row>
    <row r="114" spans="1:3" x14ac:dyDescent="0.3">
      <c r="A114" s="5" t="s">
        <v>73</v>
      </c>
      <c r="B114" s="13">
        <v>1220020.7</v>
      </c>
      <c r="C114" s="13">
        <v>48870.59</v>
      </c>
    </row>
    <row r="115" spans="1:3" x14ac:dyDescent="0.3">
      <c r="A115" s="5" t="s">
        <v>74</v>
      </c>
      <c r="B115" s="13">
        <v>20603657.289999999</v>
      </c>
      <c r="C115" s="13">
        <v>29091774.289999999</v>
      </c>
    </row>
    <row r="116" spans="1:3" x14ac:dyDescent="0.3">
      <c r="A116" s="5" t="s">
        <v>75</v>
      </c>
      <c r="B116" s="13">
        <v>1461761.92</v>
      </c>
      <c r="C116" s="13">
        <v>692585.41</v>
      </c>
    </row>
    <row r="117" spans="1:3" x14ac:dyDescent="0.3">
      <c r="A117" s="5" t="s">
        <v>76</v>
      </c>
      <c r="B117" s="13">
        <v>85904502.409999996</v>
      </c>
      <c r="C117" s="13">
        <v>201008885.59</v>
      </c>
    </row>
    <row r="118" spans="1:3" x14ac:dyDescent="0.3">
      <c r="A118" s="5" t="s">
        <v>77</v>
      </c>
      <c r="B118" s="13">
        <v>545444204.09000003</v>
      </c>
      <c r="C118" s="13">
        <v>1165768259.3900001</v>
      </c>
    </row>
    <row r="119" spans="1:3" x14ac:dyDescent="0.3">
      <c r="A119" s="5" t="s">
        <v>78</v>
      </c>
      <c r="B119" s="13">
        <v>13641.74</v>
      </c>
      <c r="C119" s="13">
        <v>13288.37</v>
      </c>
    </row>
    <row r="120" spans="1:3" x14ac:dyDescent="0.3">
      <c r="A120" s="5" t="s">
        <v>79</v>
      </c>
      <c r="B120" s="13">
        <v>141007457.94</v>
      </c>
      <c r="C120" s="13">
        <v>320221178.42000002</v>
      </c>
    </row>
    <row r="121" spans="1:3" x14ac:dyDescent="0.3">
      <c r="A121" s="5" t="s">
        <v>80</v>
      </c>
      <c r="B121" s="13">
        <v>67701626.090000004</v>
      </c>
      <c r="C121" s="13">
        <v>154745159.78</v>
      </c>
    </row>
    <row r="122" spans="1:3" x14ac:dyDescent="0.3">
      <c r="A122" s="5" t="s">
        <v>81</v>
      </c>
      <c r="B122" s="13">
        <v>74623.05</v>
      </c>
      <c r="C122" s="13">
        <v>62125.56</v>
      </c>
    </row>
    <row r="123" spans="1:3" x14ac:dyDescent="0.3">
      <c r="A123" s="5" t="s">
        <v>82</v>
      </c>
      <c r="B123" s="13">
        <v>84320697.469999999</v>
      </c>
      <c r="C123" s="13">
        <v>278463176.89999998</v>
      </c>
    </row>
    <row r="124" spans="1:3" x14ac:dyDescent="0.3">
      <c r="A124" s="5" t="s">
        <v>83</v>
      </c>
      <c r="B124" s="13">
        <v>260110874.16</v>
      </c>
      <c r="C124" s="13">
        <v>583873105.85000002</v>
      </c>
    </row>
    <row r="125" spans="1:3" x14ac:dyDescent="0.3">
      <c r="A125" s="5" t="s">
        <v>140</v>
      </c>
      <c r="B125" s="13">
        <v>489.37</v>
      </c>
      <c r="C125" s="13">
        <v>307.14999999999998</v>
      </c>
    </row>
    <row r="126" spans="1:3" x14ac:dyDescent="0.3">
      <c r="A126" s="5" t="s">
        <v>84</v>
      </c>
      <c r="B126" s="13">
        <v>80320.53</v>
      </c>
      <c r="C126" s="13">
        <v>50800.24</v>
      </c>
    </row>
    <row r="127" spans="1:3" x14ac:dyDescent="0.3">
      <c r="A127" s="5" t="s">
        <v>85</v>
      </c>
      <c r="B127" s="13">
        <v>1005642537.35</v>
      </c>
      <c r="C127" s="13">
        <v>992662862.41999996</v>
      </c>
    </row>
    <row r="128" spans="1:3" x14ac:dyDescent="0.3">
      <c r="A128" s="5" t="s">
        <v>86</v>
      </c>
      <c r="B128" s="13">
        <v>268001189.86000001</v>
      </c>
      <c r="C128" s="13">
        <v>599111056.24000001</v>
      </c>
    </row>
    <row r="129" spans="1:3" x14ac:dyDescent="0.3">
      <c r="A129" s="5" t="s">
        <v>87</v>
      </c>
      <c r="B129" s="13">
        <v>25873984.43</v>
      </c>
      <c r="C129" s="13">
        <v>63667371.609999999</v>
      </c>
    </row>
    <row r="130" spans="1:3" x14ac:dyDescent="0.3">
      <c r="A130" s="5" t="s">
        <v>88</v>
      </c>
      <c r="B130" s="13">
        <v>206067542.81</v>
      </c>
      <c r="C130" s="13">
        <v>503478564.60000002</v>
      </c>
    </row>
    <row r="131" spans="1:3" x14ac:dyDescent="0.3">
      <c r="A131" s="5" t="s">
        <v>89</v>
      </c>
      <c r="B131" s="13">
        <v>29871117.219999999</v>
      </c>
      <c r="C131" s="13">
        <v>70273854.909999996</v>
      </c>
    </row>
    <row r="132" spans="1:3" x14ac:dyDescent="0.3">
      <c r="A132" s="5" t="s">
        <v>90</v>
      </c>
      <c r="B132" s="13">
        <v>18230.52</v>
      </c>
      <c r="C132" s="13">
        <v>15780.52</v>
      </c>
    </row>
    <row r="133" spans="1:3" x14ac:dyDescent="0.3">
      <c r="A133" s="5" t="s">
        <v>130</v>
      </c>
      <c r="B133" s="13">
        <v>1857548.56</v>
      </c>
      <c r="C133" s="13">
        <v>323542.36</v>
      </c>
    </row>
    <row r="134" spans="1:3" x14ac:dyDescent="0.3">
      <c r="A134" s="5" t="s">
        <v>91</v>
      </c>
      <c r="B134" s="13">
        <v>14188.29</v>
      </c>
      <c r="C134" s="13">
        <v>16703.36</v>
      </c>
    </row>
    <row r="135" spans="1:3" x14ac:dyDescent="0.3">
      <c r="A135" s="5" t="s">
        <v>92</v>
      </c>
      <c r="B135" s="13">
        <v>116547126.27</v>
      </c>
      <c r="C135" s="13">
        <v>222946171.81999999</v>
      </c>
    </row>
    <row r="136" spans="1:3" x14ac:dyDescent="0.3">
      <c r="A136" s="5" t="s">
        <v>93</v>
      </c>
      <c r="B136" s="13">
        <v>74165412.310000002</v>
      </c>
      <c r="C136" s="13">
        <v>12446069.83</v>
      </c>
    </row>
    <row r="137" spans="1:3" x14ac:dyDescent="0.3">
      <c r="A137" s="5" t="s">
        <v>148</v>
      </c>
      <c r="B137" s="13">
        <v>41795054.299999997</v>
      </c>
      <c r="C137" s="13">
        <v>101688870.69</v>
      </c>
    </row>
    <row r="138" spans="1:3" x14ac:dyDescent="0.3">
      <c r="A138" s="5" t="s">
        <v>141</v>
      </c>
      <c r="B138" s="13" t="s">
        <v>114</v>
      </c>
      <c r="C138" s="13" t="s">
        <v>114</v>
      </c>
    </row>
    <row r="139" spans="1:3" x14ac:dyDescent="0.3">
      <c r="A139" s="5" t="s">
        <v>131</v>
      </c>
      <c r="B139" s="13">
        <v>32262300.84</v>
      </c>
      <c r="C139" s="13">
        <v>82081565.340000004</v>
      </c>
    </row>
    <row r="140" spans="1:3" x14ac:dyDescent="0.3">
      <c r="A140" s="5" t="s">
        <v>94</v>
      </c>
      <c r="B140" s="13">
        <v>7893199.1799999997</v>
      </c>
      <c r="C140" s="13">
        <v>18360551.170000002</v>
      </c>
    </row>
    <row r="141" spans="1:3" x14ac:dyDescent="0.3">
      <c r="A141" s="5" t="s">
        <v>132</v>
      </c>
      <c r="B141" s="13">
        <v>13811.91</v>
      </c>
      <c r="C141" s="13">
        <v>9950.36</v>
      </c>
    </row>
    <row r="142" spans="1:3" x14ac:dyDescent="0.3">
      <c r="A142" s="5" t="s">
        <v>95</v>
      </c>
      <c r="B142" s="13">
        <v>74701971.700000003</v>
      </c>
      <c r="C142" s="13">
        <v>44253796.469999999</v>
      </c>
    </row>
    <row r="143" spans="1:3" x14ac:dyDescent="0.3">
      <c r="A143" s="5" t="s">
        <v>96</v>
      </c>
      <c r="B143" s="13">
        <v>272520.7</v>
      </c>
      <c r="C143" s="13">
        <v>98713.69</v>
      </c>
    </row>
    <row r="144" spans="1:3" x14ac:dyDescent="0.3">
      <c r="A144" s="5" t="s">
        <v>133</v>
      </c>
      <c r="B144" s="13">
        <v>10265.36</v>
      </c>
      <c r="C144" s="13">
        <v>15875.6</v>
      </c>
    </row>
    <row r="145" spans="1:3" x14ac:dyDescent="0.3">
      <c r="A145" s="5" t="s">
        <v>97</v>
      </c>
      <c r="B145" s="13">
        <v>92659.69</v>
      </c>
      <c r="C145" s="13">
        <v>97218.29</v>
      </c>
    </row>
    <row r="146" spans="1:3" x14ac:dyDescent="0.3">
      <c r="A146" s="5" t="s">
        <v>142</v>
      </c>
      <c r="B146" s="13">
        <v>6965204.0899999999</v>
      </c>
      <c r="C146" s="13">
        <v>746175.21</v>
      </c>
    </row>
    <row r="147" spans="1:3" x14ac:dyDescent="0.3">
      <c r="A147" s="5" t="s">
        <v>143</v>
      </c>
      <c r="B147" s="13">
        <v>33344475.030000001</v>
      </c>
      <c r="C147" s="13">
        <v>81564879.659999996</v>
      </c>
    </row>
    <row r="148" spans="1:3" x14ac:dyDescent="0.3">
      <c r="A148" s="5" t="s">
        <v>98</v>
      </c>
      <c r="B148" s="13">
        <v>77693.83</v>
      </c>
      <c r="C148" s="13">
        <v>97748.4</v>
      </c>
    </row>
    <row r="149" spans="1:3" x14ac:dyDescent="0.3">
      <c r="A149" s="5" t="s">
        <v>99</v>
      </c>
      <c r="B149" s="13">
        <v>1861942.34</v>
      </c>
      <c r="C149" s="13">
        <v>280019.34999999998</v>
      </c>
    </row>
    <row r="150" spans="1:3" x14ac:dyDescent="0.3">
      <c r="A150" s="5" t="s">
        <v>111</v>
      </c>
      <c r="B150" s="13">
        <v>13156.32</v>
      </c>
      <c r="C150" s="13">
        <v>13013.5</v>
      </c>
    </row>
    <row r="151" spans="1:3" x14ac:dyDescent="0.3">
      <c r="A151" s="5" t="s">
        <v>100</v>
      </c>
      <c r="B151" s="13">
        <v>32170.35</v>
      </c>
      <c r="C151" s="13">
        <v>23088.89</v>
      </c>
    </row>
    <row r="152" spans="1:3" x14ac:dyDescent="0.3">
      <c r="A152" s="5" t="s">
        <v>6</v>
      </c>
      <c r="B152" s="13"/>
      <c r="C152" s="13"/>
    </row>
    <row r="153" spans="1:3" x14ac:dyDescent="0.3">
      <c r="A153" s="5" t="s">
        <v>101</v>
      </c>
      <c r="B153" s="13">
        <v>55832544.340000004</v>
      </c>
      <c r="C153" s="13">
        <v>106992544.81999999</v>
      </c>
    </row>
    <row r="154" spans="1:3" x14ac:dyDescent="0.3">
      <c r="A154" s="5" t="s">
        <v>102</v>
      </c>
      <c r="B154" s="13">
        <v>46344851.649999999</v>
      </c>
      <c r="C154" s="13">
        <v>82174511.150000006</v>
      </c>
    </row>
    <row r="155" spans="1:3" x14ac:dyDescent="0.3">
      <c r="A155" s="5" t="s">
        <v>103</v>
      </c>
      <c r="B155" s="13">
        <v>9487692.6899999995</v>
      </c>
      <c r="C155" s="13">
        <v>24818033.670000002</v>
      </c>
    </row>
    <row r="156" spans="1:3" x14ac:dyDescent="0.3">
      <c r="A156" s="5" t="s">
        <v>6</v>
      </c>
      <c r="B156" s="13"/>
      <c r="C156" s="13"/>
    </row>
    <row r="157" spans="1:3" x14ac:dyDescent="0.3">
      <c r="A157" s="5" t="s">
        <v>104</v>
      </c>
      <c r="B157" s="13">
        <v>104496737.06</v>
      </c>
      <c r="C157" s="13">
        <v>207076530.02000001</v>
      </c>
    </row>
    <row r="158" spans="1:3" x14ac:dyDescent="0.3">
      <c r="A158" s="5" t="s">
        <v>105</v>
      </c>
      <c r="B158" s="13">
        <v>12090755.84</v>
      </c>
      <c r="C158" s="13">
        <v>16996293.059999999</v>
      </c>
    </row>
    <row r="159" spans="1:3" x14ac:dyDescent="0.3">
      <c r="A159" s="5" t="s">
        <v>106</v>
      </c>
      <c r="B159" s="13">
        <v>92405981.219999999</v>
      </c>
      <c r="C159" s="13">
        <v>190080236.96000001</v>
      </c>
    </row>
    <row r="160" spans="1:3" ht="24" customHeight="1" x14ac:dyDescent="0.3">
      <c r="A160" s="17" t="s">
        <v>107</v>
      </c>
      <c r="B160" s="17"/>
      <c r="C160" s="17"/>
    </row>
    <row r="161" spans="1:3" x14ac:dyDescent="0.3">
      <c r="A161" s="10" t="s">
        <v>108</v>
      </c>
      <c r="B161" s="11"/>
      <c r="C161" s="11"/>
    </row>
    <row r="162" spans="1:3" x14ac:dyDescent="0.3">
      <c r="A162" s="12" t="s">
        <v>112</v>
      </c>
      <c r="B162" s="11"/>
      <c r="C162" s="11"/>
    </row>
    <row r="163" spans="1:3" x14ac:dyDescent="0.3">
      <c r="A163" s="10" t="s">
        <v>109</v>
      </c>
      <c r="B163" s="11"/>
      <c r="C163" s="11"/>
    </row>
  </sheetData>
  <mergeCells count="3">
    <mergeCell ref="A1:C2"/>
    <mergeCell ref="B4:C4"/>
    <mergeCell ref="A160:C16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2D04-9805-4FDB-BCE6-99107A772955}">
  <dimension ref="A1:C167"/>
  <sheetViews>
    <sheetView workbookViewId="0">
      <selection activeCell="A3" sqref="A3"/>
    </sheetView>
  </sheetViews>
  <sheetFormatPr baseColWidth="10" defaultColWidth="11.44140625" defaultRowHeight="14.4" x14ac:dyDescent="0.3"/>
  <cols>
    <col min="1" max="1" width="45.88671875" style="1" customWidth="1"/>
    <col min="2" max="2" width="18.33203125" style="1" bestFit="1" customWidth="1"/>
    <col min="3" max="3" width="18.44140625" style="1" bestFit="1" customWidth="1"/>
    <col min="4" max="16384" width="11.44140625" style="1"/>
  </cols>
  <sheetData>
    <row r="1" spans="1:3" x14ac:dyDescent="0.3">
      <c r="A1" s="14" t="s">
        <v>185</v>
      </c>
      <c r="B1" s="14"/>
      <c r="C1" s="14"/>
    </row>
    <row r="2" spans="1:3" x14ac:dyDescent="0.3">
      <c r="A2" s="14"/>
      <c r="B2" s="14"/>
      <c r="C2" s="14"/>
    </row>
    <row r="3" spans="1:3" s="2" customFormat="1" ht="13.2" x14ac:dyDescent="0.25"/>
    <row r="4" spans="1:3" s="3" customFormat="1" ht="13.2" x14ac:dyDescent="0.25">
      <c r="A4" s="6"/>
      <c r="B4" s="15" t="s">
        <v>174</v>
      </c>
      <c r="C4" s="16"/>
    </row>
    <row r="5" spans="1:3" s="3" customFormat="1" ht="13.2" x14ac:dyDescent="0.25">
      <c r="A5" s="4" t="s">
        <v>2</v>
      </c>
      <c r="B5" s="7" t="s">
        <v>4</v>
      </c>
      <c r="C5" s="7" t="s">
        <v>3</v>
      </c>
    </row>
    <row r="6" spans="1:3" s="3" customFormat="1" ht="13.2" x14ac:dyDescent="0.25">
      <c r="A6" s="8"/>
      <c r="B6" s="9" t="s">
        <v>0</v>
      </c>
      <c r="C6" s="9" t="s">
        <v>1</v>
      </c>
    </row>
    <row r="8" spans="1:3" x14ac:dyDescent="0.3">
      <c r="A8" s="5" t="s">
        <v>5</v>
      </c>
      <c r="B8" s="13">
        <v>15404415549.299999</v>
      </c>
      <c r="C8" s="13">
        <v>27486922674.970001</v>
      </c>
    </row>
    <row r="9" spans="1:3" x14ac:dyDescent="0.3">
      <c r="A9" s="5" t="s">
        <v>6</v>
      </c>
      <c r="B9" s="13"/>
      <c r="C9" s="13"/>
    </row>
    <row r="10" spans="1:3" x14ac:dyDescent="0.3">
      <c r="A10" s="5" t="s">
        <v>7</v>
      </c>
      <c r="B10" s="13">
        <v>1398657733.54</v>
      </c>
      <c r="C10" s="13">
        <v>3055805665.9200001</v>
      </c>
    </row>
    <row r="11" spans="1:3" x14ac:dyDescent="0.3">
      <c r="A11" s="5" t="s">
        <v>155</v>
      </c>
      <c r="B11" s="13">
        <v>21586.18</v>
      </c>
      <c r="C11" s="13">
        <v>36133.9</v>
      </c>
    </row>
    <row r="12" spans="1:3" x14ac:dyDescent="0.3">
      <c r="A12" s="5" t="s">
        <v>8</v>
      </c>
      <c r="B12" s="13">
        <v>379891406.32999998</v>
      </c>
      <c r="C12" s="13">
        <v>777631161.78999996</v>
      </c>
    </row>
    <row r="13" spans="1:3" x14ac:dyDescent="0.3">
      <c r="A13" s="5" t="s">
        <v>9</v>
      </c>
      <c r="B13" s="13">
        <v>4992764.66</v>
      </c>
      <c r="C13" s="13">
        <v>11762862.66</v>
      </c>
    </row>
    <row r="14" spans="1:3" x14ac:dyDescent="0.3">
      <c r="A14" s="5" t="s">
        <v>110</v>
      </c>
      <c r="B14" s="13">
        <v>3025688.91</v>
      </c>
      <c r="C14" s="13">
        <v>8279912.7000000002</v>
      </c>
    </row>
    <row r="15" spans="1:3" x14ac:dyDescent="0.3">
      <c r="A15" s="5" t="s">
        <v>115</v>
      </c>
      <c r="B15" s="13" t="s">
        <v>114</v>
      </c>
      <c r="C15" s="13" t="s">
        <v>114</v>
      </c>
    </row>
    <row r="16" spans="1:3" x14ac:dyDescent="0.3">
      <c r="A16" s="5" t="s">
        <v>10</v>
      </c>
      <c r="B16" s="13">
        <v>29636421.789999999</v>
      </c>
      <c r="C16" s="13">
        <v>79940579.840000004</v>
      </c>
    </row>
    <row r="17" spans="1:3" x14ac:dyDescent="0.3">
      <c r="A17" s="5" t="s">
        <v>11</v>
      </c>
      <c r="B17" s="13">
        <v>152551.48000000001</v>
      </c>
      <c r="C17" s="13">
        <v>253466.95</v>
      </c>
    </row>
    <row r="18" spans="1:3" x14ac:dyDescent="0.3">
      <c r="A18" s="5" t="s">
        <v>12</v>
      </c>
      <c r="B18" s="13">
        <v>338079104.33999997</v>
      </c>
      <c r="C18" s="13">
        <v>733927555.91999996</v>
      </c>
    </row>
    <row r="19" spans="1:3" x14ac:dyDescent="0.3">
      <c r="A19" s="5" t="s">
        <v>144</v>
      </c>
      <c r="B19" s="13">
        <v>27248.48</v>
      </c>
      <c r="C19" s="13">
        <v>45691.14</v>
      </c>
    </row>
    <row r="20" spans="1:3" x14ac:dyDescent="0.3">
      <c r="A20" s="5" t="s">
        <v>13</v>
      </c>
      <c r="B20" s="13">
        <v>1957622.04</v>
      </c>
      <c r="C20" s="13">
        <v>7991363.2400000002</v>
      </c>
    </row>
    <row r="21" spans="1:3" x14ac:dyDescent="0.3">
      <c r="A21" s="5" t="s">
        <v>14</v>
      </c>
      <c r="B21" s="13">
        <v>25187375.91</v>
      </c>
      <c r="C21" s="13">
        <v>65387386.950000003</v>
      </c>
    </row>
    <row r="22" spans="1:3" x14ac:dyDescent="0.3">
      <c r="A22" s="5" t="s">
        <v>116</v>
      </c>
      <c r="B22" s="13">
        <v>2577063.5299999998</v>
      </c>
      <c r="C22" s="13">
        <v>11477552.48</v>
      </c>
    </row>
    <row r="23" spans="1:3" x14ac:dyDescent="0.3">
      <c r="A23" s="5" t="s">
        <v>157</v>
      </c>
      <c r="B23" s="13" t="s">
        <v>114</v>
      </c>
      <c r="C23" s="13" t="s">
        <v>114</v>
      </c>
    </row>
    <row r="24" spans="1:3" x14ac:dyDescent="0.3">
      <c r="A24" s="5" t="s">
        <v>15</v>
      </c>
      <c r="B24" s="13">
        <v>8350040.1299999999</v>
      </c>
      <c r="C24" s="13">
        <v>33777283.189999998</v>
      </c>
    </row>
    <row r="25" spans="1:3" x14ac:dyDescent="0.3">
      <c r="A25" s="5" t="s">
        <v>117</v>
      </c>
      <c r="B25" s="13">
        <v>288935.12</v>
      </c>
      <c r="C25" s="13">
        <v>1126695.74</v>
      </c>
    </row>
    <row r="26" spans="1:3" x14ac:dyDescent="0.3">
      <c r="A26" s="5" t="s">
        <v>16</v>
      </c>
      <c r="B26" s="13">
        <v>876421.47</v>
      </c>
      <c r="C26" s="13">
        <v>3026794.05</v>
      </c>
    </row>
    <row r="27" spans="1:3" x14ac:dyDescent="0.3">
      <c r="A27" s="5" t="s">
        <v>158</v>
      </c>
      <c r="B27" s="13" t="s">
        <v>114</v>
      </c>
      <c r="C27" s="13" t="s">
        <v>114</v>
      </c>
    </row>
    <row r="28" spans="1:3" x14ac:dyDescent="0.3">
      <c r="A28" s="5" t="s">
        <v>145</v>
      </c>
      <c r="B28" s="13" t="s">
        <v>114</v>
      </c>
      <c r="C28" s="13" t="s">
        <v>114</v>
      </c>
    </row>
    <row r="29" spans="1:3" x14ac:dyDescent="0.3">
      <c r="A29" s="5" t="s">
        <v>17</v>
      </c>
      <c r="B29" s="13">
        <v>735348.19</v>
      </c>
      <c r="C29" s="13">
        <v>3173008.56</v>
      </c>
    </row>
    <row r="30" spans="1:3" x14ac:dyDescent="0.3">
      <c r="A30" s="5" t="s">
        <v>18</v>
      </c>
      <c r="B30" s="13">
        <v>154895274.75</v>
      </c>
      <c r="C30" s="13">
        <v>417023753.39999998</v>
      </c>
    </row>
    <row r="31" spans="1:3" x14ac:dyDescent="0.3">
      <c r="A31" s="5" t="s">
        <v>19</v>
      </c>
      <c r="B31" s="13">
        <v>16867903.07</v>
      </c>
      <c r="C31" s="13">
        <v>39071187.920000002</v>
      </c>
    </row>
    <row r="32" spans="1:3" x14ac:dyDescent="0.3">
      <c r="A32" s="5" t="s">
        <v>118</v>
      </c>
      <c r="B32" s="13">
        <v>3965638.26</v>
      </c>
      <c r="C32" s="13">
        <v>16371097.6</v>
      </c>
    </row>
    <row r="33" spans="1:3" x14ac:dyDescent="0.3">
      <c r="A33" s="5" t="s">
        <v>134</v>
      </c>
      <c r="B33" s="13">
        <v>35469.129999999997</v>
      </c>
      <c r="C33" s="13">
        <v>60792.05</v>
      </c>
    </row>
    <row r="34" spans="1:3" x14ac:dyDescent="0.3">
      <c r="A34" s="5" t="s">
        <v>20</v>
      </c>
      <c r="B34" s="13">
        <v>37262293.310000002</v>
      </c>
      <c r="C34" s="13">
        <v>69460203</v>
      </c>
    </row>
    <row r="35" spans="1:3" x14ac:dyDescent="0.3">
      <c r="A35" s="5" t="s">
        <v>21</v>
      </c>
      <c r="B35" s="13">
        <v>27157861.75</v>
      </c>
      <c r="C35" s="13">
        <v>85779039.530000001</v>
      </c>
    </row>
    <row r="36" spans="1:3" x14ac:dyDescent="0.3">
      <c r="A36" s="5" t="s">
        <v>119</v>
      </c>
      <c r="B36" s="13">
        <v>58767.42</v>
      </c>
      <c r="C36" s="13">
        <v>100974.83</v>
      </c>
    </row>
    <row r="37" spans="1:3" x14ac:dyDescent="0.3">
      <c r="A37" s="5" t="s">
        <v>22</v>
      </c>
      <c r="B37" s="13">
        <v>2891862.08</v>
      </c>
      <c r="C37" s="13">
        <v>12502898.4</v>
      </c>
    </row>
    <row r="38" spans="1:3" x14ac:dyDescent="0.3">
      <c r="A38" s="5" t="s">
        <v>152</v>
      </c>
      <c r="B38" s="13">
        <v>154882.74</v>
      </c>
      <c r="C38" s="13">
        <v>684744.63</v>
      </c>
    </row>
    <row r="39" spans="1:3" x14ac:dyDescent="0.3">
      <c r="A39" s="5" t="s">
        <v>120</v>
      </c>
      <c r="B39" s="13">
        <v>40034488.390000001</v>
      </c>
      <c r="C39" s="13">
        <v>91351410.799999997</v>
      </c>
    </row>
    <row r="40" spans="1:3" x14ac:dyDescent="0.3">
      <c r="A40" s="5" t="s">
        <v>23</v>
      </c>
      <c r="B40" s="13">
        <v>6039108.4900000002</v>
      </c>
      <c r="C40" s="13">
        <v>24995597.050000001</v>
      </c>
    </row>
    <row r="41" spans="1:3" x14ac:dyDescent="0.3">
      <c r="A41" s="5" t="s">
        <v>24</v>
      </c>
      <c r="B41" s="13">
        <v>8034197.7199999997</v>
      </c>
      <c r="C41" s="13">
        <v>26631330.199999999</v>
      </c>
    </row>
    <row r="42" spans="1:3" x14ac:dyDescent="0.3">
      <c r="A42" s="5" t="s">
        <v>153</v>
      </c>
      <c r="B42" s="13">
        <v>671913.37</v>
      </c>
      <c r="C42" s="13">
        <v>3666824.86</v>
      </c>
    </row>
    <row r="43" spans="1:3" x14ac:dyDescent="0.3">
      <c r="A43" s="5" t="s">
        <v>25</v>
      </c>
      <c r="B43" s="13">
        <v>94312212.079999998</v>
      </c>
      <c r="C43" s="13">
        <v>87830640</v>
      </c>
    </row>
    <row r="44" spans="1:3" x14ac:dyDescent="0.3">
      <c r="A44" s="5" t="s">
        <v>121</v>
      </c>
      <c r="B44" s="13">
        <v>136227.45000000001</v>
      </c>
      <c r="C44" s="13">
        <v>234223</v>
      </c>
    </row>
    <row r="45" spans="1:3" x14ac:dyDescent="0.3">
      <c r="A45" s="5" t="s">
        <v>26</v>
      </c>
      <c r="B45" s="13">
        <v>209154068.77000001</v>
      </c>
      <c r="C45" s="13">
        <v>442082519.29000002</v>
      </c>
    </row>
    <row r="46" spans="1:3" x14ac:dyDescent="0.3">
      <c r="A46" s="5" t="s">
        <v>122</v>
      </c>
      <c r="B46" s="13" t="s">
        <v>114</v>
      </c>
      <c r="C46" s="13" t="s">
        <v>114</v>
      </c>
    </row>
    <row r="47" spans="1:3" x14ac:dyDescent="0.3">
      <c r="A47" s="5" t="s">
        <v>160</v>
      </c>
      <c r="B47" s="13">
        <v>1185986.2</v>
      </c>
      <c r="C47" s="13">
        <v>120980.25</v>
      </c>
    </row>
    <row r="48" spans="1:3" x14ac:dyDescent="0.3">
      <c r="A48" s="5" t="s">
        <v>6</v>
      </c>
      <c r="B48" s="13"/>
      <c r="C48" s="13"/>
    </row>
    <row r="49" spans="1:3" x14ac:dyDescent="0.3">
      <c r="A49" s="5" t="s">
        <v>27</v>
      </c>
      <c r="B49" s="13">
        <v>3257358731.8899999</v>
      </c>
      <c r="C49" s="13">
        <v>4879593224.8199997</v>
      </c>
    </row>
    <row r="50" spans="1:3" x14ac:dyDescent="0.3">
      <c r="A50" s="5" t="s">
        <v>28</v>
      </c>
      <c r="B50" s="13">
        <v>72662385.209999993</v>
      </c>
      <c r="C50" s="13">
        <v>105073748.04000001</v>
      </c>
    </row>
    <row r="51" spans="1:3" x14ac:dyDescent="0.3">
      <c r="A51" s="5" t="s">
        <v>29</v>
      </c>
      <c r="B51" s="13">
        <v>1024366237.1900001</v>
      </c>
      <c r="C51" s="13">
        <v>1382870571.1700001</v>
      </c>
    </row>
    <row r="52" spans="1:3" x14ac:dyDescent="0.3">
      <c r="A52" s="5" t="s">
        <v>30</v>
      </c>
      <c r="B52" s="13">
        <v>2970018.01</v>
      </c>
      <c r="C52" s="13">
        <v>2181943.88</v>
      </c>
    </row>
    <row r="53" spans="1:3" x14ac:dyDescent="0.3">
      <c r="A53" s="5" t="s">
        <v>31</v>
      </c>
      <c r="B53" s="13">
        <v>173180694.81999999</v>
      </c>
      <c r="C53" s="13">
        <v>408473034.95999998</v>
      </c>
    </row>
    <row r="54" spans="1:3" x14ac:dyDescent="0.3">
      <c r="A54" s="5" t="s">
        <v>32</v>
      </c>
      <c r="B54" s="13">
        <v>3990590.33</v>
      </c>
      <c r="C54" s="13">
        <v>2852695.93</v>
      </c>
    </row>
    <row r="55" spans="1:3" x14ac:dyDescent="0.3">
      <c r="A55" s="5" t="s">
        <v>33</v>
      </c>
      <c r="B55" s="13">
        <v>49894552.600000001</v>
      </c>
      <c r="C55" s="13">
        <v>134191698.65000001</v>
      </c>
    </row>
    <row r="56" spans="1:3" x14ac:dyDescent="0.3">
      <c r="A56" s="5" t="s">
        <v>34</v>
      </c>
      <c r="B56" s="13">
        <v>575722210.01999998</v>
      </c>
      <c r="C56" s="13">
        <v>937982948.41999996</v>
      </c>
    </row>
    <row r="57" spans="1:3" x14ac:dyDescent="0.3">
      <c r="A57" s="5" t="s">
        <v>35</v>
      </c>
      <c r="B57" s="13">
        <v>106708459.42</v>
      </c>
      <c r="C57" s="13">
        <v>121384641.43000001</v>
      </c>
    </row>
    <row r="58" spans="1:3" x14ac:dyDescent="0.3">
      <c r="A58" s="5" t="s">
        <v>36</v>
      </c>
      <c r="B58" s="13">
        <v>185543643.38999999</v>
      </c>
      <c r="C58" s="13">
        <v>422472319.56999999</v>
      </c>
    </row>
    <row r="59" spans="1:3" x14ac:dyDescent="0.3">
      <c r="A59" s="5" t="s">
        <v>37</v>
      </c>
      <c r="B59" s="13">
        <v>3110254.21</v>
      </c>
      <c r="C59" s="13">
        <v>2390359.7400000002</v>
      </c>
    </row>
    <row r="60" spans="1:3" x14ac:dyDescent="0.3">
      <c r="A60" s="5" t="s">
        <v>38</v>
      </c>
      <c r="B60" s="13">
        <v>170798820.84999999</v>
      </c>
      <c r="C60" s="13">
        <v>84430391.319999993</v>
      </c>
    </row>
    <row r="61" spans="1:3" x14ac:dyDescent="0.3">
      <c r="A61" s="5" t="s">
        <v>39</v>
      </c>
      <c r="B61" s="13">
        <v>52748706.289999999</v>
      </c>
      <c r="C61" s="13">
        <v>47155194.939999998</v>
      </c>
    </row>
    <row r="62" spans="1:3" x14ac:dyDescent="0.3">
      <c r="A62" s="5" t="s">
        <v>135</v>
      </c>
      <c r="B62" s="13">
        <v>1580575.87</v>
      </c>
      <c r="C62" s="13">
        <v>1144656.24</v>
      </c>
    </row>
    <row r="63" spans="1:3" x14ac:dyDescent="0.3">
      <c r="A63" s="5" t="s">
        <v>123</v>
      </c>
      <c r="B63" s="13">
        <v>185129.2</v>
      </c>
      <c r="C63" s="13">
        <v>420834</v>
      </c>
    </row>
    <row r="64" spans="1:3" x14ac:dyDescent="0.3">
      <c r="A64" s="5" t="s">
        <v>40</v>
      </c>
      <c r="B64" s="13">
        <v>1163897.68</v>
      </c>
      <c r="C64" s="13">
        <v>856095.9</v>
      </c>
    </row>
    <row r="65" spans="1:3" x14ac:dyDescent="0.3">
      <c r="A65" s="5" t="s">
        <v>156</v>
      </c>
      <c r="B65" s="13">
        <v>4639213.5</v>
      </c>
      <c r="C65" s="13">
        <v>3501239.6</v>
      </c>
    </row>
    <row r="66" spans="1:3" x14ac:dyDescent="0.3">
      <c r="A66" s="5" t="s">
        <v>41</v>
      </c>
      <c r="B66" s="13">
        <v>78298829.010000005</v>
      </c>
      <c r="C66" s="13">
        <v>56491060.009999998</v>
      </c>
    </row>
    <row r="67" spans="1:3" x14ac:dyDescent="0.3">
      <c r="A67" s="5" t="s">
        <v>42</v>
      </c>
      <c r="B67" s="13">
        <v>5309803.3</v>
      </c>
      <c r="C67" s="13">
        <v>1908139.17</v>
      </c>
    </row>
    <row r="68" spans="1:3" x14ac:dyDescent="0.3">
      <c r="A68" s="5" t="s">
        <v>43</v>
      </c>
      <c r="B68" s="13">
        <v>5734485.9100000001</v>
      </c>
      <c r="C68" s="13">
        <v>4447547.8099999996</v>
      </c>
    </row>
    <row r="69" spans="1:3" x14ac:dyDescent="0.3">
      <c r="A69" s="5" t="s">
        <v>44</v>
      </c>
      <c r="B69" s="13">
        <v>146232431.38</v>
      </c>
      <c r="C69" s="13">
        <v>182432703.75</v>
      </c>
    </row>
    <row r="70" spans="1:3" x14ac:dyDescent="0.3">
      <c r="A70" s="5" t="s">
        <v>45</v>
      </c>
      <c r="B70" s="13">
        <v>385703963.93000001</v>
      </c>
      <c r="C70" s="13">
        <v>594756745.54999995</v>
      </c>
    </row>
    <row r="71" spans="1:3" x14ac:dyDescent="0.3">
      <c r="A71" s="5" t="s">
        <v>124</v>
      </c>
      <c r="B71" s="13">
        <v>16677224.050000001</v>
      </c>
      <c r="C71" s="13">
        <v>49756523.729999997</v>
      </c>
    </row>
    <row r="72" spans="1:3" x14ac:dyDescent="0.3">
      <c r="A72" s="5" t="s">
        <v>46</v>
      </c>
      <c r="B72" s="13">
        <v>43313.65</v>
      </c>
      <c r="C72" s="13">
        <v>59648.78</v>
      </c>
    </row>
    <row r="73" spans="1:3" x14ac:dyDescent="0.3">
      <c r="A73" s="5" t="s">
        <v>47</v>
      </c>
      <c r="B73" s="13">
        <v>132830998.73</v>
      </c>
      <c r="C73" s="13">
        <v>245124161.46000001</v>
      </c>
    </row>
    <row r="74" spans="1:3" x14ac:dyDescent="0.3">
      <c r="A74" s="5" t="s">
        <v>48</v>
      </c>
      <c r="B74" s="13">
        <v>55966275.850000001</v>
      </c>
      <c r="C74" s="13">
        <v>86991978.170000002</v>
      </c>
    </row>
    <row r="75" spans="1:3" x14ac:dyDescent="0.3">
      <c r="A75" s="5" t="s">
        <v>151</v>
      </c>
      <c r="B75" s="13">
        <v>13306.16</v>
      </c>
      <c r="C75" s="13">
        <v>20524.62</v>
      </c>
    </row>
    <row r="76" spans="1:3" x14ac:dyDescent="0.3">
      <c r="A76" s="5" t="s">
        <v>136</v>
      </c>
      <c r="B76" s="13">
        <v>1282711.33</v>
      </c>
      <c r="C76" s="13">
        <v>221817.98</v>
      </c>
    </row>
    <row r="77" spans="1:3" x14ac:dyDescent="0.3">
      <c r="A77" s="5" t="s">
        <v>6</v>
      </c>
      <c r="B77" s="13"/>
      <c r="C77" s="13"/>
    </row>
    <row r="78" spans="1:3" x14ac:dyDescent="0.3">
      <c r="A78" s="5" t="s">
        <v>49</v>
      </c>
      <c r="B78" s="13">
        <v>7057336254.04</v>
      </c>
      <c r="C78" s="13">
        <v>13035178982.299999</v>
      </c>
    </row>
    <row r="79" spans="1:3" x14ac:dyDescent="0.3">
      <c r="A79" s="5" t="s">
        <v>50</v>
      </c>
      <c r="B79" s="13">
        <v>228600541.77000001</v>
      </c>
      <c r="C79" s="13">
        <v>627735067.45000005</v>
      </c>
    </row>
    <row r="80" spans="1:3" x14ac:dyDescent="0.3">
      <c r="A80" s="5" t="s">
        <v>137</v>
      </c>
      <c r="B80" s="13">
        <v>144638.56</v>
      </c>
      <c r="C80" s="13">
        <v>46553.05</v>
      </c>
    </row>
    <row r="81" spans="1:3" x14ac:dyDescent="0.3">
      <c r="A81" s="5" t="s">
        <v>146</v>
      </c>
      <c r="B81" s="13">
        <v>8174317.1500000004</v>
      </c>
      <c r="C81" s="13">
        <v>18859875</v>
      </c>
    </row>
    <row r="82" spans="1:3" x14ac:dyDescent="0.3">
      <c r="A82" s="5" t="s">
        <v>147</v>
      </c>
      <c r="B82" s="13">
        <v>54130.76</v>
      </c>
      <c r="C82" s="13">
        <v>98380</v>
      </c>
    </row>
    <row r="83" spans="1:3" x14ac:dyDescent="0.3">
      <c r="A83" s="5" t="s">
        <v>51</v>
      </c>
      <c r="B83" s="13">
        <v>263975509.63</v>
      </c>
      <c r="C83" s="13">
        <v>708637577.59000003</v>
      </c>
    </row>
    <row r="84" spans="1:3" x14ac:dyDescent="0.3">
      <c r="A84" s="5" t="s">
        <v>52</v>
      </c>
      <c r="B84" s="13">
        <v>1270529453.0999999</v>
      </c>
      <c r="C84" s="13">
        <v>1648605736.6500001</v>
      </c>
    </row>
    <row r="85" spans="1:3" x14ac:dyDescent="0.3">
      <c r="A85" s="5" t="s">
        <v>53</v>
      </c>
      <c r="B85" s="13">
        <v>174380652.47999999</v>
      </c>
      <c r="C85" s="13">
        <v>410903566.11000001</v>
      </c>
    </row>
    <row r="86" spans="1:3" x14ac:dyDescent="0.3">
      <c r="A86" s="5" t="s">
        <v>54</v>
      </c>
      <c r="B86" s="13">
        <v>41213941.390000001</v>
      </c>
      <c r="C86" s="13">
        <v>121999087.73</v>
      </c>
    </row>
    <row r="87" spans="1:3" x14ac:dyDescent="0.3">
      <c r="A87" s="5" t="s">
        <v>55</v>
      </c>
      <c r="B87" s="13">
        <v>1538320555.6900001</v>
      </c>
      <c r="C87" s="13">
        <v>1483134965.0799999</v>
      </c>
    </row>
    <row r="88" spans="1:3" x14ac:dyDescent="0.3">
      <c r="A88" s="5" t="s">
        <v>56</v>
      </c>
      <c r="B88" s="13">
        <v>703846017.36000001</v>
      </c>
      <c r="C88" s="13">
        <v>1658949351.96</v>
      </c>
    </row>
    <row r="89" spans="1:3" x14ac:dyDescent="0.3">
      <c r="A89" s="5" t="s">
        <v>138</v>
      </c>
      <c r="B89" s="13">
        <v>170041073.97999999</v>
      </c>
      <c r="C89" s="13">
        <v>311107806.25</v>
      </c>
    </row>
    <row r="90" spans="1:3" x14ac:dyDescent="0.3">
      <c r="A90" s="5" t="s">
        <v>113</v>
      </c>
      <c r="B90" s="13">
        <v>227645679.71000001</v>
      </c>
      <c r="C90" s="13">
        <v>324906040</v>
      </c>
    </row>
    <row r="91" spans="1:3" x14ac:dyDescent="0.3">
      <c r="A91" s="5" t="s">
        <v>57</v>
      </c>
      <c r="B91" s="13">
        <v>88499684.849999994</v>
      </c>
      <c r="C91" s="13">
        <v>126604561.69</v>
      </c>
    </row>
    <row r="92" spans="1:3" x14ac:dyDescent="0.3">
      <c r="A92" s="5" t="s">
        <v>58</v>
      </c>
      <c r="B92" s="13">
        <v>117512467.45999999</v>
      </c>
      <c r="C92" s="13">
        <v>331560672.41000003</v>
      </c>
    </row>
    <row r="93" spans="1:3" x14ac:dyDescent="0.3">
      <c r="A93" s="5" t="s">
        <v>59</v>
      </c>
      <c r="B93" s="13">
        <v>79796046.989999995</v>
      </c>
      <c r="C93" s="13">
        <v>211375686</v>
      </c>
    </row>
    <row r="94" spans="1:3" x14ac:dyDescent="0.3">
      <c r="A94" s="5" t="s">
        <v>125</v>
      </c>
      <c r="B94" s="13">
        <v>1553927.36</v>
      </c>
      <c r="C94" s="13">
        <v>2984246.8</v>
      </c>
    </row>
    <row r="95" spans="1:3" x14ac:dyDescent="0.3">
      <c r="A95" s="5" t="s">
        <v>60</v>
      </c>
      <c r="B95" s="13">
        <v>3051175.81</v>
      </c>
      <c r="C95" s="13">
        <v>14312590.560000001</v>
      </c>
    </row>
    <row r="96" spans="1:3" x14ac:dyDescent="0.3">
      <c r="A96" s="5" t="s">
        <v>61</v>
      </c>
      <c r="B96" s="13">
        <v>10154765.949999999</v>
      </c>
      <c r="C96" s="13">
        <v>21494073.59</v>
      </c>
    </row>
    <row r="97" spans="1:3" x14ac:dyDescent="0.3">
      <c r="A97" s="5" t="s">
        <v>62</v>
      </c>
      <c r="B97" s="13">
        <v>427710720.76999998</v>
      </c>
      <c r="C97" s="13">
        <v>1144561970.47</v>
      </c>
    </row>
    <row r="98" spans="1:3" x14ac:dyDescent="0.3">
      <c r="A98" s="5" t="s">
        <v>126</v>
      </c>
      <c r="B98" s="13">
        <v>26326096.440000001</v>
      </c>
      <c r="C98" s="13">
        <v>53977134.399999999</v>
      </c>
    </row>
    <row r="99" spans="1:3" x14ac:dyDescent="0.3">
      <c r="A99" s="5" t="s">
        <v>63</v>
      </c>
      <c r="B99" s="13">
        <v>832173.33</v>
      </c>
      <c r="C99" s="13">
        <v>1463650.58</v>
      </c>
    </row>
    <row r="100" spans="1:3" x14ac:dyDescent="0.3">
      <c r="A100" s="5" t="s">
        <v>64</v>
      </c>
      <c r="B100" s="13">
        <v>45250676</v>
      </c>
      <c r="C100" s="13">
        <v>117168301.69</v>
      </c>
    </row>
    <row r="101" spans="1:3" x14ac:dyDescent="0.3">
      <c r="A101" s="5" t="s">
        <v>65</v>
      </c>
      <c r="B101" s="13">
        <v>11467696.09</v>
      </c>
      <c r="C101" s="13">
        <v>16646070.1</v>
      </c>
    </row>
    <row r="102" spans="1:3" x14ac:dyDescent="0.3">
      <c r="A102" s="5" t="s">
        <v>66</v>
      </c>
      <c r="B102" s="13">
        <v>540596.18999999994</v>
      </c>
      <c r="C102" s="13">
        <v>432842.05</v>
      </c>
    </row>
    <row r="103" spans="1:3" x14ac:dyDescent="0.3">
      <c r="A103" s="5" t="s">
        <v>139</v>
      </c>
      <c r="B103" s="13">
        <v>400019.73</v>
      </c>
      <c r="C103" s="13">
        <v>1747909.68</v>
      </c>
    </row>
    <row r="104" spans="1:3" x14ac:dyDescent="0.3">
      <c r="A104" s="5" t="s">
        <v>67</v>
      </c>
      <c r="B104" s="13">
        <v>121731603.69</v>
      </c>
      <c r="C104" s="13">
        <v>176240340.66</v>
      </c>
    </row>
    <row r="105" spans="1:3" x14ac:dyDescent="0.3">
      <c r="A105" s="5" t="s">
        <v>68</v>
      </c>
      <c r="B105" s="13">
        <v>1070645128.67</v>
      </c>
      <c r="C105" s="13">
        <v>2797441077.7800002</v>
      </c>
    </row>
    <row r="106" spans="1:3" x14ac:dyDescent="0.3">
      <c r="A106" s="5" t="s">
        <v>69</v>
      </c>
      <c r="B106" s="13">
        <v>12660452.470000001</v>
      </c>
      <c r="C106" s="13">
        <v>5549482.9800000004</v>
      </c>
    </row>
    <row r="107" spans="1:3" x14ac:dyDescent="0.3">
      <c r="A107" s="5" t="s">
        <v>70</v>
      </c>
      <c r="B107" s="13">
        <v>344359737.75999999</v>
      </c>
      <c r="C107" s="13">
        <v>502528015.79000002</v>
      </c>
    </row>
    <row r="108" spans="1:3" x14ac:dyDescent="0.3">
      <c r="A108" s="5" t="s">
        <v>161</v>
      </c>
      <c r="B108" s="13">
        <v>872277.83</v>
      </c>
      <c r="C108" s="13">
        <v>3989841.68</v>
      </c>
    </row>
    <row r="109" spans="1:3" x14ac:dyDescent="0.3">
      <c r="A109" s="5" t="s">
        <v>71</v>
      </c>
      <c r="B109" s="13">
        <v>66773093.689999998</v>
      </c>
      <c r="C109" s="13">
        <v>190014522.16</v>
      </c>
    </row>
    <row r="110" spans="1:3" x14ac:dyDescent="0.3">
      <c r="A110" s="5" t="s">
        <v>154</v>
      </c>
      <c r="B110" s="13">
        <v>3259.62</v>
      </c>
      <c r="C110" s="13">
        <v>5986.53</v>
      </c>
    </row>
    <row r="111" spans="1:3" x14ac:dyDescent="0.3">
      <c r="A111" s="5" t="s">
        <v>127</v>
      </c>
      <c r="B111" s="13">
        <v>38354.99</v>
      </c>
      <c r="C111" s="13">
        <v>46271.9</v>
      </c>
    </row>
    <row r="112" spans="1:3" x14ac:dyDescent="0.3">
      <c r="A112" s="5" t="s">
        <v>149</v>
      </c>
      <c r="B112" s="13">
        <v>15652.31</v>
      </c>
      <c r="C112" s="13">
        <v>25694.82</v>
      </c>
    </row>
    <row r="113" spans="1:3" x14ac:dyDescent="0.3">
      <c r="A113" s="5" t="s">
        <v>128</v>
      </c>
      <c r="B113" s="13">
        <v>8847.51</v>
      </c>
      <c r="C113" s="13">
        <v>2416.2600000000002</v>
      </c>
    </row>
    <row r="114" spans="1:3" x14ac:dyDescent="0.3">
      <c r="A114" s="5" t="s">
        <v>150</v>
      </c>
      <c r="B114" s="13">
        <v>205286.95</v>
      </c>
      <c r="C114" s="13">
        <v>21614.85</v>
      </c>
    </row>
    <row r="115" spans="1:3" x14ac:dyDescent="0.3">
      <c r="A115" s="5" t="s">
        <v>6</v>
      </c>
      <c r="B115" s="13"/>
      <c r="C115" s="13"/>
    </row>
    <row r="116" spans="1:3" x14ac:dyDescent="0.3">
      <c r="A116" s="5" t="s">
        <v>72</v>
      </c>
      <c r="B116" s="13">
        <v>3537753311.02</v>
      </c>
      <c r="C116" s="13">
        <v>6219661176.3800001</v>
      </c>
    </row>
    <row r="117" spans="1:3" x14ac:dyDescent="0.3">
      <c r="A117" s="5" t="s">
        <v>129</v>
      </c>
      <c r="B117" s="13">
        <v>25894.17</v>
      </c>
      <c r="C117" s="13">
        <v>31062.67</v>
      </c>
    </row>
    <row r="118" spans="1:3" x14ac:dyDescent="0.3">
      <c r="A118" s="5" t="s">
        <v>73</v>
      </c>
      <c r="B118" s="13">
        <v>1405120.14</v>
      </c>
      <c r="C118" s="13">
        <v>58919.73</v>
      </c>
    </row>
    <row r="119" spans="1:3" x14ac:dyDescent="0.3">
      <c r="A119" s="5" t="s">
        <v>74</v>
      </c>
      <c r="B119" s="13">
        <v>21034958.09</v>
      </c>
      <c r="C119" s="13">
        <v>29718781.350000001</v>
      </c>
    </row>
    <row r="120" spans="1:3" x14ac:dyDescent="0.3">
      <c r="A120" s="5" t="s">
        <v>75</v>
      </c>
      <c r="B120" s="13">
        <v>1486916.28</v>
      </c>
      <c r="C120" s="13">
        <v>716081.52</v>
      </c>
    </row>
    <row r="121" spans="1:3" x14ac:dyDescent="0.3">
      <c r="A121" s="5" t="s">
        <v>76</v>
      </c>
      <c r="B121" s="13">
        <v>103834905.54000001</v>
      </c>
      <c r="C121" s="13">
        <v>245567049.59999999</v>
      </c>
    </row>
    <row r="122" spans="1:3" x14ac:dyDescent="0.3">
      <c r="A122" s="5" t="s">
        <v>77</v>
      </c>
      <c r="B122" s="13">
        <v>578635608.51999998</v>
      </c>
      <c r="C122" s="13">
        <v>1258591062.22</v>
      </c>
    </row>
    <row r="123" spans="1:3" x14ac:dyDescent="0.3">
      <c r="A123" s="5" t="s">
        <v>78</v>
      </c>
      <c r="B123" s="13">
        <v>15781.3</v>
      </c>
      <c r="C123" s="13">
        <v>15326.17</v>
      </c>
    </row>
    <row r="124" spans="1:3" x14ac:dyDescent="0.3">
      <c r="A124" s="5" t="s">
        <v>79</v>
      </c>
      <c r="B124" s="13">
        <v>146720637.13</v>
      </c>
      <c r="C124" s="13">
        <v>334636821.01999998</v>
      </c>
    </row>
    <row r="125" spans="1:3" x14ac:dyDescent="0.3">
      <c r="A125" s="5" t="s">
        <v>80</v>
      </c>
      <c r="B125" s="13">
        <v>82638819.069999993</v>
      </c>
      <c r="C125" s="13">
        <v>191333870.38999999</v>
      </c>
    </row>
    <row r="126" spans="1:3" x14ac:dyDescent="0.3">
      <c r="A126" s="5" t="s">
        <v>81</v>
      </c>
      <c r="B126" s="13">
        <v>84703.91</v>
      </c>
      <c r="C126" s="13">
        <v>70239.81</v>
      </c>
    </row>
    <row r="127" spans="1:3" x14ac:dyDescent="0.3">
      <c r="A127" s="5" t="s">
        <v>82</v>
      </c>
      <c r="B127" s="13">
        <v>89799679.609999999</v>
      </c>
      <c r="C127" s="13">
        <v>297679213.5</v>
      </c>
    </row>
    <row r="128" spans="1:3" x14ac:dyDescent="0.3">
      <c r="A128" s="5" t="s">
        <v>83</v>
      </c>
      <c r="B128" s="13">
        <v>272682412.26999998</v>
      </c>
      <c r="C128" s="13">
        <v>611431769.24000001</v>
      </c>
    </row>
    <row r="129" spans="1:3" x14ac:dyDescent="0.3">
      <c r="A129" s="5" t="s">
        <v>140</v>
      </c>
      <c r="B129" s="13">
        <v>1064.02</v>
      </c>
      <c r="C129" s="13">
        <v>711.42</v>
      </c>
    </row>
    <row r="130" spans="1:3" x14ac:dyDescent="0.3">
      <c r="A130" s="5" t="s">
        <v>84</v>
      </c>
      <c r="B130" s="13">
        <v>83848.429999999993</v>
      </c>
      <c r="C130" s="13">
        <v>53237.36</v>
      </c>
    </row>
    <row r="131" spans="1:3" x14ac:dyDescent="0.3">
      <c r="A131" s="5" t="s">
        <v>85</v>
      </c>
      <c r="B131" s="13">
        <v>1170416940.3399999</v>
      </c>
      <c r="C131" s="13">
        <v>1126178267.5799999</v>
      </c>
    </row>
    <row r="132" spans="1:3" x14ac:dyDescent="0.3">
      <c r="A132" s="5" t="s">
        <v>86</v>
      </c>
      <c r="B132" s="13">
        <v>316503489.17000002</v>
      </c>
      <c r="C132" s="13">
        <v>723080167.42999995</v>
      </c>
    </row>
    <row r="133" spans="1:3" x14ac:dyDescent="0.3">
      <c r="A133" s="5" t="s">
        <v>87</v>
      </c>
      <c r="B133" s="13">
        <v>26208752.859999999</v>
      </c>
      <c r="C133" s="13">
        <v>63735893.189999998</v>
      </c>
    </row>
    <row r="134" spans="1:3" x14ac:dyDescent="0.3">
      <c r="A134" s="5" t="s">
        <v>88</v>
      </c>
      <c r="B134" s="13">
        <v>209256314.87</v>
      </c>
      <c r="C134" s="13">
        <v>512398625.27999997</v>
      </c>
    </row>
    <row r="135" spans="1:3" x14ac:dyDescent="0.3">
      <c r="A135" s="5" t="s">
        <v>89</v>
      </c>
      <c r="B135" s="13">
        <v>29907747.289999999</v>
      </c>
      <c r="C135" s="13">
        <v>70282389.180000007</v>
      </c>
    </row>
    <row r="136" spans="1:3" x14ac:dyDescent="0.3">
      <c r="A136" s="5" t="s">
        <v>90</v>
      </c>
      <c r="B136" s="13">
        <v>21684.41</v>
      </c>
      <c r="C136" s="13">
        <v>18972.3</v>
      </c>
    </row>
    <row r="137" spans="1:3" x14ac:dyDescent="0.3">
      <c r="A137" s="5" t="s">
        <v>130</v>
      </c>
      <c r="B137" s="13">
        <v>1920545.59</v>
      </c>
      <c r="C137" s="13">
        <v>332700.49</v>
      </c>
    </row>
    <row r="138" spans="1:3" x14ac:dyDescent="0.3">
      <c r="A138" s="5" t="s">
        <v>91</v>
      </c>
      <c r="B138" s="13">
        <v>20723501.59</v>
      </c>
      <c r="C138" s="13">
        <v>47240095.509999998</v>
      </c>
    </row>
    <row r="139" spans="1:3" x14ac:dyDescent="0.3">
      <c r="A139" s="5" t="s">
        <v>92</v>
      </c>
      <c r="B139" s="13">
        <v>161133796.33000001</v>
      </c>
      <c r="C139" s="13">
        <v>335529083.85000002</v>
      </c>
    </row>
    <row r="140" spans="1:3" x14ac:dyDescent="0.3">
      <c r="A140" s="5" t="s">
        <v>93</v>
      </c>
      <c r="B140" s="13">
        <v>85901666.819999993</v>
      </c>
      <c r="C140" s="13">
        <v>13527499.4</v>
      </c>
    </row>
    <row r="141" spans="1:3" x14ac:dyDescent="0.3">
      <c r="A141" s="5" t="s">
        <v>148</v>
      </c>
      <c r="B141" s="13">
        <v>50513854.810000002</v>
      </c>
      <c r="C141" s="13">
        <v>123548870.69</v>
      </c>
    </row>
    <row r="142" spans="1:3" x14ac:dyDescent="0.3">
      <c r="A142" s="5" t="s">
        <v>141</v>
      </c>
      <c r="B142" s="13" t="s">
        <v>114</v>
      </c>
      <c r="C142" s="13" t="s">
        <v>114</v>
      </c>
    </row>
    <row r="143" spans="1:3" x14ac:dyDescent="0.3">
      <c r="A143" s="5" t="s">
        <v>131</v>
      </c>
      <c r="B143" s="13">
        <v>32262830.66</v>
      </c>
      <c r="C143" s="13">
        <v>82081969.359999999</v>
      </c>
    </row>
    <row r="144" spans="1:3" x14ac:dyDescent="0.3">
      <c r="A144" s="5" t="s">
        <v>94</v>
      </c>
      <c r="B144" s="13">
        <v>9580648.0299999993</v>
      </c>
      <c r="C144" s="13">
        <v>22554974.25</v>
      </c>
    </row>
    <row r="145" spans="1:3" x14ac:dyDescent="0.3">
      <c r="A145" s="5" t="s">
        <v>132</v>
      </c>
      <c r="B145" s="13">
        <v>14366.31</v>
      </c>
      <c r="C145" s="13">
        <v>10355.040000000001</v>
      </c>
    </row>
    <row r="146" spans="1:3" x14ac:dyDescent="0.3">
      <c r="A146" s="5" t="s">
        <v>95</v>
      </c>
      <c r="B146" s="13">
        <v>81179942.329999998</v>
      </c>
      <c r="C146" s="13">
        <v>46172046.130000003</v>
      </c>
    </row>
    <row r="147" spans="1:3" x14ac:dyDescent="0.3">
      <c r="A147" s="5" t="s">
        <v>96</v>
      </c>
      <c r="B147" s="13">
        <v>322838.96999999997</v>
      </c>
      <c r="C147" s="13">
        <v>103162.85</v>
      </c>
    </row>
    <row r="148" spans="1:3" x14ac:dyDescent="0.3">
      <c r="A148" s="5" t="s">
        <v>133</v>
      </c>
      <c r="B148" s="13">
        <v>12008.26</v>
      </c>
      <c r="C148" s="13">
        <v>18818.099999999999</v>
      </c>
    </row>
    <row r="149" spans="1:3" x14ac:dyDescent="0.3">
      <c r="A149" s="5" t="s">
        <v>97</v>
      </c>
      <c r="B149" s="13">
        <v>97006.55</v>
      </c>
      <c r="C149" s="13">
        <v>100848.38</v>
      </c>
    </row>
    <row r="150" spans="1:3" x14ac:dyDescent="0.3">
      <c r="A150" s="5" t="s">
        <v>142</v>
      </c>
      <c r="B150" s="13">
        <v>7785291.3399999999</v>
      </c>
      <c r="C150" s="13">
        <v>829309.03</v>
      </c>
    </row>
    <row r="151" spans="1:3" x14ac:dyDescent="0.3">
      <c r="A151" s="5" t="s">
        <v>143</v>
      </c>
      <c r="B151" s="13">
        <v>33347431.27</v>
      </c>
      <c r="C151" s="13">
        <v>81565013.469999999</v>
      </c>
    </row>
    <row r="152" spans="1:3" x14ac:dyDescent="0.3">
      <c r="A152" s="5" t="s">
        <v>98</v>
      </c>
      <c r="B152" s="13">
        <v>80105.289999999994</v>
      </c>
      <c r="C152" s="13">
        <v>100860.5</v>
      </c>
    </row>
    <row r="153" spans="1:3" x14ac:dyDescent="0.3">
      <c r="A153" s="5" t="s">
        <v>99</v>
      </c>
      <c r="B153" s="13">
        <v>2063087.23</v>
      </c>
      <c r="C153" s="13">
        <v>308173.90000000002</v>
      </c>
    </row>
    <row r="154" spans="1:3" x14ac:dyDescent="0.3">
      <c r="A154" s="5" t="s">
        <v>111</v>
      </c>
      <c r="B154" s="13">
        <v>14193.12</v>
      </c>
      <c r="C154" s="13">
        <v>13823.5</v>
      </c>
    </row>
    <row r="155" spans="1:3" x14ac:dyDescent="0.3">
      <c r="A155" s="5" t="s">
        <v>100</v>
      </c>
      <c r="B155" s="13">
        <v>34919.1</v>
      </c>
      <c r="C155" s="13">
        <v>25110.97</v>
      </c>
    </row>
    <row r="156" spans="1:3" x14ac:dyDescent="0.3">
      <c r="A156" s="5" t="s">
        <v>6</v>
      </c>
      <c r="B156" s="13"/>
      <c r="C156" s="13"/>
    </row>
    <row r="157" spans="1:3" x14ac:dyDescent="0.3">
      <c r="A157" s="5" t="s">
        <v>101</v>
      </c>
      <c r="B157" s="13">
        <v>60517665.409999996</v>
      </c>
      <c r="C157" s="13">
        <v>118451029.65000001</v>
      </c>
    </row>
    <row r="158" spans="1:3" x14ac:dyDescent="0.3">
      <c r="A158" s="5" t="s">
        <v>102</v>
      </c>
      <c r="B158" s="13">
        <v>46668760.869999997</v>
      </c>
      <c r="C158" s="13">
        <v>82242998.280000001</v>
      </c>
    </row>
    <row r="159" spans="1:3" x14ac:dyDescent="0.3">
      <c r="A159" s="5" t="s">
        <v>103</v>
      </c>
      <c r="B159" s="13">
        <v>13848904.539999999</v>
      </c>
      <c r="C159" s="13">
        <v>36208031.369999997</v>
      </c>
    </row>
    <row r="160" spans="1:3" x14ac:dyDescent="0.3">
      <c r="A160" s="5" t="s">
        <v>6</v>
      </c>
      <c r="B160" s="13"/>
      <c r="C160" s="13"/>
    </row>
    <row r="161" spans="1:3" x14ac:dyDescent="0.3">
      <c r="A161" s="5" t="s">
        <v>104</v>
      </c>
      <c r="B161" s="13">
        <v>92791853.400000006</v>
      </c>
      <c r="C161" s="13">
        <v>178232595.90000001</v>
      </c>
    </row>
    <row r="162" spans="1:3" x14ac:dyDescent="0.3">
      <c r="A162" s="5" t="s">
        <v>105</v>
      </c>
      <c r="B162" s="13">
        <v>13542227.57</v>
      </c>
      <c r="C162" s="13">
        <v>19135952.18</v>
      </c>
    </row>
    <row r="163" spans="1:3" x14ac:dyDescent="0.3">
      <c r="A163" s="5" t="s">
        <v>106</v>
      </c>
      <c r="B163" s="13">
        <v>79249625.829999998</v>
      </c>
      <c r="C163" s="13">
        <v>159096643.72</v>
      </c>
    </row>
    <row r="164" spans="1:3" ht="24" customHeight="1" x14ac:dyDescent="0.3">
      <c r="A164" s="17" t="s">
        <v>107</v>
      </c>
      <c r="B164" s="17"/>
      <c r="C164" s="17"/>
    </row>
    <row r="165" spans="1:3" x14ac:dyDescent="0.3">
      <c r="A165" s="10" t="s">
        <v>108</v>
      </c>
      <c r="B165" s="11"/>
      <c r="C165" s="11"/>
    </row>
    <row r="166" spans="1:3" x14ac:dyDescent="0.3">
      <c r="A166" s="12" t="s">
        <v>112</v>
      </c>
      <c r="B166" s="11"/>
      <c r="C166" s="11"/>
    </row>
    <row r="167" spans="1:3" x14ac:dyDescent="0.3">
      <c r="A167" s="10" t="s">
        <v>109</v>
      </c>
      <c r="B167" s="11"/>
      <c r="C167" s="11"/>
    </row>
  </sheetData>
  <mergeCells count="3">
    <mergeCell ref="A1:C2"/>
    <mergeCell ref="B4:C4"/>
    <mergeCell ref="A164:C16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C7913-A5B6-4CE0-B433-02DE6967163C}">
  <dimension ref="A1:C168"/>
  <sheetViews>
    <sheetView workbookViewId="0">
      <selection activeCell="A3" sqref="A3"/>
    </sheetView>
  </sheetViews>
  <sheetFormatPr baseColWidth="10" defaultColWidth="11.44140625" defaultRowHeight="14.4" x14ac:dyDescent="0.3"/>
  <cols>
    <col min="1" max="1" width="45.88671875" style="1" customWidth="1"/>
    <col min="2" max="2" width="18.33203125" style="1" bestFit="1" customWidth="1"/>
    <col min="3" max="3" width="18.44140625" style="1" bestFit="1" customWidth="1"/>
    <col min="4" max="16384" width="11.44140625" style="1"/>
  </cols>
  <sheetData>
    <row r="1" spans="1:3" x14ac:dyDescent="0.3">
      <c r="A1" s="14" t="s">
        <v>186</v>
      </c>
      <c r="B1" s="14"/>
      <c r="C1" s="14"/>
    </row>
    <row r="2" spans="1:3" x14ac:dyDescent="0.3">
      <c r="A2" s="14"/>
      <c r="B2" s="14"/>
      <c r="C2" s="14"/>
    </row>
    <row r="3" spans="1:3" s="2" customFormat="1" ht="13.2" x14ac:dyDescent="0.25"/>
    <row r="4" spans="1:3" s="3" customFormat="1" ht="13.2" x14ac:dyDescent="0.25">
      <c r="A4" s="6"/>
      <c r="B4" s="15" t="s">
        <v>175</v>
      </c>
      <c r="C4" s="16"/>
    </row>
    <row r="5" spans="1:3" s="3" customFormat="1" ht="13.2" x14ac:dyDescent="0.25">
      <c r="A5" s="4" t="s">
        <v>2</v>
      </c>
      <c r="B5" s="7" t="s">
        <v>4</v>
      </c>
      <c r="C5" s="7" t="s">
        <v>3</v>
      </c>
    </row>
    <row r="6" spans="1:3" s="3" customFormat="1" ht="13.2" x14ac:dyDescent="0.25">
      <c r="A6" s="8"/>
      <c r="B6" s="9" t="s">
        <v>0</v>
      </c>
      <c r="C6" s="9" t="s">
        <v>1</v>
      </c>
    </row>
    <row r="8" spans="1:3" x14ac:dyDescent="0.3">
      <c r="A8" s="5" t="s">
        <v>5</v>
      </c>
      <c r="B8" s="13">
        <v>16751805970.16</v>
      </c>
      <c r="C8" s="13">
        <v>29695883189.970001</v>
      </c>
    </row>
    <row r="9" spans="1:3" x14ac:dyDescent="0.3">
      <c r="A9" s="5" t="s">
        <v>6</v>
      </c>
      <c r="B9" s="13"/>
      <c r="C9" s="13"/>
    </row>
    <row r="10" spans="1:3" x14ac:dyDescent="0.3">
      <c r="A10" s="5" t="s">
        <v>7</v>
      </c>
      <c r="B10" s="13">
        <v>1591939989.0699999</v>
      </c>
      <c r="C10" s="13">
        <v>3405064717.27</v>
      </c>
    </row>
    <row r="11" spans="1:3" x14ac:dyDescent="0.3">
      <c r="A11" s="5" t="s">
        <v>155</v>
      </c>
      <c r="B11" s="13">
        <v>102223.91</v>
      </c>
      <c r="C11" s="13">
        <v>349774.7</v>
      </c>
    </row>
    <row r="12" spans="1:3" x14ac:dyDescent="0.3">
      <c r="A12" s="5" t="s">
        <v>8</v>
      </c>
      <c r="B12" s="13">
        <v>429026288.43000001</v>
      </c>
      <c r="C12" s="13">
        <v>825938207.63</v>
      </c>
    </row>
    <row r="13" spans="1:3" x14ac:dyDescent="0.3">
      <c r="A13" s="5" t="s">
        <v>9</v>
      </c>
      <c r="B13" s="13">
        <v>5662880.4400000004</v>
      </c>
      <c r="C13" s="13">
        <v>14110281.859999999</v>
      </c>
    </row>
    <row r="14" spans="1:3" x14ac:dyDescent="0.3">
      <c r="A14" s="5" t="s">
        <v>110</v>
      </c>
      <c r="B14" s="13">
        <v>4028934.64</v>
      </c>
      <c r="C14" s="13">
        <v>11519368.51</v>
      </c>
    </row>
    <row r="15" spans="1:3" x14ac:dyDescent="0.3">
      <c r="A15" s="5" t="s">
        <v>115</v>
      </c>
      <c r="B15" s="13" t="s">
        <v>114</v>
      </c>
      <c r="C15" s="13" t="s">
        <v>114</v>
      </c>
    </row>
    <row r="16" spans="1:3" x14ac:dyDescent="0.3">
      <c r="A16" s="5" t="s">
        <v>10</v>
      </c>
      <c r="B16" s="13">
        <v>38382285.039999999</v>
      </c>
      <c r="C16" s="13">
        <v>104150328.09</v>
      </c>
    </row>
    <row r="17" spans="1:3" x14ac:dyDescent="0.3">
      <c r="A17" s="5" t="s">
        <v>11</v>
      </c>
      <c r="B17" s="13">
        <v>156284.92000000001</v>
      </c>
      <c r="C17" s="13">
        <v>259587.35</v>
      </c>
    </row>
    <row r="18" spans="1:3" x14ac:dyDescent="0.3">
      <c r="A18" s="5" t="s">
        <v>12</v>
      </c>
      <c r="B18" s="13">
        <v>407421267.04000002</v>
      </c>
      <c r="C18" s="13">
        <v>845311011.39999998</v>
      </c>
    </row>
    <row r="19" spans="1:3" x14ac:dyDescent="0.3">
      <c r="A19" s="5" t="s">
        <v>144</v>
      </c>
      <c r="B19" s="13">
        <v>31032.53</v>
      </c>
      <c r="C19" s="13">
        <v>51811.54</v>
      </c>
    </row>
    <row r="20" spans="1:3" x14ac:dyDescent="0.3">
      <c r="A20" s="5" t="s">
        <v>13</v>
      </c>
      <c r="B20" s="13">
        <v>1960969.48</v>
      </c>
      <c r="C20" s="13">
        <v>8001304.04</v>
      </c>
    </row>
    <row r="21" spans="1:3" x14ac:dyDescent="0.3">
      <c r="A21" s="5" t="s">
        <v>14</v>
      </c>
      <c r="B21" s="13">
        <v>25655700.559999999</v>
      </c>
      <c r="C21" s="13">
        <v>67439076.260000005</v>
      </c>
    </row>
    <row r="22" spans="1:3" x14ac:dyDescent="0.3">
      <c r="A22" s="5" t="s">
        <v>116</v>
      </c>
      <c r="B22" s="13">
        <v>2580918.91</v>
      </c>
      <c r="C22" s="13">
        <v>11483672.880000001</v>
      </c>
    </row>
    <row r="23" spans="1:3" x14ac:dyDescent="0.3">
      <c r="A23" s="5" t="s">
        <v>157</v>
      </c>
      <c r="B23" s="13" t="s">
        <v>114</v>
      </c>
      <c r="C23" s="13" t="s">
        <v>114</v>
      </c>
    </row>
    <row r="24" spans="1:3" x14ac:dyDescent="0.3">
      <c r="A24" s="5" t="s">
        <v>15</v>
      </c>
      <c r="B24" s="13">
        <v>12152532.460000001</v>
      </c>
      <c r="C24" s="13">
        <v>47813499.039999999</v>
      </c>
    </row>
    <row r="25" spans="1:3" x14ac:dyDescent="0.3">
      <c r="A25" s="5" t="s">
        <v>117</v>
      </c>
      <c r="B25" s="13">
        <v>580916.37</v>
      </c>
      <c r="C25" s="13">
        <v>2068570.74</v>
      </c>
    </row>
    <row r="26" spans="1:3" x14ac:dyDescent="0.3">
      <c r="A26" s="5" t="s">
        <v>16</v>
      </c>
      <c r="B26" s="13">
        <v>905275.56</v>
      </c>
      <c r="C26" s="13">
        <v>3069445.28</v>
      </c>
    </row>
    <row r="27" spans="1:3" x14ac:dyDescent="0.3">
      <c r="A27" s="5" t="s">
        <v>158</v>
      </c>
      <c r="B27" s="13" t="s">
        <v>114</v>
      </c>
      <c r="C27" s="13" t="s">
        <v>114</v>
      </c>
    </row>
    <row r="28" spans="1:3" x14ac:dyDescent="0.3">
      <c r="A28" s="5" t="s">
        <v>145</v>
      </c>
      <c r="B28" s="13" t="s">
        <v>114</v>
      </c>
      <c r="C28" s="13" t="s">
        <v>114</v>
      </c>
    </row>
    <row r="29" spans="1:3" x14ac:dyDescent="0.3">
      <c r="A29" s="5" t="s">
        <v>17</v>
      </c>
      <c r="B29" s="13">
        <v>1188991.06</v>
      </c>
      <c r="C29" s="13">
        <v>5047565.8600000003</v>
      </c>
    </row>
    <row r="30" spans="1:3" x14ac:dyDescent="0.3">
      <c r="A30" s="5" t="s">
        <v>18</v>
      </c>
      <c r="B30" s="13">
        <v>162531048.16</v>
      </c>
      <c r="C30" s="13">
        <v>443714354.69</v>
      </c>
    </row>
    <row r="31" spans="1:3" x14ac:dyDescent="0.3">
      <c r="A31" s="5" t="s">
        <v>19</v>
      </c>
      <c r="B31" s="13">
        <v>20893483.140000001</v>
      </c>
      <c r="C31" s="13">
        <v>42196158.32</v>
      </c>
    </row>
    <row r="32" spans="1:3" x14ac:dyDescent="0.3">
      <c r="A32" s="5" t="s">
        <v>118</v>
      </c>
      <c r="B32" s="13">
        <v>5002678.75</v>
      </c>
      <c r="C32" s="13">
        <v>20491989.100000001</v>
      </c>
    </row>
    <row r="33" spans="1:3" x14ac:dyDescent="0.3">
      <c r="A33" s="5" t="s">
        <v>134</v>
      </c>
      <c r="B33" s="13">
        <v>39171.97</v>
      </c>
      <c r="C33" s="13">
        <v>66912.45</v>
      </c>
    </row>
    <row r="34" spans="1:3" x14ac:dyDescent="0.3">
      <c r="A34" s="5" t="s">
        <v>20</v>
      </c>
      <c r="B34" s="13">
        <v>39483880.990000002</v>
      </c>
      <c r="C34" s="13">
        <v>77558780.390000001</v>
      </c>
    </row>
    <row r="35" spans="1:3" x14ac:dyDescent="0.3">
      <c r="A35" s="5" t="s">
        <v>159</v>
      </c>
      <c r="B35" s="13">
        <v>1011950.5</v>
      </c>
      <c r="C35" s="13">
        <v>4219600</v>
      </c>
    </row>
    <row r="36" spans="1:3" x14ac:dyDescent="0.3">
      <c r="A36" s="5" t="s">
        <v>21</v>
      </c>
      <c r="B36" s="13">
        <v>31227336.809999999</v>
      </c>
      <c r="C36" s="13">
        <v>98579443.409999996</v>
      </c>
    </row>
    <row r="37" spans="1:3" x14ac:dyDescent="0.3">
      <c r="A37" s="5" t="s">
        <v>119</v>
      </c>
      <c r="B37" s="13">
        <v>58767.42</v>
      </c>
      <c r="C37" s="13">
        <v>100974.83</v>
      </c>
    </row>
    <row r="38" spans="1:3" x14ac:dyDescent="0.3">
      <c r="A38" s="5" t="s">
        <v>22</v>
      </c>
      <c r="B38" s="13">
        <v>3997906.67</v>
      </c>
      <c r="C38" s="13">
        <v>16990744.399999999</v>
      </c>
    </row>
    <row r="39" spans="1:3" x14ac:dyDescent="0.3">
      <c r="A39" s="5" t="s">
        <v>152</v>
      </c>
      <c r="B39" s="13">
        <v>154882.74</v>
      </c>
      <c r="C39" s="13">
        <v>684744.63</v>
      </c>
    </row>
    <row r="40" spans="1:3" x14ac:dyDescent="0.3">
      <c r="A40" s="5" t="s">
        <v>120</v>
      </c>
      <c r="B40" s="13">
        <v>48585420.079999998</v>
      </c>
      <c r="C40" s="13">
        <v>112545713.70999999</v>
      </c>
    </row>
    <row r="41" spans="1:3" x14ac:dyDescent="0.3">
      <c r="A41" s="5" t="s">
        <v>23</v>
      </c>
      <c r="B41" s="13">
        <v>6806001.8899999997</v>
      </c>
      <c r="C41" s="13">
        <v>27866432.050000001</v>
      </c>
    </row>
    <row r="42" spans="1:3" x14ac:dyDescent="0.3">
      <c r="A42" s="5" t="s">
        <v>24</v>
      </c>
      <c r="B42" s="13">
        <v>9154525.7200000007</v>
      </c>
      <c r="C42" s="13">
        <v>30929390.899999999</v>
      </c>
    </row>
    <row r="43" spans="1:3" x14ac:dyDescent="0.3">
      <c r="A43" s="5" t="s">
        <v>153</v>
      </c>
      <c r="B43" s="13">
        <v>671913.37</v>
      </c>
      <c r="C43" s="13">
        <v>3666824.86</v>
      </c>
    </row>
    <row r="44" spans="1:3" x14ac:dyDescent="0.3">
      <c r="A44" s="5" t="s">
        <v>25</v>
      </c>
      <c r="B44" s="13">
        <v>101992031.45999999</v>
      </c>
      <c r="C44" s="13">
        <v>94071389.700000003</v>
      </c>
    </row>
    <row r="45" spans="1:3" x14ac:dyDescent="0.3">
      <c r="A45" s="5" t="s">
        <v>121</v>
      </c>
      <c r="B45" s="13">
        <v>136227.45000000001</v>
      </c>
      <c r="C45" s="13">
        <v>234223</v>
      </c>
    </row>
    <row r="46" spans="1:3" x14ac:dyDescent="0.3">
      <c r="A46" s="5" t="s">
        <v>26</v>
      </c>
      <c r="B46" s="13">
        <v>229170274.40000001</v>
      </c>
      <c r="C46" s="13">
        <v>484412555.39999998</v>
      </c>
    </row>
    <row r="47" spans="1:3" x14ac:dyDescent="0.3">
      <c r="A47" s="5" t="s">
        <v>122</v>
      </c>
      <c r="B47" s="13" t="s">
        <v>114</v>
      </c>
      <c r="C47" s="13" t="s">
        <v>114</v>
      </c>
    </row>
    <row r="48" spans="1:3" x14ac:dyDescent="0.3">
      <c r="A48" s="5" t="s">
        <v>160</v>
      </c>
      <c r="B48" s="13">
        <v>1185986.2</v>
      </c>
      <c r="C48" s="13">
        <v>120980.25</v>
      </c>
    </row>
    <row r="49" spans="1:3" x14ac:dyDescent="0.3">
      <c r="A49" s="5" t="s">
        <v>6</v>
      </c>
      <c r="B49" s="13"/>
      <c r="C49" s="13"/>
    </row>
    <row r="50" spans="1:3" x14ac:dyDescent="0.3">
      <c r="A50" s="5" t="s">
        <v>27</v>
      </c>
      <c r="B50" s="13">
        <v>3598655563</v>
      </c>
      <c r="C50" s="13">
        <v>5336656921.1199999</v>
      </c>
    </row>
    <row r="51" spans="1:3" x14ac:dyDescent="0.3">
      <c r="A51" s="5" t="s">
        <v>28</v>
      </c>
      <c r="B51" s="13">
        <v>77865357.5</v>
      </c>
      <c r="C51" s="13">
        <v>111860089.42</v>
      </c>
    </row>
    <row r="52" spans="1:3" x14ac:dyDescent="0.3">
      <c r="A52" s="5" t="s">
        <v>29</v>
      </c>
      <c r="B52" s="13">
        <v>1136538929.5599999</v>
      </c>
      <c r="C52" s="13">
        <v>1495885086.97</v>
      </c>
    </row>
    <row r="53" spans="1:3" x14ac:dyDescent="0.3">
      <c r="A53" s="5" t="s">
        <v>30</v>
      </c>
      <c r="B53" s="13">
        <v>3112424.66</v>
      </c>
      <c r="C53" s="13">
        <v>2255605.2799999998</v>
      </c>
    </row>
    <row r="54" spans="1:3" x14ac:dyDescent="0.3">
      <c r="A54" s="5" t="s">
        <v>31</v>
      </c>
      <c r="B54" s="13">
        <v>187406811.22</v>
      </c>
      <c r="C54" s="13">
        <v>418892311.10000002</v>
      </c>
    </row>
    <row r="55" spans="1:3" x14ac:dyDescent="0.3">
      <c r="A55" s="5" t="s">
        <v>32</v>
      </c>
      <c r="B55" s="13">
        <v>4029472.48</v>
      </c>
      <c r="C55" s="13">
        <v>2856803.87</v>
      </c>
    </row>
    <row r="56" spans="1:3" x14ac:dyDescent="0.3">
      <c r="A56" s="5" t="s">
        <v>33</v>
      </c>
      <c r="B56" s="13">
        <v>57964006.020000003</v>
      </c>
      <c r="C56" s="13">
        <v>155193915.36000001</v>
      </c>
    </row>
    <row r="57" spans="1:3" x14ac:dyDescent="0.3">
      <c r="A57" s="5" t="s">
        <v>34</v>
      </c>
      <c r="B57" s="13">
        <v>646691129.07000005</v>
      </c>
      <c r="C57" s="13">
        <v>1041172022.12</v>
      </c>
    </row>
    <row r="58" spans="1:3" x14ac:dyDescent="0.3">
      <c r="A58" s="5" t="s">
        <v>35</v>
      </c>
      <c r="B58" s="13">
        <v>118694620.33</v>
      </c>
      <c r="C58" s="13">
        <v>130642863.14</v>
      </c>
    </row>
    <row r="59" spans="1:3" x14ac:dyDescent="0.3">
      <c r="A59" s="5" t="s">
        <v>36</v>
      </c>
      <c r="B59" s="13">
        <v>206793381.21000001</v>
      </c>
      <c r="C59" s="13">
        <v>476321483.10000002</v>
      </c>
    </row>
    <row r="60" spans="1:3" x14ac:dyDescent="0.3">
      <c r="A60" s="5" t="s">
        <v>37</v>
      </c>
      <c r="B60" s="13">
        <v>3204561.88</v>
      </c>
      <c r="C60" s="13">
        <v>2526005.6800000002</v>
      </c>
    </row>
    <row r="61" spans="1:3" x14ac:dyDescent="0.3">
      <c r="A61" s="5" t="s">
        <v>38</v>
      </c>
      <c r="B61" s="13">
        <v>187331662.13999999</v>
      </c>
      <c r="C61" s="13">
        <v>95657904.200000003</v>
      </c>
    </row>
    <row r="62" spans="1:3" x14ac:dyDescent="0.3">
      <c r="A62" s="5" t="s">
        <v>39</v>
      </c>
      <c r="B62" s="13">
        <v>55452352.409999996</v>
      </c>
      <c r="C62" s="13">
        <v>49182677.469999999</v>
      </c>
    </row>
    <row r="63" spans="1:3" x14ac:dyDescent="0.3">
      <c r="A63" s="5" t="s">
        <v>135</v>
      </c>
      <c r="B63" s="13">
        <v>1580575.87</v>
      </c>
      <c r="C63" s="13">
        <v>1144656.24</v>
      </c>
    </row>
    <row r="64" spans="1:3" x14ac:dyDescent="0.3">
      <c r="A64" s="5" t="s">
        <v>123</v>
      </c>
      <c r="B64" s="13">
        <v>185129.2</v>
      </c>
      <c r="C64" s="13">
        <v>420834</v>
      </c>
    </row>
    <row r="65" spans="1:3" x14ac:dyDescent="0.3">
      <c r="A65" s="5" t="s">
        <v>40</v>
      </c>
      <c r="B65" s="13">
        <v>1391328.81</v>
      </c>
      <c r="C65" s="13">
        <v>907668.33</v>
      </c>
    </row>
    <row r="66" spans="1:3" x14ac:dyDescent="0.3">
      <c r="A66" s="5" t="s">
        <v>156</v>
      </c>
      <c r="B66" s="13">
        <v>4639213.5</v>
      </c>
      <c r="C66" s="13">
        <v>3501239.6</v>
      </c>
    </row>
    <row r="67" spans="1:3" x14ac:dyDescent="0.3">
      <c r="A67" s="5" t="s">
        <v>41</v>
      </c>
      <c r="B67" s="13">
        <v>84939149.670000002</v>
      </c>
      <c r="C67" s="13">
        <v>59822211.149999999</v>
      </c>
    </row>
    <row r="68" spans="1:3" x14ac:dyDescent="0.3">
      <c r="A68" s="5" t="s">
        <v>42</v>
      </c>
      <c r="B68" s="13">
        <v>5512987.8300000001</v>
      </c>
      <c r="C68" s="13">
        <v>1914635.04</v>
      </c>
    </row>
    <row r="69" spans="1:3" x14ac:dyDescent="0.3">
      <c r="A69" s="5" t="s">
        <v>43</v>
      </c>
      <c r="B69" s="13">
        <v>6172893.7400000002</v>
      </c>
      <c r="C69" s="13">
        <v>4664943.76</v>
      </c>
    </row>
    <row r="70" spans="1:3" x14ac:dyDescent="0.3">
      <c r="A70" s="5" t="s">
        <v>44</v>
      </c>
      <c r="B70" s="13">
        <v>166233985.24000001</v>
      </c>
      <c r="C70" s="13">
        <v>224235170.75</v>
      </c>
    </row>
    <row r="71" spans="1:3" x14ac:dyDescent="0.3">
      <c r="A71" s="5" t="s">
        <v>45</v>
      </c>
      <c r="B71" s="13">
        <v>410573339.76999998</v>
      </c>
      <c r="C71" s="13">
        <v>644632681.08000004</v>
      </c>
    </row>
    <row r="72" spans="1:3" x14ac:dyDescent="0.3">
      <c r="A72" s="5" t="s">
        <v>124</v>
      </c>
      <c r="B72" s="13">
        <v>16677224.050000001</v>
      </c>
      <c r="C72" s="13">
        <v>49756523.729999997</v>
      </c>
    </row>
    <row r="73" spans="1:3" x14ac:dyDescent="0.3">
      <c r="A73" s="5" t="s">
        <v>46</v>
      </c>
      <c r="B73" s="13">
        <v>1485286.41</v>
      </c>
      <c r="C73" s="13">
        <v>1189784.44</v>
      </c>
    </row>
    <row r="74" spans="1:3" x14ac:dyDescent="0.3">
      <c r="A74" s="5" t="s">
        <v>47</v>
      </c>
      <c r="B74" s="13">
        <v>147923338.00999999</v>
      </c>
      <c r="C74" s="13">
        <v>268428769.91999999</v>
      </c>
    </row>
    <row r="75" spans="1:3" x14ac:dyDescent="0.3">
      <c r="A75" s="5" t="s">
        <v>48</v>
      </c>
      <c r="B75" s="13">
        <v>64855762.530000001</v>
      </c>
      <c r="C75" s="13">
        <v>93330240.769999996</v>
      </c>
    </row>
    <row r="76" spans="1:3" x14ac:dyDescent="0.3">
      <c r="A76" s="5" t="s">
        <v>151</v>
      </c>
      <c r="B76" s="13">
        <v>14587.16</v>
      </c>
      <c r="C76" s="13">
        <v>23086.62</v>
      </c>
    </row>
    <row r="77" spans="1:3" x14ac:dyDescent="0.3">
      <c r="A77" s="5" t="s">
        <v>136</v>
      </c>
      <c r="B77" s="13">
        <v>1386052.73</v>
      </c>
      <c r="C77" s="13">
        <v>237707.98</v>
      </c>
    </row>
    <row r="78" spans="1:3" x14ac:dyDescent="0.3">
      <c r="A78" s="5" t="s">
        <v>6</v>
      </c>
      <c r="B78" s="13"/>
      <c r="C78" s="13"/>
    </row>
    <row r="79" spans="1:3" x14ac:dyDescent="0.3">
      <c r="A79" s="5" t="s">
        <v>49</v>
      </c>
      <c r="B79" s="13">
        <v>7673485894.2299995</v>
      </c>
      <c r="C79" s="13">
        <v>14033760696.780001</v>
      </c>
    </row>
    <row r="80" spans="1:3" x14ac:dyDescent="0.3">
      <c r="A80" s="5" t="s">
        <v>50</v>
      </c>
      <c r="B80" s="13">
        <v>242597543.19999999</v>
      </c>
      <c r="C80" s="13">
        <v>662122104.92999995</v>
      </c>
    </row>
    <row r="81" spans="1:3" x14ac:dyDescent="0.3">
      <c r="A81" s="5" t="s">
        <v>137</v>
      </c>
      <c r="B81" s="13">
        <v>149139.76</v>
      </c>
      <c r="C81" s="13">
        <v>47793.05</v>
      </c>
    </row>
    <row r="82" spans="1:3" x14ac:dyDescent="0.3">
      <c r="A82" s="5" t="s">
        <v>146</v>
      </c>
      <c r="B82" s="13">
        <v>8177148.1200000001</v>
      </c>
      <c r="C82" s="13">
        <v>18859988</v>
      </c>
    </row>
    <row r="83" spans="1:3" x14ac:dyDescent="0.3">
      <c r="A83" s="5" t="s">
        <v>147</v>
      </c>
      <c r="B83" s="13">
        <v>54130.76</v>
      </c>
      <c r="C83" s="13">
        <v>98380</v>
      </c>
    </row>
    <row r="84" spans="1:3" x14ac:dyDescent="0.3">
      <c r="A84" s="5" t="s">
        <v>51</v>
      </c>
      <c r="B84" s="13">
        <v>274600469.62</v>
      </c>
      <c r="C84" s="13">
        <v>751328565.45000005</v>
      </c>
    </row>
    <row r="85" spans="1:3" x14ac:dyDescent="0.3">
      <c r="A85" s="5" t="s">
        <v>52</v>
      </c>
      <c r="B85" s="13">
        <v>1327901884.8399999</v>
      </c>
      <c r="C85" s="13">
        <v>1680150492.5599999</v>
      </c>
    </row>
    <row r="86" spans="1:3" x14ac:dyDescent="0.3">
      <c r="A86" s="5" t="s">
        <v>53</v>
      </c>
      <c r="B86" s="13">
        <v>174548508.46000001</v>
      </c>
      <c r="C86" s="13">
        <v>411151884.31999999</v>
      </c>
    </row>
    <row r="87" spans="1:3" x14ac:dyDescent="0.3">
      <c r="A87" s="5" t="s">
        <v>54</v>
      </c>
      <c r="B87" s="13">
        <v>45951070.609999999</v>
      </c>
      <c r="C87" s="13">
        <v>134443468.31999999</v>
      </c>
    </row>
    <row r="88" spans="1:3" x14ac:dyDescent="0.3">
      <c r="A88" s="5" t="s">
        <v>55</v>
      </c>
      <c r="B88" s="13">
        <v>1783150537.1500001</v>
      </c>
      <c r="C88" s="13">
        <v>1664596249.76</v>
      </c>
    </row>
    <row r="89" spans="1:3" x14ac:dyDescent="0.3">
      <c r="A89" s="5" t="s">
        <v>56</v>
      </c>
      <c r="B89" s="13">
        <v>785064458.19000006</v>
      </c>
      <c r="C89" s="13">
        <v>1864084215.3599999</v>
      </c>
    </row>
    <row r="90" spans="1:3" x14ac:dyDescent="0.3">
      <c r="A90" s="5" t="s">
        <v>138</v>
      </c>
      <c r="B90" s="13">
        <v>170041073.97999999</v>
      </c>
      <c r="C90" s="13">
        <v>311107806.25</v>
      </c>
    </row>
    <row r="91" spans="1:3" x14ac:dyDescent="0.3">
      <c r="A91" s="5" t="s">
        <v>113</v>
      </c>
      <c r="B91" s="13">
        <v>227645679.71000001</v>
      </c>
      <c r="C91" s="13">
        <v>324906040</v>
      </c>
    </row>
    <row r="92" spans="1:3" x14ac:dyDescent="0.3">
      <c r="A92" s="5" t="s">
        <v>57</v>
      </c>
      <c r="B92" s="13">
        <v>103508820.97</v>
      </c>
      <c r="C92" s="13">
        <v>157564038.44999999</v>
      </c>
    </row>
    <row r="93" spans="1:3" x14ac:dyDescent="0.3">
      <c r="A93" s="5" t="s">
        <v>58</v>
      </c>
      <c r="B93" s="13">
        <v>129637424.73</v>
      </c>
      <c r="C93" s="13">
        <v>363240264.70999998</v>
      </c>
    </row>
    <row r="94" spans="1:3" x14ac:dyDescent="0.3">
      <c r="A94" s="5" t="s">
        <v>59</v>
      </c>
      <c r="B94" s="13">
        <v>97175664.439999998</v>
      </c>
      <c r="C94" s="13">
        <v>256239634</v>
      </c>
    </row>
    <row r="95" spans="1:3" x14ac:dyDescent="0.3">
      <c r="A95" s="5" t="s">
        <v>125</v>
      </c>
      <c r="B95" s="13">
        <v>1559332.24</v>
      </c>
      <c r="C95" s="13">
        <v>2990401.8</v>
      </c>
    </row>
    <row r="96" spans="1:3" x14ac:dyDescent="0.3">
      <c r="A96" s="5" t="s">
        <v>60</v>
      </c>
      <c r="B96" s="13">
        <v>3080848.77</v>
      </c>
      <c r="C96" s="13">
        <v>14436745.23</v>
      </c>
    </row>
    <row r="97" spans="1:3" x14ac:dyDescent="0.3">
      <c r="A97" s="5" t="s">
        <v>61</v>
      </c>
      <c r="B97" s="13">
        <v>10327395.109999999</v>
      </c>
      <c r="C97" s="13">
        <v>21513757.48</v>
      </c>
    </row>
    <row r="98" spans="1:3" x14ac:dyDescent="0.3">
      <c r="A98" s="5" t="s">
        <v>62</v>
      </c>
      <c r="B98" s="13">
        <v>454236521.36000001</v>
      </c>
      <c r="C98" s="13">
        <v>1224242631.1199999</v>
      </c>
    </row>
    <row r="99" spans="1:3" x14ac:dyDescent="0.3">
      <c r="A99" s="5" t="s">
        <v>126</v>
      </c>
      <c r="B99" s="13">
        <v>30854739.059999999</v>
      </c>
      <c r="C99" s="13">
        <v>67208543.280000001</v>
      </c>
    </row>
    <row r="100" spans="1:3" x14ac:dyDescent="0.3">
      <c r="A100" s="5" t="s">
        <v>63</v>
      </c>
      <c r="B100" s="13">
        <v>847982.78</v>
      </c>
      <c r="C100" s="13">
        <v>1494252.58</v>
      </c>
    </row>
    <row r="101" spans="1:3" x14ac:dyDescent="0.3">
      <c r="A101" s="5" t="s">
        <v>64</v>
      </c>
      <c r="B101" s="13">
        <v>48694442.490000002</v>
      </c>
      <c r="C101" s="13">
        <v>127757256.20999999</v>
      </c>
    </row>
    <row r="102" spans="1:3" x14ac:dyDescent="0.3">
      <c r="A102" s="5" t="s">
        <v>65</v>
      </c>
      <c r="B102" s="13">
        <v>12255161.960000001</v>
      </c>
      <c r="C102" s="13">
        <v>17105759.350000001</v>
      </c>
    </row>
    <row r="103" spans="1:3" x14ac:dyDescent="0.3">
      <c r="A103" s="5" t="s">
        <v>66</v>
      </c>
      <c r="B103" s="13">
        <v>563106.71</v>
      </c>
      <c r="C103" s="13">
        <v>433140.47999999998</v>
      </c>
    </row>
    <row r="104" spans="1:3" x14ac:dyDescent="0.3">
      <c r="A104" s="5" t="s">
        <v>139</v>
      </c>
      <c r="B104" s="13">
        <v>400019.73</v>
      </c>
      <c r="C104" s="13">
        <v>1747909.68</v>
      </c>
    </row>
    <row r="105" spans="1:3" x14ac:dyDescent="0.3">
      <c r="A105" s="5" t="s">
        <v>67</v>
      </c>
      <c r="B105" s="13">
        <v>150845936.88999999</v>
      </c>
      <c r="C105" s="13">
        <v>241732453.28999999</v>
      </c>
    </row>
    <row r="106" spans="1:3" x14ac:dyDescent="0.3">
      <c r="A106" s="5" t="s">
        <v>68</v>
      </c>
      <c r="B106" s="13">
        <v>1126091037.8800001</v>
      </c>
      <c r="C106" s="13">
        <v>2956304914.3600001</v>
      </c>
    </row>
    <row r="107" spans="1:3" x14ac:dyDescent="0.3">
      <c r="A107" s="5" t="s">
        <v>69</v>
      </c>
      <c r="B107" s="13">
        <v>13671690.710000001</v>
      </c>
      <c r="C107" s="13">
        <v>5810663.25</v>
      </c>
    </row>
    <row r="108" spans="1:3" x14ac:dyDescent="0.3">
      <c r="A108" s="5" t="s">
        <v>70</v>
      </c>
      <c r="B108" s="13">
        <v>367571140.81</v>
      </c>
      <c r="C108" s="13">
        <v>519528102.16000003</v>
      </c>
    </row>
    <row r="109" spans="1:3" x14ac:dyDescent="0.3">
      <c r="A109" s="5" t="s">
        <v>161</v>
      </c>
      <c r="B109" s="13">
        <v>872277.83</v>
      </c>
      <c r="C109" s="13">
        <v>3989841.68</v>
      </c>
    </row>
    <row r="110" spans="1:3" x14ac:dyDescent="0.3">
      <c r="A110" s="5" t="s">
        <v>71</v>
      </c>
      <c r="B110" s="13">
        <v>77545171.180000007</v>
      </c>
      <c r="C110" s="13">
        <v>219683874.88</v>
      </c>
    </row>
    <row r="111" spans="1:3" x14ac:dyDescent="0.3">
      <c r="A111" s="5" t="s">
        <v>154</v>
      </c>
      <c r="B111" s="13">
        <v>3785.28</v>
      </c>
      <c r="C111" s="13">
        <v>6390.88</v>
      </c>
    </row>
    <row r="112" spans="1:3" x14ac:dyDescent="0.3">
      <c r="A112" s="5" t="s">
        <v>127</v>
      </c>
      <c r="B112" s="13">
        <v>39457.08</v>
      </c>
      <c r="C112" s="13">
        <v>47081.9</v>
      </c>
    </row>
    <row r="113" spans="1:3" x14ac:dyDescent="0.3">
      <c r="A113" s="5" t="s">
        <v>149</v>
      </c>
      <c r="B113" s="13">
        <v>3520403.98</v>
      </c>
      <c r="C113" s="13">
        <v>7741920.4199999999</v>
      </c>
    </row>
    <row r="114" spans="1:3" x14ac:dyDescent="0.3">
      <c r="A114" s="5" t="s">
        <v>128</v>
      </c>
      <c r="B114" s="13">
        <v>96600.89</v>
      </c>
      <c r="C114" s="13">
        <v>22516.74</v>
      </c>
    </row>
    <row r="115" spans="1:3" x14ac:dyDescent="0.3">
      <c r="A115" s="5" t="s">
        <v>150</v>
      </c>
      <c r="B115" s="13">
        <v>205286.95</v>
      </c>
      <c r="C115" s="13">
        <v>21614.85</v>
      </c>
    </row>
    <row r="116" spans="1:3" x14ac:dyDescent="0.3">
      <c r="A116" s="5" t="s">
        <v>6</v>
      </c>
      <c r="B116" s="13"/>
      <c r="C116" s="13"/>
    </row>
    <row r="117" spans="1:3" x14ac:dyDescent="0.3">
      <c r="A117" s="5" t="s">
        <v>72</v>
      </c>
      <c r="B117" s="13">
        <v>3714513372.1900001</v>
      </c>
      <c r="C117" s="13">
        <v>6575177135.2799997</v>
      </c>
    </row>
    <row r="118" spans="1:3" x14ac:dyDescent="0.3">
      <c r="A118" s="5" t="s">
        <v>129</v>
      </c>
      <c r="B118" s="13">
        <v>30769.48</v>
      </c>
      <c r="C118" s="13">
        <v>36448.22</v>
      </c>
    </row>
    <row r="119" spans="1:3" x14ac:dyDescent="0.3">
      <c r="A119" s="5" t="s">
        <v>73</v>
      </c>
      <c r="B119" s="13">
        <v>1563168.44</v>
      </c>
      <c r="C119" s="13">
        <v>63119.49</v>
      </c>
    </row>
    <row r="120" spans="1:3" x14ac:dyDescent="0.3">
      <c r="A120" s="5" t="s">
        <v>74</v>
      </c>
      <c r="B120" s="13">
        <v>21445865.649999999</v>
      </c>
      <c r="C120" s="13">
        <v>30214760.800000001</v>
      </c>
    </row>
    <row r="121" spans="1:3" x14ac:dyDescent="0.3">
      <c r="A121" s="5" t="s">
        <v>75</v>
      </c>
      <c r="B121" s="13">
        <v>1510219.32</v>
      </c>
      <c r="C121" s="13">
        <v>736466.97</v>
      </c>
    </row>
    <row r="122" spans="1:3" x14ac:dyDescent="0.3">
      <c r="A122" s="5" t="s">
        <v>76</v>
      </c>
      <c r="B122" s="13">
        <v>120736915.98</v>
      </c>
      <c r="C122" s="13">
        <v>288340363.58999997</v>
      </c>
    </row>
    <row r="123" spans="1:3" x14ac:dyDescent="0.3">
      <c r="A123" s="5" t="s">
        <v>77</v>
      </c>
      <c r="B123" s="13">
        <v>582839073.77999997</v>
      </c>
      <c r="C123" s="13">
        <v>1270326835.4300001</v>
      </c>
    </row>
    <row r="124" spans="1:3" x14ac:dyDescent="0.3">
      <c r="A124" s="5" t="s">
        <v>78</v>
      </c>
      <c r="B124" s="13">
        <v>18537.72</v>
      </c>
      <c r="C124" s="13">
        <v>18521.14</v>
      </c>
    </row>
    <row r="125" spans="1:3" x14ac:dyDescent="0.3">
      <c r="A125" s="5" t="s">
        <v>79</v>
      </c>
      <c r="B125" s="13">
        <v>147156101.19999999</v>
      </c>
      <c r="C125" s="13">
        <v>334753715.02999997</v>
      </c>
    </row>
    <row r="126" spans="1:3" x14ac:dyDescent="0.3">
      <c r="A126" s="5" t="s">
        <v>80</v>
      </c>
      <c r="B126" s="13">
        <v>82695824.299999997</v>
      </c>
      <c r="C126" s="13">
        <v>191374513.25999999</v>
      </c>
    </row>
    <row r="127" spans="1:3" x14ac:dyDescent="0.3">
      <c r="A127" s="5" t="s">
        <v>81</v>
      </c>
      <c r="B127" s="13">
        <v>88962.78</v>
      </c>
      <c r="C127" s="13">
        <v>73839.78</v>
      </c>
    </row>
    <row r="128" spans="1:3" x14ac:dyDescent="0.3">
      <c r="A128" s="5" t="s">
        <v>82</v>
      </c>
      <c r="B128" s="13">
        <v>110885989.95</v>
      </c>
      <c r="C128" s="13">
        <v>365296422.42000002</v>
      </c>
    </row>
    <row r="129" spans="1:3" x14ac:dyDescent="0.3">
      <c r="A129" s="5" t="s">
        <v>83</v>
      </c>
      <c r="B129" s="13">
        <v>277394678.97000003</v>
      </c>
      <c r="C129" s="13">
        <v>616867892.22000003</v>
      </c>
    </row>
    <row r="130" spans="1:3" x14ac:dyDescent="0.3">
      <c r="A130" s="5" t="s">
        <v>140</v>
      </c>
      <c r="B130" s="13">
        <v>1489.44</v>
      </c>
      <c r="C130" s="13">
        <v>1010.31</v>
      </c>
    </row>
    <row r="131" spans="1:3" x14ac:dyDescent="0.3">
      <c r="A131" s="5" t="s">
        <v>84</v>
      </c>
      <c r="B131" s="13">
        <v>109806.93</v>
      </c>
      <c r="C131" s="13">
        <v>62610.92</v>
      </c>
    </row>
    <row r="132" spans="1:3" x14ac:dyDescent="0.3">
      <c r="A132" s="5" t="s">
        <v>85</v>
      </c>
      <c r="B132" s="13">
        <v>1206853175.8</v>
      </c>
      <c r="C132" s="13">
        <v>1173441929.46</v>
      </c>
    </row>
    <row r="133" spans="1:3" x14ac:dyDescent="0.3">
      <c r="A133" s="5" t="s">
        <v>86</v>
      </c>
      <c r="B133" s="13">
        <v>327674822.06</v>
      </c>
      <c r="C133" s="13">
        <v>751699039.97000003</v>
      </c>
    </row>
    <row r="134" spans="1:3" x14ac:dyDescent="0.3">
      <c r="A134" s="5" t="s">
        <v>87</v>
      </c>
      <c r="B134" s="13">
        <v>26325814.399999999</v>
      </c>
      <c r="C134" s="13">
        <v>63779897.359999999</v>
      </c>
    </row>
    <row r="135" spans="1:3" x14ac:dyDescent="0.3">
      <c r="A135" s="5" t="s">
        <v>88</v>
      </c>
      <c r="B135" s="13">
        <v>209990717.53999999</v>
      </c>
      <c r="C135" s="13">
        <v>513930453.07999998</v>
      </c>
    </row>
    <row r="136" spans="1:3" x14ac:dyDescent="0.3">
      <c r="A136" s="5" t="s">
        <v>89</v>
      </c>
      <c r="B136" s="13">
        <v>38383904.469999999</v>
      </c>
      <c r="C136" s="13">
        <v>91533736.569999993</v>
      </c>
    </row>
    <row r="137" spans="1:3" x14ac:dyDescent="0.3">
      <c r="A137" s="5" t="s">
        <v>90</v>
      </c>
      <c r="B137" s="13">
        <v>23034.11</v>
      </c>
      <c r="C137" s="13">
        <v>20091.07</v>
      </c>
    </row>
    <row r="138" spans="1:3" x14ac:dyDescent="0.3">
      <c r="A138" s="5" t="s">
        <v>130</v>
      </c>
      <c r="B138" s="13">
        <v>2486133.02</v>
      </c>
      <c r="C138" s="13">
        <v>386506.93</v>
      </c>
    </row>
    <row r="139" spans="1:3" x14ac:dyDescent="0.3">
      <c r="A139" s="5" t="s">
        <v>91</v>
      </c>
      <c r="B139" s="13">
        <v>20728324.199999999</v>
      </c>
      <c r="C139" s="13">
        <v>47247022.020000003</v>
      </c>
    </row>
    <row r="140" spans="1:3" x14ac:dyDescent="0.3">
      <c r="A140" s="5" t="s">
        <v>92</v>
      </c>
      <c r="B140" s="13">
        <v>192718597.63</v>
      </c>
      <c r="C140" s="13">
        <v>417634611.70999998</v>
      </c>
    </row>
    <row r="141" spans="1:3" x14ac:dyDescent="0.3">
      <c r="A141" s="5" t="s">
        <v>93</v>
      </c>
      <c r="B141" s="13">
        <v>97783091.480000004</v>
      </c>
      <c r="C141" s="13">
        <v>14701550.859999999</v>
      </c>
    </row>
    <row r="142" spans="1:3" x14ac:dyDescent="0.3">
      <c r="A142" s="5" t="s">
        <v>148</v>
      </c>
      <c r="B142" s="13">
        <v>60131900.560000002</v>
      </c>
      <c r="C142" s="13">
        <v>148638890.69</v>
      </c>
    </row>
    <row r="143" spans="1:3" x14ac:dyDescent="0.3">
      <c r="A143" s="5" t="s">
        <v>141</v>
      </c>
      <c r="B143" s="13" t="s">
        <v>114</v>
      </c>
      <c r="C143" s="13" t="s">
        <v>114</v>
      </c>
    </row>
    <row r="144" spans="1:3" x14ac:dyDescent="0.3">
      <c r="A144" s="5" t="s">
        <v>131</v>
      </c>
      <c r="B144" s="13">
        <v>36744491.579999998</v>
      </c>
      <c r="C144" s="13">
        <v>93782373.549999997</v>
      </c>
    </row>
    <row r="145" spans="1:3" x14ac:dyDescent="0.3">
      <c r="A145" s="5" t="s">
        <v>94</v>
      </c>
      <c r="B145" s="13">
        <v>11541288.5</v>
      </c>
      <c r="C145" s="13">
        <v>27737365.559999999</v>
      </c>
    </row>
    <row r="146" spans="1:3" x14ac:dyDescent="0.3">
      <c r="A146" s="5" t="s">
        <v>132</v>
      </c>
      <c r="B146" s="13">
        <v>15358.56</v>
      </c>
      <c r="C146" s="13">
        <v>11124.54</v>
      </c>
    </row>
    <row r="147" spans="1:3" x14ac:dyDescent="0.3">
      <c r="A147" s="5" t="s">
        <v>95</v>
      </c>
      <c r="B147" s="13">
        <v>92157551.930000007</v>
      </c>
      <c r="C147" s="13">
        <v>49281846.350000001</v>
      </c>
    </row>
    <row r="148" spans="1:3" x14ac:dyDescent="0.3">
      <c r="A148" s="5" t="s">
        <v>96</v>
      </c>
      <c r="B148" s="13">
        <v>329444.65000000002</v>
      </c>
      <c r="C148" s="13">
        <v>104807.11</v>
      </c>
    </row>
    <row r="149" spans="1:3" x14ac:dyDescent="0.3">
      <c r="A149" s="5" t="s">
        <v>133</v>
      </c>
      <c r="B149" s="13">
        <v>14767.94</v>
      </c>
      <c r="C149" s="13">
        <v>22688.3</v>
      </c>
    </row>
    <row r="150" spans="1:3" x14ac:dyDescent="0.3">
      <c r="A150" s="5" t="s">
        <v>97</v>
      </c>
      <c r="B150" s="13">
        <v>113864.23</v>
      </c>
      <c r="C150" s="13">
        <v>114577.56</v>
      </c>
    </row>
    <row r="151" spans="1:3" x14ac:dyDescent="0.3">
      <c r="A151" s="5" t="s">
        <v>142</v>
      </c>
      <c r="B151" s="13">
        <v>8401454.1300000008</v>
      </c>
      <c r="C151" s="13">
        <v>903280.62</v>
      </c>
    </row>
    <row r="152" spans="1:3" x14ac:dyDescent="0.3">
      <c r="A152" s="5" t="s">
        <v>143</v>
      </c>
      <c r="B152" s="13">
        <v>33347431.27</v>
      </c>
      <c r="C152" s="13">
        <v>81565013.469999999</v>
      </c>
    </row>
    <row r="153" spans="1:3" x14ac:dyDescent="0.3">
      <c r="A153" s="5" t="s">
        <v>98</v>
      </c>
      <c r="B153" s="13">
        <v>82807.289999999994</v>
      </c>
      <c r="C153" s="13">
        <v>102772.58</v>
      </c>
    </row>
    <row r="154" spans="1:3" x14ac:dyDescent="0.3">
      <c r="A154" s="5" t="s">
        <v>99</v>
      </c>
      <c r="B154" s="13">
        <v>2124731.35</v>
      </c>
      <c r="C154" s="13">
        <v>318307.69</v>
      </c>
    </row>
    <row r="155" spans="1:3" x14ac:dyDescent="0.3">
      <c r="A155" s="5" t="s">
        <v>111</v>
      </c>
      <c r="B155" s="13">
        <v>18738.23</v>
      </c>
      <c r="C155" s="13">
        <v>20750.009999999998</v>
      </c>
    </row>
    <row r="156" spans="1:3" x14ac:dyDescent="0.3">
      <c r="A156" s="5" t="s">
        <v>100</v>
      </c>
      <c r="B156" s="13">
        <v>44523.32</v>
      </c>
      <c r="C156" s="13">
        <v>31978.639999999999</v>
      </c>
    </row>
    <row r="157" spans="1:3" x14ac:dyDescent="0.3">
      <c r="A157" s="5" t="s">
        <v>6</v>
      </c>
      <c r="B157" s="13"/>
      <c r="C157" s="13"/>
    </row>
    <row r="158" spans="1:3" x14ac:dyDescent="0.3">
      <c r="A158" s="5" t="s">
        <v>101</v>
      </c>
      <c r="B158" s="13">
        <v>78316334.180000007</v>
      </c>
      <c r="C158" s="13">
        <v>163786404.08000001</v>
      </c>
    </row>
    <row r="159" spans="1:3" x14ac:dyDescent="0.3">
      <c r="A159" s="5" t="s">
        <v>102</v>
      </c>
      <c r="B159" s="13">
        <v>64186244.310000002</v>
      </c>
      <c r="C159" s="13">
        <v>126969397.75</v>
      </c>
    </row>
    <row r="160" spans="1:3" x14ac:dyDescent="0.3">
      <c r="A160" s="5" t="s">
        <v>103</v>
      </c>
      <c r="B160" s="13">
        <v>14130089.869999999</v>
      </c>
      <c r="C160" s="13">
        <v>36817006.329999998</v>
      </c>
    </row>
    <row r="161" spans="1:3" x14ac:dyDescent="0.3">
      <c r="A161" s="5" t="s">
        <v>6</v>
      </c>
      <c r="B161" s="13"/>
      <c r="C161" s="13"/>
    </row>
    <row r="162" spans="1:3" x14ac:dyDescent="0.3">
      <c r="A162" s="5" t="s">
        <v>104</v>
      </c>
      <c r="B162" s="13">
        <v>94894817.489999995</v>
      </c>
      <c r="C162" s="13">
        <v>181437315.44</v>
      </c>
    </row>
    <row r="163" spans="1:3" x14ac:dyDescent="0.3">
      <c r="A163" s="5" t="s">
        <v>105</v>
      </c>
      <c r="B163" s="13">
        <v>14841762.34</v>
      </c>
      <c r="C163" s="13">
        <v>20935561.41</v>
      </c>
    </row>
    <row r="164" spans="1:3" x14ac:dyDescent="0.3">
      <c r="A164" s="5" t="s">
        <v>106</v>
      </c>
      <c r="B164" s="13">
        <v>80053055.150000006</v>
      </c>
      <c r="C164" s="13">
        <v>160501754.03</v>
      </c>
    </row>
    <row r="165" spans="1:3" ht="24" customHeight="1" x14ac:dyDescent="0.3">
      <c r="A165" s="17" t="s">
        <v>107</v>
      </c>
      <c r="B165" s="17"/>
      <c r="C165" s="17"/>
    </row>
    <row r="166" spans="1:3" x14ac:dyDescent="0.3">
      <c r="A166" s="10" t="s">
        <v>108</v>
      </c>
      <c r="B166" s="11"/>
      <c r="C166" s="11"/>
    </row>
    <row r="167" spans="1:3" x14ac:dyDescent="0.3">
      <c r="A167" s="12" t="s">
        <v>112</v>
      </c>
      <c r="B167" s="11"/>
      <c r="C167" s="11"/>
    </row>
    <row r="168" spans="1:3" x14ac:dyDescent="0.3">
      <c r="A168" s="10" t="s">
        <v>109</v>
      </c>
      <c r="B168" s="11"/>
      <c r="C168" s="11"/>
    </row>
  </sheetData>
  <mergeCells count="3">
    <mergeCell ref="A1:C2"/>
    <mergeCell ref="B4:C4"/>
    <mergeCell ref="A165:C16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9"/>
  <sheetViews>
    <sheetView workbookViewId="0">
      <selection activeCell="A3" sqref="A3"/>
    </sheetView>
  </sheetViews>
  <sheetFormatPr baseColWidth="10" defaultColWidth="11.44140625" defaultRowHeight="14.4" x14ac:dyDescent="0.3"/>
  <cols>
    <col min="1" max="1" width="45.88671875" style="1" customWidth="1"/>
    <col min="2" max="2" width="18.33203125" style="1" bestFit="1" customWidth="1"/>
    <col min="3" max="3" width="18.44140625" style="1" bestFit="1" customWidth="1"/>
    <col min="4" max="16384" width="11.44140625" style="1"/>
  </cols>
  <sheetData>
    <row r="1" spans="1:3" x14ac:dyDescent="0.3">
      <c r="A1" s="14" t="s">
        <v>164</v>
      </c>
      <c r="B1" s="14"/>
      <c r="C1" s="14"/>
    </row>
    <row r="2" spans="1:3" x14ac:dyDescent="0.3">
      <c r="A2" s="14"/>
      <c r="B2" s="14"/>
      <c r="C2" s="14"/>
    </row>
    <row r="3" spans="1:3" s="2" customFormat="1" ht="13.2" x14ac:dyDescent="0.25"/>
    <row r="4" spans="1:3" s="3" customFormat="1" ht="13.2" x14ac:dyDescent="0.25">
      <c r="A4" s="6"/>
      <c r="B4" s="15" t="s">
        <v>162</v>
      </c>
      <c r="C4" s="16"/>
    </row>
    <row r="5" spans="1:3" s="3" customFormat="1" ht="13.2" x14ac:dyDescent="0.25">
      <c r="A5" s="4" t="s">
        <v>2</v>
      </c>
      <c r="B5" s="7" t="s">
        <v>4</v>
      </c>
      <c r="C5" s="7" t="s">
        <v>3</v>
      </c>
    </row>
    <row r="6" spans="1:3" s="3" customFormat="1" ht="13.2" x14ac:dyDescent="0.25">
      <c r="A6" s="8"/>
      <c r="B6" s="9" t="s">
        <v>0</v>
      </c>
      <c r="C6" s="9" t="s">
        <v>1</v>
      </c>
    </row>
    <row r="8" spans="1:3" x14ac:dyDescent="0.3">
      <c r="A8" s="5" t="s">
        <v>5</v>
      </c>
      <c r="B8" s="13">
        <v>17920340707</v>
      </c>
      <c r="C8" s="13">
        <v>31828253608</v>
      </c>
    </row>
    <row r="9" spans="1:3" x14ac:dyDescent="0.3">
      <c r="A9" s="5" t="s">
        <v>6</v>
      </c>
      <c r="B9" s="13"/>
      <c r="C9" s="13"/>
    </row>
    <row r="10" spans="1:3" x14ac:dyDescent="0.3">
      <c r="A10" s="5" t="s">
        <v>7</v>
      </c>
      <c r="B10" s="13">
        <v>1720665398</v>
      </c>
      <c r="C10" s="13">
        <v>3725660852</v>
      </c>
    </row>
    <row r="11" spans="1:3" x14ac:dyDescent="0.3">
      <c r="A11" s="5" t="s">
        <v>155</v>
      </c>
      <c r="B11" s="13">
        <v>102224</v>
      </c>
      <c r="C11" s="13">
        <v>349775</v>
      </c>
    </row>
    <row r="12" spans="1:3" x14ac:dyDescent="0.3">
      <c r="A12" s="5" t="s">
        <v>8</v>
      </c>
      <c r="B12" s="13">
        <v>453526780</v>
      </c>
      <c r="C12" s="13">
        <v>865103592</v>
      </c>
    </row>
    <row r="13" spans="1:3" x14ac:dyDescent="0.3">
      <c r="A13" s="5" t="s">
        <v>163</v>
      </c>
      <c r="B13" s="13">
        <v>295071</v>
      </c>
      <c r="C13" s="13">
        <v>1175460</v>
      </c>
    </row>
    <row r="14" spans="1:3" x14ac:dyDescent="0.3">
      <c r="A14" s="5" t="s">
        <v>9</v>
      </c>
      <c r="B14" s="13">
        <v>6067502</v>
      </c>
      <c r="C14" s="13">
        <v>14246651</v>
      </c>
    </row>
    <row r="15" spans="1:3" x14ac:dyDescent="0.3">
      <c r="A15" s="5" t="s">
        <v>110</v>
      </c>
      <c r="B15" s="13">
        <v>5175469</v>
      </c>
      <c r="C15" s="13">
        <v>15241637</v>
      </c>
    </row>
    <row r="16" spans="1:3" x14ac:dyDescent="0.3">
      <c r="A16" s="5" t="s">
        <v>115</v>
      </c>
      <c r="B16" s="13" t="s">
        <v>114</v>
      </c>
      <c r="C16" s="13" t="s">
        <v>114</v>
      </c>
    </row>
    <row r="17" spans="1:3" x14ac:dyDescent="0.3">
      <c r="A17" s="5" t="s">
        <v>10</v>
      </c>
      <c r="B17" s="13">
        <v>40163416</v>
      </c>
      <c r="C17" s="13">
        <v>109521817</v>
      </c>
    </row>
    <row r="18" spans="1:3" x14ac:dyDescent="0.3">
      <c r="A18" s="5" t="s">
        <v>11</v>
      </c>
      <c r="B18" s="13">
        <v>168087</v>
      </c>
      <c r="C18" s="13">
        <v>280185</v>
      </c>
    </row>
    <row r="19" spans="1:3" x14ac:dyDescent="0.3">
      <c r="A19" s="5" t="s">
        <v>12</v>
      </c>
      <c r="B19" s="13">
        <v>407588137</v>
      </c>
      <c r="C19" s="13">
        <v>845564195</v>
      </c>
    </row>
    <row r="20" spans="1:3" x14ac:dyDescent="0.3">
      <c r="A20" s="5" t="s">
        <v>144</v>
      </c>
      <c r="B20" s="13">
        <v>42428</v>
      </c>
      <c r="C20" s="13">
        <v>70173</v>
      </c>
    </row>
    <row r="21" spans="1:3" x14ac:dyDescent="0.3">
      <c r="A21" s="5" t="s">
        <v>13</v>
      </c>
      <c r="B21" s="13">
        <v>1948075</v>
      </c>
      <c r="C21" s="13">
        <v>7968785</v>
      </c>
    </row>
    <row r="22" spans="1:3" x14ac:dyDescent="0.3">
      <c r="A22" s="5" t="s">
        <v>14</v>
      </c>
      <c r="B22" s="13">
        <v>25783529</v>
      </c>
      <c r="C22" s="13">
        <v>67596153</v>
      </c>
    </row>
    <row r="23" spans="1:3" x14ac:dyDescent="0.3">
      <c r="A23" s="5" t="s">
        <v>116</v>
      </c>
      <c r="B23" s="13">
        <v>2599797</v>
      </c>
      <c r="C23" s="13">
        <v>11513877</v>
      </c>
    </row>
    <row r="24" spans="1:3" x14ac:dyDescent="0.3">
      <c r="A24" s="5" t="s">
        <v>157</v>
      </c>
      <c r="B24" s="13" t="s">
        <v>114</v>
      </c>
      <c r="C24" s="13" t="s">
        <v>114</v>
      </c>
    </row>
    <row r="25" spans="1:3" x14ac:dyDescent="0.3">
      <c r="A25" s="5" t="s">
        <v>15</v>
      </c>
      <c r="B25" s="13">
        <v>20384761</v>
      </c>
      <c r="C25" s="13">
        <v>77224803</v>
      </c>
    </row>
    <row r="26" spans="1:3" x14ac:dyDescent="0.3">
      <c r="A26" s="5" t="s">
        <v>117</v>
      </c>
      <c r="B26" s="13">
        <v>580687</v>
      </c>
      <c r="C26" s="13">
        <v>2067808</v>
      </c>
    </row>
    <row r="27" spans="1:3" x14ac:dyDescent="0.3">
      <c r="A27" s="5" t="s">
        <v>16</v>
      </c>
      <c r="B27" s="13">
        <v>56825741</v>
      </c>
      <c r="C27" s="13">
        <v>130617387</v>
      </c>
    </row>
    <row r="28" spans="1:3" x14ac:dyDescent="0.3">
      <c r="A28" s="5" t="s">
        <v>158</v>
      </c>
      <c r="B28" s="13" t="s">
        <v>114</v>
      </c>
      <c r="C28" s="13" t="s">
        <v>114</v>
      </c>
    </row>
    <row r="29" spans="1:3" x14ac:dyDescent="0.3">
      <c r="A29" s="5" t="s">
        <v>145</v>
      </c>
      <c r="B29" s="13" t="s">
        <v>114</v>
      </c>
      <c r="C29" s="13" t="s">
        <v>114</v>
      </c>
    </row>
    <row r="30" spans="1:3" x14ac:dyDescent="0.3">
      <c r="A30" s="5" t="s">
        <v>17</v>
      </c>
      <c r="B30" s="13">
        <v>1797707</v>
      </c>
      <c r="C30" s="13">
        <v>7313391</v>
      </c>
    </row>
    <row r="31" spans="1:3" x14ac:dyDescent="0.3">
      <c r="A31" s="5" t="s">
        <v>18</v>
      </c>
      <c r="B31" s="13">
        <v>175143996</v>
      </c>
      <c r="C31" s="13">
        <v>489320145</v>
      </c>
    </row>
    <row r="32" spans="1:3" x14ac:dyDescent="0.3">
      <c r="A32" s="5" t="s">
        <v>19</v>
      </c>
      <c r="B32" s="13">
        <v>24715131</v>
      </c>
      <c r="C32" s="13">
        <v>51365531</v>
      </c>
    </row>
    <row r="33" spans="1:3" x14ac:dyDescent="0.3">
      <c r="A33" s="5" t="s">
        <v>118</v>
      </c>
      <c r="B33" s="13">
        <v>8624364</v>
      </c>
      <c r="C33" s="13">
        <v>33498401</v>
      </c>
    </row>
    <row r="34" spans="1:3" x14ac:dyDescent="0.3">
      <c r="A34" s="5" t="s">
        <v>134</v>
      </c>
      <c r="B34" s="13">
        <v>39172</v>
      </c>
      <c r="C34" s="13">
        <v>66912</v>
      </c>
    </row>
    <row r="35" spans="1:3" x14ac:dyDescent="0.3">
      <c r="A35" s="5" t="s">
        <v>20</v>
      </c>
      <c r="B35" s="13">
        <v>40206135</v>
      </c>
      <c r="C35" s="13">
        <v>80350802</v>
      </c>
    </row>
    <row r="36" spans="1:3" x14ac:dyDescent="0.3">
      <c r="A36" s="5" t="s">
        <v>159</v>
      </c>
      <c r="B36" s="13">
        <v>1228959</v>
      </c>
      <c r="C36" s="13">
        <v>4973100</v>
      </c>
    </row>
    <row r="37" spans="1:3" x14ac:dyDescent="0.3">
      <c r="A37" s="5" t="s">
        <v>21</v>
      </c>
      <c r="B37" s="13">
        <v>31951692</v>
      </c>
      <c r="C37" s="13">
        <v>100187595</v>
      </c>
    </row>
    <row r="38" spans="1:3" x14ac:dyDescent="0.3">
      <c r="A38" s="5" t="s">
        <v>119</v>
      </c>
      <c r="B38" s="13">
        <v>58767</v>
      </c>
      <c r="C38" s="13">
        <v>100975</v>
      </c>
    </row>
    <row r="39" spans="1:3" x14ac:dyDescent="0.3">
      <c r="A39" s="5" t="s">
        <v>22</v>
      </c>
      <c r="B39" s="13">
        <v>5254086</v>
      </c>
      <c r="C39" s="13">
        <v>21475716</v>
      </c>
    </row>
    <row r="40" spans="1:3" x14ac:dyDescent="0.3">
      <c r="A40" s="5" t="s">
        <v>152</v>
      </c>
      <c r="B40" s="13">
        <v>154883</v>
      </c>
      <c r="C40" s="13">
        <v>684744</v>
      </c>
    </row>
    <row r="41" spans="1:3" x14ac:dyDescent="0.3">
      <c r="A41" s="5" t="s">
        <v>120</v>
      </c>
      <c r="B41" s="13">
        <v>49078528</v>
      </c>
      <c r="C41" s="13">
        <v>112670615</v>
      </c>
    </row>
    <row r="42" spans="1:3" x14ac:dyDescent="0.3">
      <c r="A42" s="5" t="s">
        <v>23</v>
      </c>
      <c r="B42" s="13">
        <v>10119931</v>
      </c>
      <c r="C42" s="13">
        <v>38883973</v>
      </c>
    </row>
    <row r="43" spans="1:3" x14ac:dyDescent="0.3">
      <c r="A43" s="5" t="s">
        <v>24</v>
      </c>
      <c r="B43" s="13">
        <v>13029340</v>
      </c>
      <c r="C43" s="13">
        <v>44797759</v>
      </c>
    </row>
    <row r="44" spans="1:3" x14ac:dyDescent="0.3">
      <c r="A44" s="5" t="s">
        <v>153</v>
      </c>
      <c r="B44" s="13">
        <v>671913</v>
      </c>
      <c r="C44" s="13">
        <v>3666825</v>
      </c>
    </row>
    <row r="45" spans="1:3" x14ac:dyDescent="0.3">
      <c r="A45" s="5" t="s">
        <v>25</v>
      </c>
      <c r="B45" s="13">
        <v>104082432</v>
      </c>
      <c r="C45" s="13">
        <v>95631390</v>
      </c>
    </row>
    <row r="46" spans="1:3" x14ac:dyDescent="0.3">
      <c r="A46" s="5" t="s">
        <v>121</v>
      </c>
      <c r="B46" s="13">
        <v>136227</v>
      </c>
      <c r="C46" s="13">
        <v>234223</v>
      </c>
    </row>
    <row r="47" spans="1:3" x14ac:dyDescent="0.3">
      <c r="A47" s="5" t="s">
        <v>26</v>
      </c>
      <c r="B47" s="13">
        <v>231934443</v>
      </c>
      <c r="C47" s="13">
        <v>491775475</v>
      </c>
    </row>
    <row r="48" spans="1:3" x14ac:dyDescent="0.3">
      <c r="A48" s="5" t="s">
        <v>122</v>
      </c>
      <c r="B48" s="13" t="s">
        <v>114</v>
      </c>
      <c r="C48" s="13" t="s">
        <v>114</v>
      </c>
    </row>
    <row r="49" spans="1:3" x14ac:dyDescent="0.3">
      <c r="A49" s="5" t="s">
        <v>160</v>
      </c>
      <c r="B49" s="13">
        <v>1185988</v>
      </c>
      <c r="C49" s="13">
        <v>120982</v>
      </c>
    </row>
    <row r="50" spans="1:3" x14ac:dyDescent="0.3">
      <c r="A50" s="5" t="s">
        <v>6</v>
      </c>
      <c r="B50" s="13"/>
      <c r="C50" s="13"/>
    </row>
    <row r="51" spans="1:3" x14ac:dyDescent="0.3">
      <c r="A51" s="5" t="s">
        <v>27</v>
      </c>
      <c r="B51" s="13">
        <v>3916572756</v>
      </c>
      <c r="C51" s="13">
        <v>5813369497</v>
      </c>
    </row>
    <row r="52" spans="1:3" x14ac:dyDescent="0.3">
      <c r="A52" s="5" t="s">
        <v>28</v>
      </c>
      <c r="B52" s="13">
        <v>84202736</v>
      </c>
      <c r="C52" s="13">
        <v>119605427</v>
      </c>
    </row>
    <row r="53" spans="1:3" x14ac:dyDescent="0.3">
      <c r="A53" s="5" t="s">
        <v>29</v>
      </c>
      <c r="B53" s="13">
        <v>1221730592</v>
      </c>
      <c r="C53" s="13">
        <v>1612246597</v>
      </c>
    </row>
    <row r="54" spans="1:3" x14ac:dyDescent="0.3">
      <c r="A54" s="5" t="s">
        <v>30</v>
      </c>
      <c r="B54" s="13">
        <v>3367150</v>
      </c>
      <c r="C54" s="13">
        <v>2434507</v>
      </c>
    </row>
    <row r="55" spans="1:3" x14ac:dyDescent="0.3">
      <c r="A55" s="5" t="s">
        <v>31</v>
      </c>
      <c r="B55" s="13">
        <v>202009456</v>
      </c>
      <c r="C55" s="13">
        <v>450589449</v>
      </c>
    </row>
    <row r="56" spans="1:3" x14ac:dyDescent="0.3">
      <c r="A56" s="5" t="s">
        <v>32</v>
      </c>
      <c r="B56" s="13">
        <v>4846413</v>
      </c>
      <c r="C56" s="13">
        <v>3955716</v>
      </c>
    </row>
    <row r="57" spans="1:3" x14ac:dyDescent="0.3">
      <c r="A57" s="5" t="s">
        <v>33</v>
      </c>
      <c r="B57" s="13">
        <v>59920187</v>
      </c>
      <c r="C57" s="13">
        <v>162081015</v>
      </c>
    </row>
    <row r="58" spans="1:3" x14ac:dyDescent="0.3">
      <c r="A58" s="5" t="s">
        <v>34</v>
      </c>
      <c r="B58" s="13">
        <v>709739399</v>
      </c>
      <c r="C58" s="13">
        <v>1148312832</v>
      </c>
    </row>
    <row r="59" spans="1:3" x14ac:dyDescent="0.3">
      <c r="A59" s="5" t="s">
        <v>35</v>
      </c>
      <c r="B59" s="13">
        <v>119291748</v>
      </c>
      <c r="C59" s="13">
        <v>131866417</v>
      </c>
    </row>
    <row r="60" spans="1:3" x14ac:dyDescent="0.3">
      <c r="A60" s="5" t="s">
        <v>36</v>
      </c>
      <c r="B60" s="13">
        <v>229402685</v>
      </c>
      <c r="C60" s="13">
        <v>532774090</v>
      </c>
    </row>
    <row r="61" spans="1:3" x14ac:dyDescent="0.3">
      <c r="A61" s="5" t="s">
        <v>37</v>
      </c>
      <c r="B61" s="13">
        <v>3210067</v>
      </c>
      <c r="C61" s="13">
        <v>2534486</v>
      </c>
    </row>
    <row r="62" spans="1:3" x14ac:dyDescent="0.3">
      <c r="A62" s="5" t="s">
        <v>38</v>
      </c>
      <c r="B62" s="13">
        <v>201363760</v>
      </c>
      <c r="C62" s="13">
        <v>99865543</v>
      </c>
    </row>
    <row r="63" spans="1:3" x14ac:dyDescent="0.3">
      <c r="A63" s="5" t="s">
        <v>39</v>
      </c>
      <c r="B63" s="13">
        <v>55535965</v>
      </c>
      <c r="C63" s="13">
        <v>49223773</v>
      </c>
    </row>
    <row r="64" spans="1:3" x14ac:dyDescent="0.3">
      <c r="A64" s="5" t="s">
        <v>135</v>
      </c>
      <c r="B64" s="13">
        <v>1699237</v>
      </c>
      <c r="C64" s="13">
        <v>1219225</v>
      </c>
    </row>
    <row r="65" spans="1:3" x14ac:dyDescent="0.3">
      <c r="A65" s="5" t="s">
        <v>123</v>
      </c>
      <c r="B65" s="13">
        <v>179183</v>
      </c>
      <c r="C65" s="13">
        <v>407478</v>
      </c>
    </row>
    <row r="66" spans="1:3" x14ac:dyDescent="0.3">
      <c r="A66" s="5" t="s">
        <v>40</v>
      </c>
      <c r="B66" s="13">
        <v>1519195</v>
      </c>
      <c r="C66" s="13">
        <v>982685</v>
      </c>
    </row>
    <row r="67" spans="1:3" x14ac:dyDescent="0.3">
      <c r="A67" s="5" t="s">
        <v>156</v>
      </c>
      <c r="B67" s="13">
        <v>4653278</v>
      </c>
      <c r="C67" s="13">
        <v>3501804</v>
      </c>
    </row>
    <row r="68" spans="1:3" x14ac:dyDescent="0.3">
      <c r="A68" s="5" t="s">
        <v>41</v>
      </c>
      <c r="B68" s="13">
        <v>89876726</v>
      </c>
      <c r="C68" s="13">
        <v>61685575</v>
      </c>
    </row>
    <row r="69" spans="1:3" x14ac:dyDescent="0.3">
      <c r="A69" s="5" t="s">
        <v>42</v>
      </c>
      <c r="B69" s="13">
        <v>6147887</v>
      </c>
      <c r="C69" s="13">
        <v>1936934</v>
      </c>
    </row>
    <row r="70" spans="1:3" x14ac:dyDescent="0.3">
      <c r="A70" s="5" t="s">
        <v>43</v>
      </c>
      <c r="B70" s="13">
        <v>8496107</v>
      </c>
      <c r="C70" s="13">
        <v>9124910</v>
      </c>
    </row>
    <row r="71" spans="1:3" x14ac:dyDescent="0.3">
      <c r="A71" s="5" t="s">
        <v>44</v>
      </c>
      <c r="B71" s="13">
        <v>183211558</v>
      </c>
      <c r="C71" s="13">
        <v>242229855</v>
      </c>
    </row>
    <row r="72" spans="1:3" x14ac:dyDescent="0.3">
      <c r="A72" s="5" t="s">
        <v>45</v>
      </c>
      <c r="B72" s="13">
        <v>467780999</v>
      </c>
      <c r="C72" s="13">
        <v>722507308</v>
      </c>
    </row>
    <row r="73" spans="1:3" x14ac:dyDescent="0.3">
      <c r="A73" s="5" t="s">
        <v>124</v>
      </c>
      <c r="B73" s="13">
        <v>16720965</v>
      </c>
      <c r="C73" s="13">
        <v>49807195</v>
      </c>
    </row>
    <row r="74" spans="1:3" x14ac:dyDescent="0.3">
      <c r="A74" s="5" t="s">
        <v>46</v>
      </c>
      <c r="B74" s="13">
        <v>1491699</v>
      </c>
      <c r="C74" s="13">
        <v>1193001</v>
      </c>
    </row>
    <row r="75" spans="1:3" x14ac:dyDescent="0.3">
      <c r="A75" s="5" t="s">
        <v>47</v>
      </c>
      <c r="B75" s="13">
        <v>164103690</v>
      </c>
      <c r="C75" s="13">
        <v>287782765</v>
      </c>
    </row>
    <row r="76" spans="1:3" x14ac:dyDescent="0.3">
      <c r="A76" s="5" t="s">
        <v>48</v>
      </c>
      <c r="B76" s="13">
        <v>74575686</v>
      </c>
      <c r="C76" s="13">
        <v>115227380</v>
      </c>
    </row>
    <row r="77" spans="1:3" x14ac:dyDescent="0.3">
      <c r="A77" s="5" t="s">
        <v>151</v>
      </c>
      <c r="B77" s="13">
        <v>14587</v>
      </c>
      <c r="C77" s="13">
        <v>23087</v>
      </c>
    </row>
    <row r="78" spans="1:3" x14ac:dyDescent="0.3">
      <c r="A78" s="5" t="s">
        <v>136</v>
      </c>
      <c r="B78" s="13">
        <v>1481801</v>
      </c>
      <c r="C78" s="13">
        <v>250443</v>
      </c>
    </row>
    <row r="79" spans="1:3" x14ac:dyDescent="0.3">
      <c r="A79" s="5" t="s">
        <v>6</v>
      </c>
      <c r="B79" s="13"/>
      <c r="C79" s="13"/>
    </row>
    <row r="80" spans="1:3" x14ac:dyDescent="0.3">
      <c r="A80" s="5" t="s">
        <v>49</v>
      </c>
      <c r="B80" s="13">
        <v>8230084744</v>
      </c>
      <c r="C80" s="13">
        <v>15020831374</v>
      </c>
    </row>
    <row r="81" spans="1:3" x14ac:dyDescent="0.3">
      <c r="A81" s="5" t="s">
        <v>50</v>
      </c>
      <c r="B81" s="13">
        <v>257853432</v>
      </c>
      <c r="C81" s="13">
        <v>712084946</v>
      </c>
    </row>
    <row r="82" spans="1:3" x14ac:dyDescent="0.3">
      <c r="A82" s="5" t="s">
        <v>137</v>
      </c>
      <c r="B82" s="13">
        <v>153625</v>
      </c>
      <c r="C82" s="13">
        <v>47424</v>
      </c>
    </row>
    <row r="83" spans="1:3" x14ac:dyDescent="0.3">
      <c r="A83" s="5" t="s">
        <v>146</v>
      </c>
      <c r="B83" s="13">
        <v>15767148</v>
      </c>
      <c r="C83" s="13">
        <v>37834988</v>
      </c>
    </row>
    <row r="84" spans="1:3" x14ac:dyDescent="0.3">
      <c r="A84" s="5" t="s">
        <v>147</v>
      </c>
      <c r="B84" s="13">
        <v>85281</v>
      </c>
      <c r="C84" s="13">
        <v>160680</v>
      </c>
    </row>
    <row r="85" spans="1:3" x14ac:dyDescent="0.3">
      <c r="A85" s="5" t="s">
        <v>51</v>
      </c>
      <c r="B85" s="13">
        <v>288255857</v>
      </c>
      <c r="C85" s="13">
        <v>800194178</v>
      </c>
    </row>
    <row r="86" spans="1:3" x14ac:dyDescent="0.3">
      <c r="A86" s="5" t="s">
        <v>52</v>
      </c>
      <c r="B86" s="13">
        <v>1388752951</v>
      </c>
      <c r="C86" s="13">
        <v>1708276638</v>
      </c>
    </row>
    <row r="87" spans="1:3" x14ac:dyDescent="0.3">
      <c r="A87" s="5" t="s">
        <v>53</v>
      </c>
      <c r="B87" s="13">
        <v>203721025</v>
      </c>
      <c r="C87" s="13">
        <v>482490585</v>
      </c>
    </row>
    <row r="88" spans="1:3" x14ac:dyDescent="0.3">
      <c r="A88" s="5" t="s">
        <v>54</v>
      </c>
      <c r="B88" s="13">
        <v>49379928</v>
      </c>
      <c r="C88" s="13">
        <v>143654338</v>
      </c>
    </row>
    <row r="89" spans="1:3" x14ac:dyDescent="0.3">
      <c r="A89" s="5" t="s">
        <v>55</v>
      </c>
      <c r="B89" s="13">
        <v>1951591549</v>
      </c>
      <c r="C89" s="13">
        <v>1788588661</v>
      </c>
    </row>
    <row r="90" spans="1:3" x14ac:dyDescent="0.3">
      <c r="A90" s="5" t="s">
        <v>56</v>
      </c>
      <c r="B90" s="13">
        <v>866520279</v>
      </c>
      <c r="C90" s="13">
        <v>2085732210</v>
      </c>
    </row>
    <row r="91" spans="1:3" x14ac:dyDescent="0.3">
      <c r="A91" s="5" t="s">
        <v>138</v>
      </c>
      <c r="B91" s="13">
        <v>170042779</v>
      </c>
      <c r="C91" s="13">
        <v>311109021</v>
      </c>
    </row>
    <row r="92" spans="1:3" x14ac:dyDescent="0.3">
      <c r="A92" s="5" t="s">
        <v>113</v>
      </c>
      <c r="B92" s="13">
        <v>227645680</v>
      </c>
      <c r="C92" s="13">
        <v>324906040</v>
      </c>
    </row>
    <row r="93" spans="1:3" x14ac:dyDescent="0.3">
      <c r="A93" s="5" t="s">
        <v>57</v>
      </c>
      <c r="B93" s="13">
        <v>106463309</v>
      </c>
      <c r="C93" s="13">
        <v>158065035</v>
      </c>
    </row>
    <row r="94" spans="1:3" x14ac:dyDescent="0.3">
      <c r="A94" s="5" t="s">
        <v>58</v>
      </c>
      <c r="B94" s="13">
        <v>131189344</v>
      </c>
      <c r="C94" s="13">
        <v>366811136</v>
      </c>
    </row>
    <row r="95" spans="1:3" x14ac:dyDescent="0.3">
      <c r="A95" s="5" t="s">
        <v>59</v>
      </c>
      <c r="B95" s="13">
        <v>118383624</v>
      </c>
      <c r="C95" s="13">
        <v>309157850</v>
      </c>
    </row>
    <row r="96" spans="1:3" x14ac:dyDescent="0.3">
      <c r="A96" s="5" t="s">
        <v>125</v>
      </c>
      <c r="B96" s="13">
        <v>1755931</v>
      </c>
      <c r="C96" s="13">
        <v>3019907</v>
      </c>
    </row>
    <row r="97" spans="1:3" x14ac:dyDescent="0.3">
      <c r="A97" s="5" t="s">
        <v>60</v>
      </c>
      <c r="B97" s="13">
        <v>3548265</v>
      </c>
      <c r="C97" s="13">
        <v>14446594</v>
      </c>
    </row>
    <row r="98" spans="1:3" x14ac:dyDescent="0.3">
      <c r="A98" s="5" t="s">
        <v>61</v>
      </c>
      <c r="B98" s="13">
        <v>10396438</v>
      </c>
      <c r="C98" s="13">
        <v>21546013</v>
      </c>
    </row>
    <row r="99" spans="1:3" x14ac:dyDescent="0.3">
      <c r="A99" s="5" t="s">
        <v>62</v>
      </c>
      <c r="B99" s="13">
        <v>476597071</v>
      </c>
      <c r="C99" s="13">
        <v>1285348340</v>
      </c>
    </row>
    <row r="100" spans="1:3" x14ac:dyDescent="0.3">
      <c r="A100" s="5" t="s">
        <v>126</v>
      </c>
      <c r="B100" s="13">
        <v>30994927</v>
      </c>
      <c r="C100" s="13">
        <v>67802535</v>
      </c>
    </row>
    <row r="101" spans="1:3" x14ac:dyDescent="0.3">
      <c r="A101" s="5" t="s">
        <v>63</v>
      </c>
      <c r="B101" s="13">
        <v>846266</v>
      </c>
      <c r="C101" s="13">
        <v>1490437</v>
      </c>
    </row>
    <row r="102" spans="1:3" x14ac:dyDescent="0.3">
      <c r="A102" s="5" t="s">
        <v>64</v>
      </c>
      <c r="B102" s="13">
        <v>48973663</v>
      </c>
      <c r="C102" s="13">
        <v>128036816</v>
      </c>
    </row>
    <row r="103" spans="1:3" x14ac:dyDescent="0.3">
      <c r="A103" s="5" t="s">
        <v>65</v>
      </c>
      <c r="B103" s="13">
        <v>16701798</v>
      </c>
      <c r="C103" s="13">
        <v>27616597</v>
      </c>
    </row>
    <row r="104" spans="1:3" x14ac:dyDescent="0.3">
      <c r="A104" s="5" t="s">
        <v>66</v>
      </c>
      <c r="B104" s="13">
        <v>901241</v>
      </c>
      <c r="C104" s="13">
        <v>657142</v>
      </c>
    </row>
    <row r="105" spans="1:3" x14ac:dyDescent="0.3">
      <c r="A105" s="5" t="s">
        <v>139</v>
      </c>
      <c r="B105" s="13">
        <v>400020</v>
      </c>
      <c r="C105" s="13">
        <v>1747910</v>
      </c>
    </row>
    <row r="106" spans="1:3" x14ac:dyDescent="0.3">
      <c r="A106" s="5" t="s">
        <v>67</v>
      </c>
      <c r="B106" s="13">
        <v>158587342</v>
      </c>
      <c r="C106" s="13">
        <v>243213534</v>
      </c>
    </row>
    <row r="107" spans="1:3" x14ac:dyDescent="0.3">
      <c r="A107" s="5" t="s">
        <v>68</v>
      </c>
      <c r="B107" s="13">
        <v>1216589211</v>
      </c>
      <c r="C107" s="13">
        <v>3212202360</v>
      </c>
    </row>
    <row r="108" spans="1:3" x14ac:dyDescent="0.3">
      <c r="A108" s="5" t="s">
        <v>69</v>
      </c>
      <c r="B108" s="13">
        <v>14631453</v>
      </c>
      <c r="C108" s="13">
        <v>6127667</v>
      </c>
    </row>
    <row r="109" spans="1:3" x14ac:dyDescent="0.3">
      <c r="A109" s="5" t="s">
        <v>70</v>
      </c>
      <c r="B109" s="13">
        <v>387919571</v>
      </c>
      <c r="C109" s="13">
        <v>537573724</v>
      </c>
    </row>
    <row r="110" spans="1:3" x14ac:dyDescent="0.3">
      <c r="A110" s="5" t="s">
        <v>161</v>
      </c>
      <c r="B110" s="13">
        <v>1093413</v>
      </c>
      <c r="C110" s="13">
        <v>4896132</v>
      </c>
    </row>
    <row r="111" spans="1:3" x14ac:dyDescent="0.3">
      <c r="A111" s="5" t="s">
        <v>71</v>
      </c>
      <c r="B111" s="13">
        <v>79811552</v>
      </c>
      <c r="C111" s="13">
        <v>228068117</v>
      </c>
    </row>
    <row r="112" spans="1:3" x14ac:dyDescent="0.3">
      <c r="A112" s="5" t="s">
        <v>154</v>
      </c>
      <c r="B112" s="13">
        <v>3620</v>
      </c>
      <c r="C112" s="13">
        <v>5993</v>
      </c>
    </row>
    <row r="113" spans="1:3" x14ac:dyDescent="0.3">
      <c r="A113" s="5" t="s">
        <v>127</v>
      </c>
      <c r="B113" s="13">
        <v>39457</v>
      </c>
      <c r="C113" s="13">
        <v>47082</v>
      </c>
    </row>
    <row r="114" spans="1:3" x14ac:dyDescent="0.3">
      <c r="A114" s="5" t="s">
        <v>149</v>
      </c>
      <c r="B114" s="13">
        <v>3520404</v>
      </c>
      <c r="C114" s="13">
        <v>7741921</v>
      </c>
    </row>
    <row r="115" spans="1:3" x14ac:dyDescent="0.3">
      <c r="A115" s="5" t="s">
        <v>128</v>
      </c>
      <c r="B115" s="13">
        <v>417454</v>
      </c>
      <c r="C115" s="13">
        <v>87291</v>
      </c>
    </row>
    <row r="116" spans="1:3" x14ac:dyDescent="0.3">
      <c r="A116" s="5" t="s">
        <v>150</v>
      </c>
      <c r="B116" s="13">
        <v>549836</v>
      </c>
      <c r="C116" s="13">
        <v>41532</v>
      </c>
    </row>
    <row r="117" spans="1:3" x14ac:dyDescent="0.3">
      <c r="A117" s="5" t="s">
        <v>6</v>
      </c>
      <c r="B117" s="13"/>
      <c r="C117" s="13"/>
    </row>
    <row r="118" spans="1:3" x14ac:dyDescent="0.3">
      <c r="A118" s="5" t="s">
        <v>72</v>
      </c>
      <c r="B118" s="13">
        <v>3921046374</v>
      </c>
      <c r="C118" s="13">
        <v>7019941705</v>
      </c>
    </row>
    <row r="119" spans="1:3" x14ac:dyDescent="0.3">
      <c r="A119" s="5" t="s">
        <v>129</v>
      </c>
      <c r="B119" s="13">
        <v>33191</v>
      </c>
      <c r="C119" s="13">
        <v>40285</v>
      </c>
    </row>
    <row r="120" spans="1:3" x14ac:dyDescent="0.3">
      <c r="A120" s="5" t="s">
        <v>73</v>
      </c>
      <c r="B120" s="13">
        <v>1635857</v>
      </c>
      <c r="C120" s="13">
        <v>67451</v>
      </c>
    </row>
    <row r="121" spans="1:3" x14ac:dyDescent="0.3">
      <c r="A121" s="5" t="s">
        <v>74</v>
      </c>
      <c r="B121" s="13">
        <v>21999047</v>
      </c>
      <c r="C121" s="13">
        <v>31607083</v>
      </c>
    </row>
    <row r="122" spans="1:3" x14ac:dyDescent="0.3">
      <c r="A122" s="5" t="s">
        <v>75</v>
      </c>
      <c r="B122" s="13">
        <v>1528044</v>
      </c>
      <c r="C122" s="13">
        <v>753257</v>
      </c>
    </row>
    <row r="123" spans="1:3" x14ac:dyDescent="0.3">
      <c r="A123" s="5" t="s">
        <v>76</v>
      </c>
      <c r="B123" s="13">
        <v>120765729</v>
      </c>
      <c r="C123" s="13">
        <v>288387162</v>
      </c>
    </row>
    <row r="124" spans="1:3" x14ac:dyDescent="0.3">
      <c r="A124" s="5" t="s">
        <v>77</v>
      </c>
      <c r="B124" s="13">
        <v>636892949</v>
      </c>
      <c r="C124" s="13">
        <v>1358481787</v>
      </c>
    </row>
    <row r="125" spans="1:3" x14ac:dyDescent="0.3">
      <c r="A125" s="5" t="s">
        <v>78</v>
      </c>
      <c r="B125" s="13">
        <v>21559</v>
      </c>
      <c r="C125" s="13">
        <v>22139</v>
      </c>
    </row>
    <row r="126" spans="1:3" x14ac:dyDescent="0.3">
      <c r="A126" s="5" t="s">
        <v>79</v>
      </c>
      <c r="B126" s="13">
        <v>147427150</v>
      </c>
      <c r="C126" s="13">
        <v>334812616</v>
      </c>
    </row>
    <row r="127" spans="1:3" x14ac:dyDescent="0.3">
      <c r="A127" s="5" t="s">
        <v>80</v>
      </c>
      <c r="B127" s="13">
        <v>82722764</v>
      </c>
      <c r="C127" s="13">
        <v>191398767</v>
      </c>
    </row>
    <row r="128" spans="1:3" x14ac:dyDescent="0.3">
      <c r="A128" s="5" t="s">
        <v>81</v>
      </c>
      <c r="B128" s="13">
        <v>95450</v>
      </c>
      <c r="C128" s="13">
        <v>78583</v>
      </c>
    </row>
    <row r="129" spans="1:3" x14ac:dyDescent="0.3">
      <c r="A129" s="5" t="s">
        <v>82</v>
      </c>
      <c r="B129" s="13">
        <v>121777830</v>
      </c>
      <c r="C129" s="13">
        <v>400538231</v>
      </c>
    </row>
    <row r="130" spans="1:3" x14ac:dyDescent="0.3">
      <c r="A130" s="5" t="s">
        <v>83</v>
      </c>
      <c r="B130" s="13">
        <v>307379726</v>
      </c>
      <c r="C130" s="13">
        <v>692796583</v>
      </c>
    </row>
    <row r="131" spans="1:3" x14ac:dyDescent="0.3">
      <c r="A131" s="5" t="s">
        <v>140</v>
      </c>
      <c r="B131" s="13">
        <v>1489</v>
      </c>
      <c r="C131" s="13">
        <v>1010</v>
      </c>
    </row>
    <row r="132" spans="1:3" x14ac:dyDescent="0.3">
      <c r="A132" s="5" t="s">
        <v>84</v>
      </c>
      <c r="B132" s="13">
        <v>124469</v>
      </c>
      <c r="C132" s="13">
        <v>68958</v>
      </c>
    </row>
    <row r="133" spans="1:3" x14ac:dyDescent="0.3">
      <c r="A133" s="5" t="s">
        <v>85</v>
      </c>
      <c r="B133" s="13">
        <v>1220058318</v>
      </c>
      <c r="C133" s="13">
        <v>1206834550</v>
      </c>
    </row>
    <row r="134" spans="1:3" x14ac:dyDescent="0.3">
      <c r="A134" s="5" t="s">
        <v>86</v>
      </c>
      <c r="B134" s="13">
        <v>354585332</v>
      </c>
      <c r="C134" s="13">
        <v>817299760</v>
      </c>
    </row>
    <row r="135" spans="1:3" x14ac:dyDescent="0.3">
      <c r="A135" s="5" t="s">
        <v>87</v>
      </c>
      <c r="B135" s="13">
        <v>26487169</v>
      </c>
      <c r="C135" s="13">
        <v>63930624</v>
      </c>
    </row>
    <row r="136" spans="1:3" x14ac:dyDescent="0.3">
      <c r="A136" s="5" t="s">
        <v>88</v>
      </c>
      <c r="B136" s="13">
        <v>219167162</v>
      </c>
      <c r="C136" s="13">
        <v>536110026</v>
      </c>
    </row>
    <row r="137" spans="1:3" x14ac:dyDescent="0.3">
      <c r="A137" s="5" t="s">
        <v>89</v>
      </c>
      <c r="B137" s="13">
        <v>38480280</v>
      </c>
      <c r="C137" s="13">
        <v>91542248</v>
      </c>
    </row>
    <row r="138" spans="1:3" x14ac:dyDescent="0.3">
      <c r="A138" s="5" t="s">
        <v>90</v>
      </c>
      <c r="B138" s="13">
        <v>24402</v>
      </c>
      <c r="C138" s="13">
        <v>21230</v>
      </c>
    </row>
    <row r="139" spans="1:3" x14ac:dyDescent="0.3">
      <c r="A139" s="5" t="s">
        <v>130</v>
      </c>
      <c r="B139" s="13">
        <v>3545111</v>
      </c>
      <c r="C139" s="13">
        <v>412406</v>
      </c>
    </row>
    <row r="140" spans="1:3" x14ac:dyDescent="0.3">
      <c r="A140" s="5" t="s">
        <v>91</v>
      </c>
      <c r="B140" s="13">
        <v>20730058</v>
      </c>
      <c r="C140" s="13">
        <v>47250011</v>
      </c>
    </row>
    <row r="141" spans="1:3" x14ac:dyDescent="0.3">
      <c r="A141" s="5" t="s">
        <v>92</v>
      </c>
      <c r="B141" s="13">
        <v>224373240</v>
      </c>
      <c r="C141" s="13">
        <v>497331561</v>
      </c>
    </row>
    <row r="142" spans="1:3" x14ac:dyDescent="0.3">
      <c r="A142" s="5" t="s">
        <v>93</v>
      </c>
      <c r="B142" s="13">
        <v>102204265</v>
      </c>
      <c r="C142" s="13">
        <v>15222899</v>
      </c>
    </row>
    <row r="143" spans="1:3" x14ac:dyDescent="0.3">
      <c r="A143" s="5" t="s">
        <v>148</v>
      </c>
      <c r="B143" s="13">
        <v>73704140</v>
      </c>
      <c r="C143" s="13">
        <v>183551890</v>
      </c>
    </row>
    <row r="144" spans="1:3" x14ac:dyDescent="0.3">
      <c r="A144" s="5" t="s">
        <v>141</v>
      </c>
      <c r="B144" s="13" t="s">
        <v>114</v>
      </c>
      <c r="C144" s="13" t="s">
        <v>114</v>
      </c>
    </row>
    <row r="145" spans="1:3" x14ac:dyDescent="0.3">
      <c r="A145" s="5" t="s">
        <v>131</v>
      </c>
      <c r="B145" s="13">
        <v>36744491</v>
      </c>
      <c r="C145" s="13">
        <v>93782374</v>
      </c>
    </row>
    <row r="146" spans="1:3" x14ac:dyDescent="0.3">
      <c r="A146" s="5" t="s">
        <v>94</v>
      </c>
      <c r="B146" s="13">
        <v>13694162</v>
      </c>
      <c r="C146" s="13">
        <v>33119626</v>
      </c>
    </row>
    <row r="147" spans="1:3" x14ac:dyDescent="0.3">
      <c r="A147" s="5" t="s">
        <v>132</v>
      </c>
      <c r="B147" s="13">
        <v>16365</v>
      </c>
      <c r="C147" s="13">
        <v>11936</v>
      </c>
    </row>
    <row r="148" spans="1:3" x14ac:dyDescent="0.3">
      <c r="A148" s="5" t="s">
        <v>95</v>
      </c>
      <c r="B148" s="13">
        <v>99978045</v>
      </c>
      <c r="C148" s="13">
        <v>51209111</v>
      </c>
    </row>
    <row r="149" spans="1:3" x14ac:dyDescent="0.3">
      <c r="A149" s="5" t="s">
        <v>96</v>
      </c>
      <c r="B149" s="13">
        <v>393731</v>
      </c>
      <c r="C149" s="13">
        <v>110485</v>
      </c>
    </row>
    <row r="150" spans="1:3" x14ac:dyDescent="0.3">
      <c r="A150" s="5" t="s">
        <v>133</v>
      </c>
      <c r="B150" s="13">
        <v>15391</v>
      </c>
      <c r="C150" s="13">
        <v>23095</v>
      </c>
    </row>
    <row r="151" spans="1:3" x14ac:dyDescent="0.3">
      <c r="A151" s="5" t="s">
        <v>97</v>
      </c>
      <c r="B151" s="13">
        <v>127170</v>
      </c>
      <c r="C151" s="13">
        <v>126289</v>
      </c>
    </row>
    <row r="152" spans="1:3" x14ac:dyDescent="0.3">
      <c r="A152" s="5" t="s">
        <v>142</v>
      </c>
      <c r="B152" s="13">
        <v>8634500</v>
      </c>
      <c r="C152" s="13">
        <v>932564</v>
      </c>
    </row>
    <row r="153" spans="1:3" x14ac:dyDescent="0.3">
      <c r="A153" s="5" t="s">
        <v>143</v>
      </c>
      <c r="B153" s="13">
        <v>33347432</v>
      </c>
      <c r="C153" s="13">
        <v>81565013</v>
      </c>
    </row>
    <row r="154" spans="1:3" x14ac:dyDescent="0.3">
      <c r="A154" s="5" t="s">
        <v>98</v>
      </c>
      <c r="B154" s="13">
        <v>87289</v>
      </c>
      <c r="C154" s="13">
        <v>109243</v>
      </c>
    </row>
    <row r="155" spans="1:3" x14ac:dyDescent="0.3">
      <c r="A155" s="5" t="s">
        <v>99</v>
      </c>
      <c r="B155" s="13">
        <v>2177149</v>
      </c>
      <c r="C155" s="13">
        <v>336100</v>
      </c>
    </row>
    <row r="156" spans="1:3" x14ac:dyDescent="0.3">
      <c r="A156" s="5" t="s">
        <v>111</v>
      </c>
      <c r="B156" s="13">
        <v>19350</v>
      </c>
      <c r="C156" s="13">
        <v>21155</v>
      </c>
    </row>
    <row r="157" spans="1:3" x14ac:dyDescent="0.3">
      <c r="A157" s="5" t="s">
        <v>100</v>
      </c>
      <c r="B157" s="13">
        <v>46568</v>
      </c>
      <c r="C157" s="13">
        <v>33597</v>
      </c>
    </row>
    <row r="158" spans="1:3" x14ac:dyDescent="0.3">
      <c r="A158" s="5" t="s">
        <v>6</v>
      </c>
      <c r="B158" s="13"/>
      <c r="C158" s="13"/>
    </row>
    <row r="159" spans="1:3" x14ac:dyDescent="0.3">
      <c r="A159" s="5" t="s">
        <v>101</v>
      </c>
      <c r="B159" s="13">
        <v>82418679</v>
      </c>
      <c r="C159" s="13">
        <v>171182417</v>
      </c>
    </row>
    <row r="160" spans="1:3" x14ac:dyDescent="0.3">
      <c r="A160" s="5" t="s">
        <v>102</v>
      </c>
      <c r="B160" s="13">
        <v>68008771</v>
      </c>
      <c r="C160" s="13">
        <v>134224225</v>
      </c>
    </row>
    <row r="161" spans="1:3" x14ac:dyDescent="0.3">
      <c r="A161" s="5" t="s">
        <v>103</v>
      </c>
      <c r="B161" s="13">
        <v>14409908</v>
      </c>
      <c r="C161" s="13">
        <v>36958192</v>
      </c>
    </row>
    <row r="162" spans="1:3" x14ac:dyDescent="0.3">
      <c r="A162" s="5" t="s">
        <v>6</v>
      </c>
      <c r="B162" s="13"/>
      <c r="C162" s="13"/>
    </row>
    <row r="163" spans="1:3" x14ac:dyDescent="0.3">
      <c r="A163" s="5" t="s">
        <v>104</v>
      </c>
      <c r="B163" s="13">
        <v>49552756</v>
      </c>
      <c r="C163" s="13">
        <v>77267763</v>
      </c>
    </row>
    <row r="164" spans="1:3" x14ac:dyDescent="0.3">
      <c r="A164" s="5" t="s">
        <v>105</v>
      </c>
      <c r="B164" s="13">
        <v>16477316</v>
      </c>
      <c r="C164" s="13">
        <v>23175809</v>
      </c>
    </row>
    <row r="165" spans="1:3" x14ac:dyDescent="0.3">
      <c r="A165" s="5" t="s">
        <v>106</v>
      </c>
      <c r="B165" s="13">
        <v>33075440</v>
      </c>
      <c r="C165" s="13">
        <v>54091954</v>
      </c>
    </row>
    <row r="166" spans="1:3" ht="24" customHeight="1" x14ac:dyDescent="0.3">
      <c r="A166" s="17" t="s">
        <v>107</v>
      </c>
      <c r="B166" s="17"/>
      <c r="C166" s="17"/>
    </row>
    <row r="167" spans="1:3" x14ac:dyDescent="0.3">
      <c r="A167" s="10" t="s">
        <v>108</v>
      </c>
      <c r="B167" s="11"/>
      <c r="C167" s="11"/>
    </row>
    <row r="168" spans="1:3" x14ac:dyDescent="0.3">
      <c r="A168" s="12" t="s">
        <v>112</v>
      </c>
      <c r="B168" s="11"/>
      <c r="C168" s="11"/>
    </row>
    <row r="169" spans="1:3" x14ac:dyDescent="0.3">
      <c r="A169" s="10" t="s">
        <v>109</v>
      </c>
      <c r="B169" s="11"/>
      <c r="C169" s="11"/>
    </row>
  </sheetData>
  <mergeCells count="3">
    <mergeCell ref="B4:C4"/>
    <mergeCell ref="A1:C2"/>
    <mergeCell ref="A166:C16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 2021_Destino</vt:lpstr>
      <vt:lpstr>Ene-Feb 2021_Destino</vt:lpstr>
      <vt:lpstr>Ene-Mar 2021_Destino</vt:lpstr>
      <vt:lpstr>Ene-Abr 2021_Destino</vt:lpstr>
      <vt:lpstr>Ene-May 2021_Destino</vt:lpstr>
      <vt:lpstr>Ene-Jun 2021_Destino</vt:lpstr>
      <vt:lpstr>Ene-Jul 2021_Destino</vt:lpstr>
      <vt:lpstr>Ene-Ago 2021_Destino</vt:lpstr>
      <vt:lpstr>Ene-Sep 2021_Destino</vt:lpstr>
      <vt:lpstr>Ene-Oct 2021_Destino</vt:lpstr>
      <vt:lpstr>Ene-Nov 2021_Destino</vt:lpstr>
      <vt:lpstr>Ene-Dic 2021_Destino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Yamila Sonder</cp:lastModifiedBy>
  <dcterms:created xsi:type="dcterms:W3CDTF">2019-02-18T14:27:13Z</dcterms:created>
  <dcterms:modified xsi:type="dcterms:W3CDTF">2026-01-13T02:16:42Z</dcterms:modified>
</cp:coreProperties>
</file>