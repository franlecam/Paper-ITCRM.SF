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sitorios\Paper-ITCRM.SF\Archivos de trabajo\Yami\ALL COUNTRIES\"/>
    </mc:Choice>
  </mc:AlternateContent>
  <xr:revisionPtr revIDLastSave="0" documentId="13_ncr:1_{E5F9B13C-AE78-4C53-8968-E1BF24AD162A}" xr6:coauthVersionLast="47" xr6:coauthVersionMax="47" xr10:uidLastSave="{00000000-0000-0000-0000-000000000000}"/>
  <bookViews>
    <workbookView xWindow="-120" yWindow="-120" windowWidth="29040" windowHeight="15720" tabRatio="881" activeTab="8" xr2:uid="{00000000-000D-0000-FFFF-FFFF00000000}"/>
  </bookViews>
  <sheets>
    <sheet name="2024" sheetId="33" r:id="rId1"/>
    <sheet name="Hoja1" sheetId="34" r:id="rId2"/>
    <sheet name="2023" sheetId="32" r:id="rId3"/>
    <sheet name="2022" sheetId="31" r:id="rId4"/>
    <sheet name="2021" sheetId="26" r:id="rId5"/>
    <sheet name="2020" sheetId="27" r:id="rId6"/>
    <sheet name="2019" sheetId="28" r:id="rId7"/>
    <sheet name="2018" sheetId="29" r:id="rId8"/>
    <sheet name="2017" sheetId="30" r:id="rId9"/>
    <sheet name="2016" sheetId="16" r:id="rId10"/>
    <sheet name="2015" sheetId="15" r:id="rId11"/>
    <sheet name="2014" sheetId="14" r:id="rId12"/>
    <sheet name="2013" sheetId="13" r:id="rId13"/>
    <sheet name="2012" sheetId="12" r:id="rId14"/>
    <sheet name="2011" sheetId="11" r:id="rId15"/>
    <sheet name="2010" sheetId="10" r:id="rId16"/>
    <sheet name="2009" sheetId="9" r:id="rId17"/>
    <sheet name="2008" sheetId="8" r:id="rId18"/>
    <sheet name="2007" sheetId="7" r:id="rId19"/>
    <sheet name="2006" sheetId="6" r:id="rId20"/>
    <sheet name="2005" sheetId="5" r:id="rId21"/>
    <sheet name="2004" sheetId="4" r:id="rId22"/>
    <sheet name="2003" sheetId="3" r:id="rId23"/>
    <sheet name="2002" sheetId="2" r:id="rId24"/>
    <sheet name="2001" sheetId="1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5" i="16" l="1"/>
  <c r="D154" i="16"/>
  <c r="D153" i="16"/>
  <c r="D152" i="16"/>
  <c r="D151" i="16"/>
  <c r="G150" i="16"/>
  <c r="D150" i="16"/>
  <c r="D149" i="16"/>
  <c r="D148" i="16"/>
  <c r="D147" i="16"/>
  <c r="G146" i="16"/>
  <c r="D146" i="16"/>
  <c r="D145" i="16"/>
  <c r="D144" i="16"/>
  <c r="D143" i="16"/>
  <c r="G142" i="16"/>
  <c r="D142" i="16"/>
  <c r="D141" i="16"/>
  <c r="D140" i="16"/>
  <c r="D139" i="16"/>
  <c r="G138" i="16"/>
  <c r="D138" i="16"/>
  <c r="D137" i="16"/>
  <c r="D136" i="16"/>
  <c r="D135" i="16"/>
  <c r="G134" i="16"/>
  <c r="D134" i="16"/>
  <c r="D133" i="16"/>
  <c r="D132" i="16"/>
  <c r="D131" i="16"/>
  <c r="G130" i="16"/>
  <c r="D130" i="16"/>
  <c r="D129" i="16"/>
  <c r="D128" i="16"/>
  <c r="D127" i="16"/>
  <c r="G126" i="16"/>
  <c r="D126" i="16"/>
  <c r="D125" i="16"/>
  <c r="D124" i="16"/>
  <c r="D123" i="16"/>
  <c r="G122" i="16"/>
  <c r="D122" i="16"/>
  <c r="D121" i="16"/>
  <c r="D120" i="16"/>
  <c r="D119" i="16"/>
  <c r="G118" i="16"/>
  <c r="D118" i="16"/>
  <c r="D117" i="16"/>
  <c r="D116" i="16"/>
  <c r="D115" i="16"/>
  <c r="G114" i="16"/>
  <c r="D114" i="16"/>
  <c r="D113" i="16"/>
  <c r="D112" i="16"/>
  <c r="D111" i="16"/>
  <c r="G110" i="16"/>
  <c r="D110" i="16"/>
  <c r="D109" i="16"/>
  <c r="D108" i="16"/>
  <c r="D107" i="16"/>
  <c r="G106" i="16"/>
  <c r="D106" i="16"/>
  <c r="D105" i="16"/>
  <c r="D104" i="16"/>
  <c r="D103" i="16"/>
  <c r="G102" i="16"/>
  <c r="D102" i="16"/>
  <c r="D101" i="16"/>
  <c r="D100" i="16"/>
  <c r="D99" i="16"/>
  <c r="G98" i="16"/>
  <c r="D98" i="16"/>
  <c r="D97" i="16"/>
  <c r="D96" i="16"/>
  <c r="D95" i="16"/>
  <c r="G94" i="16"/>
  <c r="D94" i="16"/>
  <c r="D93" i="16"/>
  <c r="D92" i="16"/>
  <c r="D91" i="16"/>
  <c r="G90" i="16"/>
  <c r="D90" i="16"/>
  <c r="D89" i="16"/>
  <c r="D88" i="16"/>
  <c r="D87" i="16"/>
  <c r="G86" i="16"/>
  <c r="D86" i="16"/>
  <c r="D85" i="16"/>
  <c r="D84" i="16"/>
  <c r="D83" i="16"/>
  <c r="G82" i="16"/>
  <c r="D82" i="16"/>
  <c r="D81" i="16"/>
  <c r="D80" i="16"/>
  <c r="D79" i="16"/>
  <c r="G78" i="16"/>
  <c r="D78" i="16"/>
  <c r="D77" i="16"/>
  <c r="D76" i="16"/>
  <c r="D75" i="16"/>
  <c r="G74" i="16"/>
  <c r="D74" i="16"/>
  <c r="D73" i="16"/>
  <c r="D72" i="16"/>
  <c r="D71" i="16"/>
  <c r="G70" i="16"/>
  <c r="D70" i="16"/>
  <c r="D69" i="16"/>
  <c r="D68" i="16"/>
  <c r="D67" i="16"/>
  <c r="G66" i="16"/>
  <c r="D66" i="16"/>
  <c r="D65" i="16"/>
  <c r="D64" i="16"/>
  <c r="D63" i="16"/>
  <c r="G62" i="16"/>
  <c r="D62" i="16"/>
  <c r="D61" i="16"/>
  <c r="D60" i="16"/>
  <c r="D59" i="16"/>
  <c r="G58" i="16"/>
  <c r="D58" i="16"/>
  <c r="D57" i="16"/>
  <c r="D56" i="16"/>
  <c r="D55" i="16"/>
  <c r="G54" i="16"/>
  <c r="D54" i="16"/>
  <c r="D53" i="16"/>
  <c r="D52" i="16"/>
  <c r="D51" i="16"/>
  <c r="G50" i="16"/>
  <c r="D50" i="16"/>
  <c r="D49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D31" i="16"/>
  <c r="D30" i="16"/>
  <c r="D29" i="16"/>
  <c r="D28" i="16"/>
  <c r="D27" i="16"/>
  <c r="D26" i="16"/>
  <c r="D25" i="16"/>
  <c r="D24" i="16"/>
  <c r="D23" i="16"/>
  <c r="D22" i="16"/>
  <c r="D21" i="16"/>
  <c r="D20" i="16"/>
  <c r="D19" i="16"/>
  <c r="D18" i="16"/>
  <c r="D17" i="16"/>
  <c r="D16" i="16"/>
  <c r="D15" i="16"/>
  <c r="D14" i="16"/>
  <c r="D13" i="16"/>
  <c r="D12" i="16"/>
  <c r="D11" i="16"/>
  <c r="F10" i="16" a="1"/>
  <c r="D10" i="16"/>
  <c r="D155" i="15"/>
  <c r="D154" i="15"/>
  <c r="D153" i="15"/>
  <c r="D152" i="15"/>
  <c r="D151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D128" i="15"/>
  <c r="D127" i="15"/>
  <c r="D126" i="15"/>
  <c r="D125" i="15"/>
  <c r="D124" i="15"/>
  <c r="D123" i="15"/>
  <c r="D122" i="15"/>
  <c r="D121" i="15"/>
  <c r="D120" i="15"/>
  <c r="D119" i="15"/>
  <c r="D118" i="15"/>
  <c r="D117" i="15"/>
  <c r="D116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D91" i="15"/>
  <c r="D90" i="15"/>
  <c r="D89" i="15"/>
  <c r="D88" i="15"/>
  <c r="D87" i="15"/>
  <c r="D86" i="15"/>
  <c r="D85" i="15"/>
  <c r="D84" i="15"/>
  <c r="D83" i="15"/>
  <c r="D82" i="15"/>
  <c r="D81" i="15"/>
  <c r="D80" i="15"/>
  <c r="D79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F10" i="15" a="1"/>
  <c r="D10" i="15"/>
  <c r="D155" i="14"/>
  <c r="D154" i="14"/>
  <c r="D153" i="14"/>
  <c r="D152" i="14"/>
  <c r="D151" i="14"/>
  <c r="D150" i="14"/>
  <c r="D149" i="14"/>
  <c r="D148" i="14"/>
  <c r="D147" i="14"/>
  <c r="D146" i="14"/>
  <c r="D145" i="14"/>
  <c r="D144" i="14"/>
  <c r="D143" i="14"/>
  <c r="D142" i="14"/>
  <c r="D141" i="14"/>
  <c r="D140" i="14"/>
  <c r="D139" i="14"/>
  <c r="D138" i="14"/>
  <c r="D137" i="14"/>
  <c r="D136" i="14"/>
  <c r="D135" i="14"/>
  <c r="D134" i="14"/>
  <c r="D133" i="14"/>
  <c r="D132" i="14"/>
  <c r="D131" i="14"/>
  <c r="D130" i="14"/>
  <c r="D129" i="14"/>
  <c r="D128" i="14"/>
  <c r="D127" i="14"/>
  <c r="D126" i="14"/>
  <c r="D125" i="14"/>
  <c r="D124" i="14"/>
  <c r="D123" i="14"/>
  <c r="D122" i="14"/>
  <c r="D121" i="14"/>
  <c r="D120" i="14"/>
  <c r="D119" i="14"/>
  <c r="D118" i="14"/>
  <c r="D117" i="14"/>
  <c r="D116" i="14"/>
  <c r="D115" i="14"/>
  <c r="D114" i="14"/>
  <c r="D113" i="14"/>
  <c r="D112" i="14"/>
  <c r="D111" i="14"/>
  <c r="D110" i="14"/>
  <c r="D109" i="14"/>
  <c r="D108" i="14"/>
  <c r="D107" i="14"/>
  <c r="D106" i="14"/>
  <c r="D105" i="14"/>
  <c r="D104" i="14"/>
  <c r="D103" i="14"/>
  <c r="D102" i="14"/>
  <c r="D101" i="14"/>
  <c r="D100" i="14"/>
  <c r="D99" i="14"/>
  <c r="D98" i="14"/>
  <c r="D97" i="14"/>
  <c r="D96" i="14"/>
  <c r="D95" i="14"/>
  <c r="D94" i="14"/>
  <c r="D93" i="14"/>
  <c r="D92" i="14"/>
  <c r="D91" i="14"/>
  <c r="D90" i="14"/>
  <c r="D89" i="14"/>
  <c r="D88" i="14"/>
  <c r="D87" i="14"/>
  <c r="D86" i="14"/>
  <c r="D85" i="14"/>
  <c r="D84" i="14"/>
  <c r="D83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D69" i="14"/>
  <c r="D68" i="14"/>
  <c r="D67" i="14"/>
  <c r="D66" i="14"/>
  <c r="D65" i="14"/>
  <c r="D64" i="14"/>
  <c r="D63" i="14"/>
  <c r="D62" i="14"/>
  <c r="D61" i="14"/>
  <c r="D60" i="14"/>
  <c r="D59" i="14"/>
  <c r="D58" i="14"/>
  <c r="D57" i="14"/>
  <c r="D56" i="14"/>
  <c r="D55" i="14"/>
  <c r="D54" i="14"/>
  <c r="D53" i="14"/>
  <c r="D52" i="14"/>
  <c r="D51" i="14"/>
  <c r="D50" i="14"/>
  <c r="D49" i="14"/>
  <c r="D48" i="14"/>
  <c r="D47" i="14"/>
  <c r="D46" i="14"/>
  <c r="D45" i="14"/>
  <c r="D44" i="14"/>
  <c r="D43" i="14"/>
  <c r="D42" i="14"/>
  <c r="D41" i="14"/>
  <c r="D40" i="14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F10" i="14" a="1"/>
  <c r="D10" i="14"/>
  <c r="D155" i="13"/>
  <c r="D154" i="13"/>
  <c r="D153" i="13"/>
  <c r="D152" i="13"/>
  <c r="D151" i="13"/>
  <c r="D150" i="13"/>
  <c r="D149" i="13"/>
  <c r="D148" i="13"/>
  <c r="D147" i="13"/>
  <c r="D146" i="13"/>
  <c r="D145" i="13"/>
  <c r="D144" i="13"/>
  <c r="D143" i="13"/>
  <c r="D142" i="13"/>
  <c r="D141" i="13"/>
  <c r="D140" i="13"/>
  <c r="D139" i="13"/>
  <c r="D138" i="13"/>
  <c r="D137" i="13"/>
  <c r="D136" i="13"/>
  <c r="D135" i="13"/>
  <c r="D134" i="13"/>
  <c r="D133" i="13"/>
  <c r="D132" i="13"/>
  <c r="D131" i="13"/>
  <c r="D130" i="13"/>
  <c r="D129" i="13"/>
  <c r="D128" i="13"/>
  <c r="D127" i="13"/>
  <c r="D126" i="13"/>
  <c r="D125" i="13"/>
  <c r="D124" i="13"/>
  <c r="D123" i="13"/>
  <c r="D122" i="13"/>
  <c r="D121" i="13"/>
  <c r="D120" i="13"/>
  <c r="D119" i="13"/>
  <c r="D118" i="13"/>
  <c r="D117" i="13"/>
  <c r="D116" i="13"/>
  <c r="D115" i="13"/>
  <c r="D114" i="13"/>
  <c r="D113" i="13"/>
  <c r="D112" i="13"/>
  <c r="D111" i="13"/>
  <c r="D110" i="13"/>
  <c r="D109" i="13"/>
  <c r="D108" i="13"/>
  <c r="D107" i="13"/>
  <c r="D106" i="13"/>
  <c r="D105" i="13"/>
  <c r="D104" i="13"/>
  <c r="D103" i="13"/>
  <c r="D102" i="13"/>
  <c r="D101" i="13"/>
  <c r="D100" i="13"/>
  <c r="D99" i="13"/>
  <c r="D98" i="13"/>
  <c r="D97" i="13"/>
  <c r="D96" i="13"/>
  <c r="D95" i="13"/>
  <c r="D94" i="13"/>
  <c r="D93" i="13"/>
  <c r="D92" i="13"/>
  <c r="D91" i="13"/>
  <c r="D90" i="13"/>
  <c r="D89" i="13"/>
  <c r="D88" i="13"/>
  <c r="D87" i="13"/>
  <c r="D86" i="13"/>
  <c r="D85" i="13"/>
  <c r="D84" i="13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F10" i="13" a="1"/>
  <c r="G149" i="13" s="1"/>
  <c r="D10" i="13"/>
  <c r="D155" i="12"/>
  <c r="D154" i="12"/>
  <c r="D153" i="12"/>
  <c r="D152" i="12"/>
  <c r="D151" i="12"/>
  <c r="D150" i="12"/>
  <c r="D149" i="12"/>
  <c r="D148" i="12"/>
  <c r="D147" i="12"/>
  <c r="D146" i="12"/>
  <c r="D145" i="12"/>
  <c r="D144" i="12"/>
  <c r="D143" i="12"/>
  <c r="D142" i="12"/>
  <c r="D141" i="12"/>
  <c r="D140" i="12"/>
  <c r="D139" i="12"/>
  <c r="D138" i="12"/>
  <c r="D137" i="12"/>
  <c r="D136" i="12"/>
  <c r="D135" i="12"/>
  <c r="D134" i="12"/>
  <c r="D133" i="12"/>
  <c r="D132" i="12"/>
  <c r="D131" i="12"/>
  <c r="D130" i="12"/>
  <c r="D129" i="12"/>
  <c r="D128" i="12"/>
  <c r="D127" i="12"/>
  <c r="D126" i="12"/>
  <c r="D125" i="12"/>
  <c r="D124" i="12"/>
  <c r="D123" i="12"/>
  <c r="D122" i="12"/>
  <c r="D121" i="12"/>
  <c r="D120" i="12"/>
  <c r="D119" i="12"/>
  <c r="D118" i="12"/>
  <c r="D117" i="12"/>
  <c r="D116" i="12"/>
  <c r="D115" i="12"/>
  <c r="D114" i="12"/>
  <c r="D113" i="12"/>
  <c r="D112" i="12"/>
  <c r="D111" i="12"/>
  <c r="D110" i="12"/>
  <c r="D109" i="12"/>
  <c r="D108" i="12"/>
  <c r="D107" i="12"/>
  <c r="D106" i="12"/>
  <c r="D105" i="12"/>
  <c r="D104" i="12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F10" i="12" a="1"/>
  <c r="G149" i="12" s="1"/>
  <c r="D10" i="12"/>
  <c r="D155" i="11"/>
  <c r="D154" i="11"/>
  <c r="D153" i="11"/>
  <c r="D152" i="11"/>
  <c r="D151" i="11"/>
  <c r="D150" i="11"/>
  <c r="D149" i="11"/>
  <c r="D148" i="11"/>
  <c r="D147" i="11"/>
  <c r="D146" i="11"/>
  <c r="D145" i="11"/>
  <c r="D144" i="11"/>
  <c r="D143" i="11"/>
  <c r="D142" i="11"/>
  <c r="D141" i="11"/>
  <c r="D140" i="11"/>
  <c r="D139" i="11"/>
  <c r="D138" i="11"/>
  <c r="D137" i="11"/>
  <c r="D136" i="11"/>
  <c r="D135" i="11"/>
  <c r="D134" i="11"/>
  <c r="D133" i="11"/>
  <c r="D132" i="11"/>
  <c r="D131" i="11"/>
  <c r="D130" i="11"/>
  <c r="D129" i="11"/>
  <c r="D128" i="11"/>
  <c r="D127" i="11"/>
  <c r="D126" i="11"/>
  <c r="D125" i="11"/>
  <c r="D124" i="11"/>
  <c r="D123" i="11"/>
  <c r="D122" i="11"/>
  <c r="D121" i="11"/>
  <c r="D120" i="11"/>
  <c r="D119" i="11"/>
  <c r="D118" i="11"/>
  <c r="D117" i="11"/>
  <c r="D116" i="11"/>
  <c r="D115" i="11"/>
  <c r="D114" i="11"/>
  <c r="D113" i="11"/>
  <c r="D112" i="11"/>
  <c r="D111" i="11"/>
  <c r="D110" i="11"/>
  <c r="D109" i="11"/>
  <c r="D108" i="11"/>
  <c r="D107" i="11"/>
  <c r="D106" i="11"/>
  <c r="D105" i="11"/>
  <c r="D104" i="11"/>
  <c r="D103" i="11"/>
  <c r="D102" i="11"/>
  <c r="D101" i="11"/>
  <c r="D100" i="11"/>
  <c r="D99" i="11"/>
  <c r="D98" i="11"/>
  <c r="D97" i="11"/>
  <c r="D96" i="11"/>
  <c r="D95" i="11"/>
  <c r="D94" i="11"/>
  <c r="D93" i="11"/>
  <c r="D92" i="11"/>
  <c r="D91" i="11"/>
  <c r="D90" i="11"/>
  <c r="D89" i="11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F10" i="11" a="1"/>
  <c r="D10" i="11"/>
  <c r="D155" i="10"/>
  <c r="D154" i="10"/>
  <c r="D153" i="10"/>
  <c r="D152" i="10"/>
  <c r="D151" i="10"/>
  <c r="G150" i="10"/>
  <c r="D150" i="10"/>
  <c r="D149" i="10"/>
  <c r="D148" i="10"/>
  <c r="D147" i="10"/>
  <c r="G146" i="10"/>
  <c r="D146" i="10"/>
  <c r="D145" i="10"/>
  <c r="D144" i="10"/>
  <c r="D143" i="10"/>
  <c r="G142" i="10"/>
  <c r="D142" i="10"/>
  <c r="D141" i="10"/>
  <c r="D140" i="10"/>
  <c r="D139" i="10"/>
  <c r="G138" i="10"/>
  <c r="D138" i="10"/>
  <c r="D137" i="10"/>
  <c r="D136" i="10"/>
  <c r="D135" i="10"/>
  <c r="G134" i="10"/>
  <c r="D134" i="10"/>
  <c r="D133" i="10"/>
  <c r="D132" i="10"/>
  <c r="D131" i="10"/>
  <c r="G130" i="10"/>
  <c r="D130" i="10"/>
  <c r="D129" i="10"/>
  <c r="D128" i="10"/>
  <c r="D127" i="10"/>
  <c r="G126" i="10"/>
  <c r="D126" i="10"/>
  <c r="D125" i="10"/>
  <c r="D124" i="10"/>
  <c r="D123" i="10"/>
  <c r="G122" i="10"/>
  <c r="D122" i="10"/>
  <c r="D121" i="10"/>
  <c r="D120" i="10"/>
  <c r="D119" i="10"/>
  <c r="G118" i="10"/>
  <c r="D118" i="10"/>
  <c r="D117" i="10"/>
  <c r="D116" i="10"/>
  <c r="D115" i="10"/>
  <c r="G114" i="10"/>
  <c r="D114" i="10"/>
  <c r="D113" i="10"/>
  <c r="D112" i="10"/>
  <c r="D111" i="10"/>
  <c r="G110" i="10"/>
  <c r="D110" i="10"/>
  <c r="D109" i="10"/>
  <c r="D108" i="10"/>
  <c r="D107" i="10"/>
  <c r="G106" i="10"/>
  <c r="D106" i="10"/>
  <c r="D105" i="10"/>
  <c r="D104" i="10"/>
  <c r="D103" i="10"/>
  <c r="G102" i="10"/>
  <c r="D102" i="10"/>
  <c r="D101" i="10"/>
  <c r="D100" i="10"/>
  <c r="D99" i="10"/>
  <c r="G98" i="10"/>
  <c r="D98" i="10"/>
  <c r="D97" i="10"/>
  <c r="D96" i="10"/>
  <c r="D95" i="10"/>
  <c r="G94" i="10"/>
  <c r="D94" i="10"/>
  <c r="D93" i="10"/>
  <c r="D92" i="10"/>
  <c r="D91" i="10"/>
  <c r="G90" i="10"/>
  <c r="D90" i="10"/>
  <c r="D89" i="10"/>
  <c r="D88" i="10"/>
  <c r="D87" i="10"/>
  <c r="G86" i="10"/>
  <c r="D86" i="10"/>
  <c r="D85" i="10"/>
  <c r="D84" i="10"/>
  <c r="D83" i="10"/>
  <c r="G82" i="10"/>
  <c r="D82" i="10"/>
  <c r="D81" i="10"/>
  <c r="D80" i="10"/>
  <c r="D79" i="10"/>
  <c r="G78" i="10"/>
  <c r="D78" i="10"/>
  <c r="D77" i="10"/>
  <c r="D76" i="10"/>
  <c r="D75" i="10"/>
  <c r="G74" i="10"/>
  <c r="D74" i="10"/>
  <c r="D73" i="10"/>
  <c r="D72" i="10"/>
  <c r="D71" i="10"/>
  <c r="G70" i="10"/>
  <c r="D70" i="10"/>
  <c r="D69" i="10"/>
  <c r="D68" i="10"/>
  <c r="D67" i="10"/>
  <c r="G66" i="10"/>
  <c r="D66" i="10"/>
  <c r="D65" i="10"/>
  <c r="D64" i="10"/>
  <c r="D63" i="10"/>
  <c r="G62" i="10"/>
  <c r="D62" i="10"/>
  <c r="D61" i="10"/>
  <c r="D60" i="10"/>
  <c r="D59" i="10"/>
  <c r="G58" i="10"/>
  <c r="D58" i="10"/>
  <c r="D57" i="10"/>
  <c r="D56" i="10"/>
  <c r="D55" i="10"/>
  <c r="G54" i="10"/>
  <c r="D54" i="10"/>
  <c r="D53" i="10"/>
  <c r="D52" i="10"/>
  <c r="D51" i="10"/>
  <c r="G50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F10" i="10" a="1"/>
  <c r="D10" i="10"/>
  <c r="D155" i="9"/>
  <c r="D154" i="9"/>
  <c r="D153" i="9"/>
  <c r="D152" i="9"/>
  <c r="D151" i="9"/>
  <c r="G150" i="9"/>
  <c r="D150" i="9"/>
  <c r="D149" i="9"/>
  <c r="D148" i="9"/>
  <c r="D147" i="9"/>
  <c r="G146" i="9"/>
  <c r="D146" i="9"/>
  <c r="D145" i="9"/>
  <c r="D144" i="9"/>
  <c r="D143" i="9"/>
  <c r="G142" i="9"/>
  <c r="D142" i="9"/>
  <c r="D141" i="9"/>
  <c r="D140" i="9"/>
  <c r="D139" i="9"/>
  <c r="G138" i="9"/>
  <c r="D138" i="9"/>
  <c r="D137" i="9"/>
  <c r="D136" i="9"/>
  <c r="D135" i="9"/>
  <c r="G134" i="9"/>
  <c r="D134" i="9"/>
  <c r="D133" i="9"/>
  <c r="D132" i="9"/>
  <c r="D131" i="9"/>
  <c r="G130" i="9"/>
  <c r="D130" i="9"/>
  <c r="D129" i="9"/>
  <c r="D128" i="9"/>
  <c r="D127" i="9"/>
  <c r="G126" i="9"/>
  <c r="D126" i="9"/>
  <c r="D125" i="9"/>
  <c r="D124" i="9"/>
  <c r="D123" i="9"/>
  <c r="G122" i="9"/>
  <c r="D122" i="9"/>
  <c r="D121" i="9"/>
  <c r="D120" i="9"/>
  <c r="D119" i="9"/>
  <c r="G118" i="9"/>
  <c r="D118" i="9"/>
  <c r="D117" i="9"/>
  <c r="D116" i="9"/>
  <c r="D115" i="9"/>
  <c r="G114" i="9"/>
  <c r="D114" i="9"/>
  <c r="D113" i="9"/>
  <c r="D112" i="9"/>
  <c r="D111" i="9"/>
  <c r="G110" i="9"/>
  <c r="D110" i="9"/>
  <c r="D109" i="9"/>
  <c r="D108" i="9"/>
  <c r="D107" i="9"/>
  <c r="G106" i="9"/>
  <c r="D106" i="9"/>
  <c r="D105" i="9"/>
  <c r="D104" i="9"/>
  <c r="D103" i="9"/>
  <c r="G102" i="9"/>
  <c r="D102" i="9"/>
  <c r="D101" i="9"/>
  <c r="D100" i="9"/>
  <c r="D99" i="9"/>
  <c r="G98" i="9"/>
  <c r="D98" i="9"/>
  <c r="D97" i="9"/>
  <c r="D96" i="9"/>
  <c r="D95" i="9"/>
  <c r="G94" i="9"/>
  <c r="D94" i="9"/>
  <c r="D93" i="9"/>
  <c r="D92" i="9"/>
  <c r="D91" i="9"/>
  <c r="G90" i="9"/>
  <c r="D90" i="9"/>
  <c r="D89" i="9"/>
  <c r="D88" i="9"/>
  <c r="D87" i="9"/>
  <c r="G86" i="9"/>
  <c r="D86" i="9"/>
  <c r="D85" i="9"/>
  <c r="D84" i="9"/>
  <c r="D83" i="9"/>
  <c r="G82" i="9"/>
  <c r="D82" i="9"/>
  <c r="D81" i="9"/>
  <c r="D80" i="9"/>
  <c r="D79" i="9"/>
  <c r="G78" i="9"/>
  <c r="D78" i="9"/>
  <c r="D77" i="9"/>
  <c r="D76" i="9"/>
  <c r="D75" i="9"/>
  <c r="G74" i="9"/>
  <c r="D74" i="9"/>
  <c r="D73" i="9"/>
  <c r="D72" i="9"/>
  <c r="D71" i="9"/>
  <c r="G70" i="9"/>
  <c r="D70" i="9"/>
  <c r="D69" i="9"/>
  <c r="D68" i="9"/>
  <c r="D67" i="9"/>
  <c r="G66" i="9"/>
  <c r="D66" i="9"/>
  <c r="D65" i="9"/>
  <c r="D64" i="9"/>
  <c r="D63" i="9"/>
  <c r="G62" i="9"/>
  <c r="D62" i="9"/>
  <c r="D61" i="9"/>
  <c r="D60" i="9"/>
  <c r="D59" i="9"/>
  <c r="G58" i="9"/>
  <c r="D58" i="9"/>
  <c r="D57" i="9"/>
  <c r="D56" i="9"/>
  <c r="D55" i="9"/>
  <c r="G54" i="9"/>
  <c r="D54" i="9"/>
  <c r="D53" i="9"/>
  <c r="D52" i="9"/>
  <c r="D51" i="9"/>
  <c r="G50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F10" i="9" a="1"/>
  <c r="D10" i="9"/>
  <c r="D155" i="8"/>
  <c r="D154" i="8"/>
  <c r="D153" i="8"/>
  <c r="D152" i="8"/>
  <c r="D151" i="8"/>
  <c r="G150" i="8"/>
  <c r="D150" i="8"/>
  <c r="D149" i="8"/>
  <c r="D148" i="8"/>
  <c r="D147" i="8"/>
  <c r="G146" i="8"/>
  <c r="D146" i="8"/>
  <c r="D145" i="8"/>
  <c r="D144" i="8"/>
  <c r="D143" i="8"/>
  <c r="G142" i="8"/>
  <c r="D142" i="8"/>
  <c r="D141" i="8"/>
  <c r="D140" i="8"/>
  <c r="D139" i="8"/>
  <c r="G138" i="8"/>
  <c r="D138" i="8"/>
  <c r="D137" i="8"/>
  <c r="D136" i="8"/>
  <c r="D135" i="8"/>
  <c r="G134" i="8"/>
  <c r="D134" i="8"/>
  <c r="D133" i="8"/>
  <c r="D132" i="8"/>
  <c r="D131" i="8"/>
  <c r="G130" i="8"/>
  <c r="D130" i="8"/>
  <c r="D129" i="8"/>
  <c r="D128" i="8"/>
  <c r="D127" i="8"/>
  <c r="G126" i="8"/>
  <c r="D126" i="8"/>
  <c r="D125" i="8"/>
  <c r="D124" i="8"/>
  <c r="D123" i="8"/>
  <c r="G122" i="8"/>
  <c r="D122" i="8"/>
  <c r="D121" i="8"/>
  <c r="D120" i="8"/>
  <c r="D119" i="8"/>
  <c r="G118" i="8"/>
  <c r="D118" i="8"/>
  <c r="D117" i="8"/>
  <c r="D116" i="8"/>
  <c r="D115" i="8"/>
  <c r="G114" i="8"/>
  <c r="D114" i="8"/>
  <c r="D113" i="8"/>
  <c r="D112" i="8"/>
  <c r="D111" i="8"/>
  <c r="G110" i="8"/>
  <c r="D110" i="8"/>
  <c r="D109" i="8"/>
  <c r="D108" i="8"/>
  <c r="D107" i="8"/>
  <c r="G106" i="8"/>
  <c r="D106" i="8"/>
  <c r="D105" i="8"/>
  <c r="D104" i="8"/>
  <c r="D103" i="8"/>
  <c r="G102" i="8"/>
  <c r="D102" i="8"/>
  <c r="D101" i="8"/>
  <c r="D100" i="8"/>
  <c r="D99" i="8"/>
  <c r="G98" i="8"/>
  <c r="D98" i="8"/>
  <c r="D97" i="8"/>
  <c r="D96" i="8"/>
  <c r="D95" i="8"/>
  <c r="G94" i="8"/>
  <c r="D94" i="8"/>
  <c r="D93" i="8"/>
  <c r="D92" i="8"/>
  <c r="D91" i="8"/>
  <c r="G90" i="8"/>
  <c r="D90" i="8"/>
  <c r="D89" i="8"/>
  <c r="D88" i="8"/>
  <c r="D87" i="8"/>
  <c r="G86" i="8"/>
  <c r="D86" i="8"/>
  <c r="D85" i="8"/>
  <c r="D84" i="8"/>
  <c r="D83" i="8"/>
  <c r="G82" i="8"/>
  <c r="D82" i="8"/>
  <c r="D81" i="8"/>
  <c r="D80" i="8"/>
  <c r="D79" i="8"/>
  <c r="G78" i="8"/>
  <c r="D78" i="8"/>
  <c r="D77" i="8"/>
  <c r="D76" i="8"/>
  <c r="D75" i="8"/>
  <c r="G74" i="8"/>
  <c r="D74" i="8"/>
  <c r="D73" i="8"/>
  <c r="D72" i="8"/>
  <c r="D71" i="8"/>
  <c r="G70" i="8"/>
  <c r="D70" i="8"/>
  <c r="D69" i="8"/>
  <c r="D68" i="8"/>
  <c r="D67" i="8"/>
  <c r="G66" i="8"/>
  <c r="D66" i="8"/>
  <c r="D65" i="8"/>
  <c r="D64" i="8"/>
  <c r="D63" i="8"/>
  <c r="G62" i="8"/>
  <c r="D62" i="8"/>
  <c r="D61" i="8"/>
  <c r="D60" i="8"/>
  <c r="D59" i="8"/>
  <c r="G58" i="8"/>
  <c r="D58" i="8"/>
  <c r="D57" i="8"/>
  <c r="D56" i="8"/>
  <c r="D55" i="8"/>
  <c r="G54" i="8"/>
  <c r="D54" i="8"/>
  <c r="D53" i="8"/>
  <c r="D52" i="8"/>
  <c r="D51" i="8"/>
  <c r="G50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F10" i="8" a="1"/>
  <c r="D10" i="8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F10" i="7" a="1"/>
  <c r="D10" i="7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F10" i="6" a="1"/>
  <c r="D10" i="6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F10" i="5" a="1"/>
  <c r="D10" i="5"/>
  <c r="D155" i="4"/>
  <c r="D154" i="4"/>
  <c r="D153" i="4"/>
  <c r="D152" i="4"/>
  <c r="D151" i="4"/>
  <c r="G150" i="4"/>
  <c r="D150" i="4"/>
  <c r="D149" i="4"/>
  <c r="D148" i="4"/>
  <c r="D147" i="4"/>
  <c r="G146" i="4"/>
  <c r="D146" i="4"/>
  <c r="D145" i="4"/>
  <c r="D144" i="4"/>
  <c r="D143" i="4"/>
  <c r="G142" i="4"/>
  <c r="D142" i="4"/>
  <c r="D141" i="4"/>
  <c r="D140" i="4"/>
  <c r="D139" i="4"/>
  <c r="G138" i="4"/>
  <c r="D138" i="4"/>
  <c r="D137" i="4"/>
  <c r="D136" i="4"/>
  <c r="D135" i="4"/>
  <c r="G134" i="4"/>
  <c r="D134" i="4"/>
  <c r="D133" i="4"/>
  <c r="D132" i="4"/>
  <c r="D131" i="4"/>
  <c r="G130" i="4"/>
  <c r="D130" i="4"/>
  <c r="D129" i="4"/>
  <c r="D128" i="4"/>
  <c r="D127" i="4"/>
  <c r="G126" i="4"/>
  <c r="D126" i="4"/>
  <c r="D125" i="4"/>
  <c r="D124" i="4"/>
  <c r="D123" i="4"/>
  <c r="G122" i="4"/>
  <c r="D122" i="4"/>
  <c r="D121" i="4"/>
  <c r="D120" i="4"/>
  <c r="D119" i="4"/>
  <c r="G118" i="4"/>
  <c r="D118" i="4"/>
  <c r="D117" i="4"/>
  <c r="D116" i="4"/>
  <c r="D115" i="4"/>
  <c r="G114" i="4"/>
  <c r="D114" i="4"/>
  <c r="D113" i="4"/>
  <c r="D112" i="4"/>
  <c r="D111" i="4"/>
  <c r="G110" i="4"/>
  <c r="D110" i="4"/>
  <c r="D109" i="4"/>
  <c r="D108" i="4"/>
  <c r="D107" i="4"/>
  <c r="G106" i="4"/>
  <c r="D106" i="4"/>
  <c r="D105" i="4"/>
  <c r="D104" i="4"/>
  <c r="D103" i="4"/>
  <c r="G102" i="4"/>
  <c r="D102" i="4"/>
  <c r="D101" i="4"/>
  <c r="D100" i="4"/>
  <c r="D99" i="4"/>
  <c r="G98" i="4"/>
  <c r="D98" i="4"/>
  <c r="D97" i="4"/>
  <c r="D96" i="4"/>
  <c r="D95" i="4"/>
  <c r="G94" i="4"/>
  <c r="D94" i="4"/>
  <c r="D93" i="4"/>
  <c r="D92" i="4"/>
  <c r="D91" i="4"/>
  <c r="G90" i="4"/>
  <c r="D90" i="4"/>
  <c r="D89" i="4"/>
  <c r="D88" i="4"/>
  <c r="D87" i="4"/>
  <c r="G86" i="4"/>
  <c r="D86" i="4"/>
  <c r="D85" i="4"/>
  <c r="D84" i="4"/>
  <c r="D83" i="4"/>
  <c r="G82" i="4"/>
  <c r="D82" i="4"/>
  <c r="D81" i="4"/>
  <c r="D80" i="4"/>
  <c r="D79" i="4"/>
  <c r="G78" i="4"/>
  <c r="D78" i="4"/>
  <c r="D77" i="4"/>
  <c r="D76" i="4"/>
  <c r="D75" i="4"/>
  <c r="G74" i="4"/>
  <c r="D74" i="4"/>
  <c r="D73" i="4"/>
  <c r="D72" i="4"/>
  <c r="D71" i="4"/>
  <c r="G70" i="4"/>
  <c r="D70" i="4"/>
  <c r="D69" i="4"/>
  <c r="D68" i="4"/>
  <c r="D67" i="4"/>
  <c r="G66" i="4"/>
  <c r="D66" i="4"/>
  <c r="D65" i="4"/>
  <c r="D64" i="4"/>
  <c r="D63" i="4"/>
  <c r="G62" i="4"/>
  <c r="D62" i="4"/>
  <c r="D61" i="4"/>
  <c r="D60" i="4"/>
  <c r="D59" i="4"/>
  <c r="G58" i="4"/>
  <c r="D58" i="4"/>
  <c r="D57" i="4"/>
  <c r="D56" i="4"/>
  <c r="D55" i="4"/>
  <c r="G54" i="4"/>
  <c r="D54" i="4"/>
  <c r="D53" i="4"/>
  <c r="D52" i="4"/>
  <c r="D51" i="4"/>
  <c r="G50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F10" i="4" a="1"/>
  <c r="D10" i="4"/>
  <c r="E1" i="34"/>
  <c r="D1" i="34"/>
  <c r="D124" i="34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41" i="34"/>
  <c r="C42" i="34"/>
  <c r="C43" i="34"/>
  <c r="C44" i="34"/>
  <c r="C45" i="34"/>
  <c r="C46" i="34"/>
  <c r="C47" i="34"/>
  <c r="C48" i="34"/>
  <c r="C49" i="34"/>
  <c r="C5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C64" i="34"/>
  <c r="C65" i="34"/>
  <c r="C66" i="34"/>
  <c r="C67" i="34"/>
  <c r="C68" i="34"/>
  <c r="C69" i="34"/>
  <c r="C70" i="34"/>
  <c r="C71" i="34"/>
  <c r="C72" i="34"/>
  <c r="C73" i="34"/>
  <c r="C74" i="34"/>
  <c r="C75" i="34"/>
  <c r="C76" i="34"/>
  <c r="C77" i="34"/>
  <c r="C78" i="34"/>
  <c r="C79" i="34"/>
  <c r="C80" i="34"/>
  <c r="C81" i="34"/>
  <c r="C82" i="34"/>
  <c r="C83" i="34"/>
  <c r="C84" i="34"/>
  <c r="C85" i="34"/>
  <c r="C86" i="34"/>
  <c r="C87" i="34"/>
  <c r="C88" i="34"/>
  <c r="C89" i="34"/>
  <c r="C90" i="34"/>
  <c r="C91" i="34"/>
  <c r="C92" i="34"/>
  <c r="C93" i="34"/>
  <c r="C94" i="34"/>
  <c r="C95" i="34"/>
  <c r="C96" i="34"/>
  <c r="C97" i="34"/>
  <c r="C98" i="34"/>
  <c r="C99" i="34"/>
  <c r="C100" i="34"/>
  <c r="C101" i="34"/>
  <c r="C102" i="34"/>
  <c r="C103" i="34"/>
  <c r="C104" i="34"/>
  <c r="C105" i="34"/>
  <c r="C106" i="34"/>
  <c r="C107" i="34"/>
  <c r="C108" i="34"/>
  <c r="C109" i="34"/>
  <c r="C110" i="34"/>
  <c r="C111" i="34"/>
  <c r="C112" i="34"/>
  <c r="C113" i="34"/>
  <c r="C114" i="34"/>
  <c r="C115" i="34"/>
  <c r="C116" i="34"/>
  <c r="C117" i="34"/>
  <c r="C118" i="34"/>
  <c r="C119" i="34"/>
  <c r="C120" i="34"/>
  <c r="C121" i="34"/>
  <c r="C122" i="34"/>
  <c r="C123" i="34"/>
  <c r="C124" i="34"/>
  <c r="C125" i="34"/>
  <c r="C126" i="34"/>
  <c r="C127" i="34"/>
  <c r="C128" i="34"/>
  <c r="C129" i="34"/>
  <c r="C130" i="34"/>
  <c r="C131" i="34"/>
  <c r="C132" i="34"/>
  <c r="C133" i="34"/>
  <c r="C134" i="34"/>
  <c r="C135" i="34"/>
  <c r="C136" i="34"/>
  <c r="C137" i="34"/>
  <c r="C138" i="34"/>
  <c r="C139" i="34"/>
  <c r="C140" i="34"/>
  <c r="C141" i="34"/>
  <c r="C142" i="34"/>
  <c r="C143" i="34"/>
  <c r="C144" i="34"/>
  <c r="C145" i="34"/>
  <c r="C146" i="34"/>
  <c r="C147" i="34"/>
  <c r="C148" i="34"/>
  <c r="C149" i="34"/>
  <c r="C150" i="34"/>
  <c r="C151" i="34"/>
  <c r="C152" i="34"/>
  <c r="C153" i="34"/>
  <c r="C154" i="34"/>
  <c r="C155" i="34"/>
  <c r="C156" i="34"/>
  <c r="C157" i="34"/>
  <c r="C158" i="34"/>
  <c r="C159" i="34"/>
  <c r="C160" i="34"/>
  <c r="C161" i="34"/>
  <c r="C162" i="34"/>
  <c r="C163" i="34"/>
  <c r="C164" i="34"/>
  <c r="C165" i="34"/>
  <c r="C166" i="34"/>
  <c r="C167" i="34"/>
  <c r="C168" i="34"/>
  <c r="C169" i="34"/>
  <c r="C170" i="34"/>
  <c r="C171" i="34"/>
  <c r="C172" i="34"/>
  <c r="C173" i="34"/>
  <c r="C174" i="34"/>
  <c r="C175" i="34"/>
  <c r="C176" i="34"/>
  <c r="C177" i="34"/>
  <c r="C178" i="34"/>
  <c r="C179" i="34"/>
  <c r="C180" i="34"/>
  <c r="C181" i="34"/>
  <c r="C182" i="34"/>
  <c r="C183" i="34"/>
  <c r="C184" i="34"/>
  <c r="C185" i="34"/>
  <c r="C186" i="34"/>
  <c r="C187" i="34"/>
  <c r="C188" i="34"/>
  <c r="C189" i="34"/>
  <c r="C190" i="34"/>
  <c r="C191" i="34"/>
  <c r="C192" i="34"/>
  <c r="C193" i="34"/>
  <c r="C194" i="34"/>
  <c r="C195" i="34"/>
  <c r="C196" i="34"/>
  <c r="C197" i="34"/>
  <c r="C198" i="34"/>
  <c r="C199" i="34"/>
  <c r="C200" i="34"/>
  <c r="C201" i="34"/>
  <c r="C202" i="34"/>
  <c r="C203" i="34"/>
  <c r="C204" i="34"/>
  <c r="C205" i="34"/>
  <c r="C206" i="34"/>
  <c r="C207" i="34"/>
  <c r="C208" i="34"/>
  <c r="C209" i="34"/>
  <c r="C5" i="34"/>
  <c r="D4" i="34"/>
  <c r="F10" i="3" a="1"/>
  <c r="F10" i="3" s="1"/>
  <c r="D155" i="3"/>
  <c r="D154" i="3"/>
  <c r="D153" i="3"/>
  <c r="D152" i="3"/>
  <c r="D151" i="3"/>
  <c r="G150" i="3"/>
  <c r="D150" i="3"/>
  <c r="D149" i="3"/>
  <c r="D148" i="3"/>
  <c r="D147" i="3"/>
  <c r="G146" i="3"/>
  <c r="D146" i="3"/>
  <c r="D145" i="3"/>
  <c r="D144" i="3"/>
  <c r="D143" i="3"/>
  <c r="G142" i="3"/>
  <c r="D142" i="3"/>
  <c r="D141" i="3"/>
  <c r="D140" i="3"/>
  <c r="D139" i="3"/>
  <c r="G138" i="3"/>
  <c r="D138" i="3"/>
  <c r="D137" i="3"/>
  <c r="D136" i="3"/>
  <c r="D135" i="3"/>
  <c r="G134" i="3"/>
  <c r="D134" i="3"/>
  <c r="D133" i="3"/>
  <c r="D132" i="3"/>
  <c r="D131" i="3"/>
  <c r="G130" i="3"/>
  <c r="D130" i="3"/>
  <c r="D129" i="3"/>
  <c r="D128" i="3"/>
  <c r="D127" i="3"/>
  <c r="G126" i="3"/>
  <c r="D126" i="3"/>
  <c r="D125" i="3"/>
  <c r="D124" i="3"/>
  <c r="D123" i="3"/>
  <c r="G122" i="3"/>
  <c r="D122" i="3"/>
  <c r="D121" i="3"/>
  <c r="D120" i="3"/>
  <c r="D119" i="3"/>
  <c r="G118" i="3"/>
  <c r="D118" i="3"/>
  <c r="D117" i="3"/>
  <c r="D116" i="3"/>
  <c r="D115" i="3"/>
  <c r="G114" i="3"/>
  <c r="D114" i="3"/>
  <c r="D113" i="3"/>
  <c r="D112" i="3"/>
  <c r="D111" i="3"/>
  <c r="G110" i="3"/>
  <c r="D110" i="3"/>
  <c r="D109" i="3"/>
  <c r="D108" i="3"/>
  <c r="D107" i="3"/>
  <c r="G106" i="3"/>
  <c r="D106" i="3"/>
  <c r="D105" i="3"/>
  <c r="D104" i="3"/>
  <c r="D103" i="3"/>
  <c r="G102" i="3"/>
  <c r="D102" i="3"/>
  <c r="D101" i="3"/>
  <c r="D100" i="3"/>
  <c r="D99" i="3"/>
  <c r="G98" i="3"/>
  <c r="D98" i="3"/>
  <c r="D97" i="3"/>
  <c r="D96" i="3"/>
  <c r="D95" i="3"/>
  <c r="G94" i="3"/>
  <c r="D94" i="3"/>
  <c r="D93" i="3"/>
  <c r="D92" i="3"/>
  <c r="D91" i="3"/>
  <c r="G90" i="3"/>
  <c r="D90" i="3"/>
  <c r="D89" i="3"/>
  <c r="D88" i="3"/>
  <c r="D87" i="3"/>
  <c r="G86" i="3"/>
  <c r="D86" i="3"/>
  <c r="D85" i="3"/>
  <c r="D84" i="3"/>
  <c r="D83" i="3"/>
  <c r="G82" i="3"/>
  <c r="D82" i="3"/>
  <c r="D81" i="3"/>
  <c r="D80" i="3"/>
  <c r="D79" i="3"/>
  <c r="G78" i="3"/>
  <c r="D78" i="3"/>
  <c r="D77" i="3"/>
  <c r="D76" i="3"/>
  <c r="D75" i="3"/>
  <c r="G74" i="3"/>
  <c r="D74" i="3"/>
  <c r="D73" i="3"/>
  <c r="D72" i="3"/>
  <c r="D71" i="3"/>
  <c r="G70" i="3"/>
  <c r="D70" i="3"/>
  <c r="D69" i="3"/>
  <c r="D68" i="3"/>
  <c r="D67" i="3"/>
  <c r="G66" i="3"/>
  <c r="D66" i="3"/>
  <c r="D65" i="3"/>
  <c r="D64" i="3"/>
  <c r="D63" i="3"/>
  <c r="G62" i="3"/>
  <c r="D62" i="3"/>
  <c r="D61" i="3"/>
  <c r="D60" i="3"/>
  <c r="D59" i="3"/>
  <c r="G58" i="3"/>
  <c r="D58" i="3"/>
  <c r="D57" i="3"/>
  <c r="D56" i="3"/>
  <c r="D55" i="3"/>
  <c r="G54" i="3"/>
  <c r="D54" i="3"/>
  <c r="D53" i="3"/>
  <c r="D52" i="3"/>
  <c r="D51" i="3"/>
  <c r="G50" i="3"/>
  <c r="D50" i="3"/>
  <c r="D49" i="3"/>
  <c r="D48" i="3"/>
  <c r="D47" i="3"/>
  <c r="G46" i="3"/>
  <c r="D46" i="3"/>
  <c r="D45" i="3"/>
  <c r="D44" i="3"/>
  <c r="D43" i="3"/>
  <c r="G42" i="3"/>
  <c r="D42" i="3"/>
  <c r="D41" i="3"/>
  <c r="D40" i="3"/>
  <c r="D39" i="3"/>
  <c r="G38" i="3"/>
  <c r="D38" i="3"/>
  <c r="D37" i="3"/>
  <c r="D36" i="3"/>
  <c r="D35" i="3"/>
  <c r="G34" i="3"/>
  <c r="D34" i="3"/>
  <c r="D33" i="3"/>
  <c r="D32" i="3"/>
  <c r="D31" i="3"/>
  <c r="G30" i="3"/>
  <c r="D30" i="3"/>
  <c r="D29" i="3"/>
  <c r="D28" i="3"/>
  <c r="D27" i="3"/>
  <c r="G26" i="3"/>
  <c r="D26" i="3"/>
  <c r="D25" i="3"/>
  <c r="D24" i="3"/>
  <c r="D23" i="3"/>
  <c r="G22" i="3"/>
  <c r="D22" i="3"/>
  <c r="D21" i="3"/>
  <c r="D20" i="3"/>
  <c r="D19" i="3"/>
  <c r="G18" i="3"/>
  <c r="D18" i="3"/>
  <c r="D17" i="3"/>
  <c r="D16" i="3"/>
  <c r="D15" i="3"/>
  <c r="G14" i="3"/>
  <c r="D14" i="3"/>
  <c r="D13" i="3"/>
  <c r="D12" i="3"/>
  <c r="D11" i="3"/>
  <c r="D10" i="3"/>
  <c r="G40" i="2"/>
  <c r="G105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0" i="2"/>
  <c r="G9" i="1"/>
  <c r="F10" i="2" a="1"/>
  <c r="F10" i="2" s="1"/>
  <c r="D12" i="34" s="1"/>
  <c r="C4" i="34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F9" i="1" a="1"/>
  <c r="F9" i="1" s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9" i="1"/>
  <c r="G149" i="16" l="1"/>
  <c r="G145" i="16"/>
  <c r="G141" i="16"/>
  <c r="G137" i="16"/>
  <c r="G133" i="16"/>
  <c r="G129" i="16"/>
  <c r="G125" i="16"/>
  <c r="G121" i="16"/>
  <c r="G117" i="16"/>
  <c r="G113" i="16"/>
  <c r="G109" i="16"/>
  <c r="G105" i="16"/>
  <c r="G101" i="16"/>
  <c r="G97" i="16"/>
  <c r="G93" i="16"/>
  <c r="G89" i="16"/>
  <c r="G85" i="16"/>
  <c r="G81" i="16"/>
  <c r="G77" i="16"/>
  <c r="G73" i="16"/>
  <c r="G69" i="16"/>
  <c r="G65" i="16"/>
  <c r="G61" i="16"/>
  <c r="G57" i="16"/>
  <c r="G53" i="16"/>
  <c r="G49" i="16"/>
  <c r="G44" i="16"/>
  <c r="G40" i="16"/>
  <c r="G36" i="16"/>
  <c r="G32" i="16"/>
  <c r="G28" i="16"/>
  <c r="G24" i="16"/>
  <c r="G20" i="16"/>
  <c r="G16" i="16"/>
  <c r="G12" i="16"/>
  <c r="G148" i="16"/>
  <c r="G144" i="16"/>
  <c r="G140" i="16"/>
  <c r="G136" i="16"/>
  <c r="G132" i="16"/>
  <c r="G128" i="16"/>
  <c r="G124" i="16"/>
  <c r="G120" i="16"/>
  <c r="G116" i="16"/>
  <c r="G112" i="16"/>
  <c r="G108" i="16"/>
  <c r="G104" i="16"/>
  <c r="G100" i="16"/>
  <c r="G96" i="16"/>
  <c r="G92" i="16"/>
  <c r="G88" i="16"/>
  <c r="G84" i="16"/>
  <c r="G80" i="16"/>
  <c r="G76" i="16"/>
  <c r="G72" i="16"/>
  <c r="G68" i="16"/>
  <c r="G64" i="16"/>
  <c r="G60" i="16"/>
  <c r="G56" i="16"/>
  <c r="G52" i="16"/>
  <c r="G47" i="16"/>
  <c r="G43" i="16"/>
  <c r="G39" i="16"/>
  <c r="G35" i="16"/>
  <c r="G31" i="16"/>
  <c r="G27" i="16"/>
  <c r="G23" i="16"/>
  <c r="G19" i="16"/>
  <c r="G15" i="16"/>
  <c r="G11" i="16"/>
  <c r="G151" i="16"/>
  <c r="G147" i="16"/>
  <c r="G143" i="16"/>
  <c r="G139" i="16"/>
  <c r="G135" i="16"/>
  <c r="G131" i="16"/>
  <c r="G127" i="16"/>
  <c r="G123" i="16"/>
  <c r="G119" i="16"/>
  <c r="G115" i="16"/>
  <c r="G111" i="16"/>
  <c r="G107" i="16"/>
  <c r="G103" i="16"/>
  <c r="G99" i="16"/>
  <c r="G95" i="16"/>
  <c r="G91" i="16"/>
  <c r="G87" i="16"/>
  <c r="G83" i="16"/>
  <c r="G79" i="16"/>
  <c r="G75" i="16"/>
  <c r="G71" i="16"/>
  <c r="G67" i="16"/>
  <c r="G63" i="16"/>
  <c r="G59" i="16"/>
  <c r="G55" i="16"/>
  <c r="G51" i="16"/>
  <c r="G46" i="16"/>
  <c r="G42" i="16"/>
  <c r="G38" i="16"/>
  <c r="G34" i="16"/>
  <c r="G30" i="16"/>
  <c r="G26" i="16"/>
  <c r="G22" i="16"/>
  <c r="G18" i="16"/>
  <c r="G14" i="16"/>
  <c r="F10" i="16"/>
  <c r="G10" i="16" s="1"/>
  <c r="G45" i="16"/>
  <c r="G41" i="16"/>
  <c r="G37" i="16"/>
  <c r="G33" i="16"/>
  <c r="G29" i="16"/>
  <c r="G25" i="16"/>
  <c r="G21" i="16"/>
  <c r="G17" i="16"/>
  <c r="G13" i="16"/>
  <c r="G149" i="15"/>
  <c r="G145" i="15"/>
  <c r="G141" i="15"/>
  <c r="G137" i="15"/>
  <c r="G133" i="15"/>
  <c r="G129" i="15"/>
  <c r="G125" i="15"/>
  <c r="G121" i="15"/>
  <c r="G117" i="15"/>
  <c r="G113" i="15"/>
  <c r="G109" i="15"/>
  <c r="G105" i="15"/>
  <c r="G101" i="15"/>
  <c r="G97" i="15"/>
  <c r="G93" i="15"/>
  <c r="G89" i="15"/>
  <c r="G85" i="15"/>
  <c r="G81" i="15"/>
  <c r="G77" i="15"/>
  <c r="G73" i="15"/>
  <c r="G69" i="15"/>
  <c r="G65" i="15"/>
  <c r="G61" i="15"/>
  <c r="G57" i="15"/>
  <c r="G53" i="15"/>
  <c r="G49" i="15"/>
  <c r="G45" i="15"/>
  <c r="G29" i="15"/>
  <c r="G17" i="15"/>
  <c r="G37" i="15"/>
  <c r="F10" i="15"/>
  <c r="G10" i="15" s="1"/>
  <c r="G50" i="15"/>
  <c r="G54" i="15"/>
  <c r="G58" i="15"/>
  <c r="G62" i="15"/>
  <c r="G66" i="15"/>
  <c r="G70" i="15"/>
  <c r="G74" i="15"/>
  <c r="G78" i="15"/>
  <c r="G82" i="15"/>
  <c r="G86" i="15"/>
  <c r="G90" i="15"/>
  <c r="G94" i="15"/>
  <c r="G98" i="15"/>
  <c r="G102" i="15"/>
  <c r="G106" i="15"/>
  <c r="G110" i="15"/>
  <c r="G114" i="15"/>
  <c r="G118" i="15"/>
  <c r="G122" i="15"/>
  <c r="G126" i="15"/>
  <c r="G130" i="15"/>
  <c r="G134" i="15"/>
  <c r="G138" i="15"/>
  <c r="G142" i="15"/>
  <c r="G146" i="15"/>
  <c r="G150" i="15"/>
  <c r="G14" i="15"/>
  <c r="G18" i="15"/>
  <c r="G22" i="15"/>
  <c r="G26" i="15"/>
  <c r="G30" i="15"/>
  <c r="G34" i="15"/>
  <c r="G38" i="15"/>
  <c r="G42" i="15"/>
  <c r="G46" i="15"/>
  <c r="G13" i="15"/>
  <c r="G25" i="15"/>
  <c r="G41" i="15"/>
  <c r="G51" i="15"/>
  <c r="G55" i="15"/>
  <c r="G59" i="15"/>
  <c r="G63" i="15"/>
  <c r="G67" i="15"/>
  <c r="G71" i="15"/>
  <c r="G75" i="15"/>
  <c r="G79" i="15"/>
  <c r="G83" i="15"/>
  <c r="G87" i="15"/>
  <c r="G91" i="15"/>
  <c r="G95" i="15"/>
  <c r="G99" i="15"/>
  <c r="G103" i="15"/>
  <c r="G107" i="15"/>
  <c r="G111" i="15"/>
  <c r="G115" i="15"/>
  <c r="G119" i="15"/>
  <c r="G123" i="15"/>
  <c r="G127" i="15"/>
  <c r="G131" i="15"/>
  <c r="G135" i="15"/>
  <c r="G139" i="15"/>
  <c r="G143" i="15"/>
  <c r="G147" i="15"/>
  <c r="G151" i="15"/>
  <c r="G21" i="15"/>
  <c r="G33" i="15"/>
  <c r="G11" i="15"/>
  <c r="G15" i="15"/>
  <c r="G19" i="15"/>
  <c r="G23" i="15"/>
  <c r="G27" i="15"/>
  <c r="G31" i="15"/>
  <c r="G35" i="15"/>
  <c r="G39" i="15"/>
  <c r="G43" i="15"/>
  <c r="G47" i="15"/>
  <c r="G52" i="15"/>
  <c r="G56" i="15"/>
  <c r="G60" i="15"/>
  <c r="G64" i="15"/>
  <c r="G68" i="15"/>
  <c r="G72" i="15"/>
  <c r="G76" i="15"/>
  <c r="G80" i="15"/>
  <c r="G84" i="15"/>
  <c r="G88" i="15"/>
  <c r="G92" i="15"/>
  <c r="G96" i="15"/>
  <c r="G100" i="15"/>
  <c r="G104" i="15"/>
  <c r="G108" i="15"/>
  <c r="G112" i="15"/>
  <c r="G116" i="15"/>
  <c r="G120" i="15"/>
  <c r="G124" i="15"/>
  <c r="G128" i="15"/>
  <c r="G132" i="15"/>
  <c r="G136" i="15"/>
  <c r="G140" i="15"/>
  <c r="G144" i="15"/>
  <c r="G148" i="15"/>
  <c r="G12" i="15"/>
  <c r="G16" i="15"/>
  <c r="G20" i="15"/>
  <c r="G24" i="15"/>
  <c r="G28" i="15"/>
  <c r="G32" i="15"/>
  <c r="G36" i="15"/>
  <c r="G40" i="15"/>
  <c r="G44" i="15"/>
  <c r="G149" i="14"/>
  <c r="G145" i="14"/>
  <c r="G141" i="14"/>
  <c r="G137" i="14"/>
  <c r="G133" i="14"/>
  <c r="G129" i="14"/>
  <c r="G125" i="14"/>
  <c r="G121" i="14"/>
  <c r="G117" i="14"/>
  <c r="G113" i="14"/>
  <c r="G109" i="14"/>
  <c r="G105" i="14"/>
  <c r="G101" i="14"/>
  <c r="G97" i="14"/>
  <c r="G93" i="14"/>
  <c r="G89" i="14"/>
  <c r="G85" i="14"/>
  <c r="G81" i="14"/>
  <c r="G77" i="14"/>
  <c r="G73" i="14"/>
  <c r="G69" i="14"/>
  <c r="G65" i="14"/>
  <c r="G61" i="14"/>
  <c r="G57" i="14"/>
  <c r="G53" i="14"/>
  <c r="G49" i="14"/>
  <c r="G146" i="14"/>
  <c r="G122" i="14"/>
  <c r="G102" i="14"/>
  <c r="G78" i="14"/>
  <c r="G54" i="14"/>
  <c r="G44" i="14"/>
  <c r="G40" i="14"/>
  <c r="G36" i="14"/>
  <c r="G32" i="14"/>
  <c r="G28" i="14"/>
  <c r="G24" i="14"/>
  <c r="G20" i="14"/>
  <c r="G16" i="14"/>
  <c r="G12" i="14"/>
  <c r="G142" i="14"/>
  <c r="G118" i="14"/>
  <c r="G90" i="14"/>
  <c r="G70" i="14"/>
  <c r="G148" i="14"/>
  <c r="G144" i="14"/>
  <c r="G140" i="14"/>
  <c r="G136" i="14"/>
  <c r="G132" i="14"/>
  <c r="G128" i="14"/>
  <c r="G124" i="14"/>
  <c r="G120" i="14"/>
  <c r="G116" i="14"/>
  <c r="G112" i="14"/>
  <c r="G108" i="14"/>
  <c r="G104" i="14"/>
  <c r="G100" i="14"/>
  <c r="G96" i="14"/>
  <c r="G92" i="14"/>
  <c r="G88" i="14"/>
  <c r="G84" i="14"/>
  <c r="G80" i="14"/>
  <c r="G76" i="14"/>
  <c r="G72" i="14"/>
  <c r="G68" i="14"/>
  <c r="G64" i="14"/>
  <c r="G60" i="14"/>
  <c r="G56" i="14"/>
  <c r="G52" i="14"/>
  <c r="G134" i="14"/>
  <c r="G126" i="14"/>
  <c r="G98" i="14"/>
  <c r="G74" i="14"/>
  <c r="G50" i="14"/>
  <c r="G47" i="14"/>
  <c r="G43" i="14"/>
  <c r="G39" i="14"/>
  <c r="G35" i="14"/>
  <c r="G31" i="14"/>
  <c r="G27" i="14"/>
  <c r="G23" i="14"/>
  <c r="G19" i="14"/>
  <c r="G15" i="14"/>
  <c r="G11" i="14"/>
  <c r="G138" i="14"/>
  <c r="G106" i="14"/>
  <c r="G82" i="14"/>
  <c r="G62" i="14"/>
  <c r="G151" i="14"/>
  <c r="G147" i="14"/>
  <c r="G143" i="14"/>
  <c r="G139" i="14"/>
  <c r="G135" i="14"/>
  <c r="G131" i="14"/>
  <c r="G127" i="14"/>
  <c r="G123" i="14"/>
  <c r="G119" i="14"/>
  <c r="G115" i="14"/>
  <c r="G111" i="14"/>
  <c r="G107" i="14"/>
  <c r="G103" i="14"/>
  <c r="G99" i="14"/>
  <c r="G95" i="14"/>
  <c r="G91" i="14"/>
  <c r="G87" i="14"/>
  <c r="G83" i="14"/>
  <c r="G79" i="14"/>
  <c r="G75" i="14"/>
  <c r="G71" i="14"/>
  <c r="G67" i="14"/>
  <c r="G63" i="14"/>
  <c r="G59" i="14"/>
  <c r="G55" i="14"/>
  <c r="G51" i="14"/>
  <c r="G130" i="14"/>
  <c r="G114" i="14"/>
  <c r="G94" i="14"/>
  <c r="G66" i="14"/>
  <c r="F10" i="14"/>
  <c r="G10" i="14" s="1"/>
  <c r="G46" i="14"/>
  <c r="G42" i="14"/>
  <c r="G38" i="14"/>
  <c r="G34" i="14"/>
  <c r="G30" i="14"/>
  <c r="G26" i="14"/>
  <c r="G22" i="14"/>
  <c r="G18" i="14"/>
  <c r="G14" i="14"/>
  <c r="G150" i="14"/>
  <c r="G110" i="14"/>
  <c r="G86" i="14"/>
  <c r="G58" i="14"/>
  <c r="G45" i="14"/>
  <c r="G41" i="14"/>
  <c r="G37" i="14"/>
  <c r="G33" i="14"/>
  <c r="G29" i="14"/>
  <c r="G25" i="14"/>
  <c r="G21" i="14"/>
  <c r="G17" i="14"/>
  <c r="G13" i="14"/>
  <c r="G29" i="13"/>
  <c r="F10" i="13"/>
  <c r="G10" i="13" s="1"/>
  <c r="G50" i="13"/>
  <c r="G54" i="13"/>
  <c r="G58" i="13"/>
  <c r="G62" i="13"/>
  <c r="G66" i="13"/>
  <c r="G70" i="13"/>
  <c r="G74" i="13"/>
  <c r="G78" i="13"/>
  <c r="G82" i="13"/>
  <c r="G86" i="13"/>
  <c r="G90" i="13"/>
  <c r="G94" i="13"/>
  <c r="G98" i="13"/>
  <c r="G102" i="13"/>
  <c r="G106" i="13"/>
  <c r="G110" i="13"/>
  <c r="G114" i="13"/>
  <c r="G118" i="13"/>
  <c r="G122" i="13"/>
  <c r="G126" i="13"/>
  <c r="G130" i="13"/>
  <c r="G134" i="13"/>
  <c r="G138" i="13"/>
  <c r="G142" i="13"/>
  <c r="G146" i="13"/>
  <c r="G150" i="13"/>
  <c r="G13" i="13"/>
  <c r="G37" i="13"/>
  <c r="G14" i="13"/>
  <c r="G18" i="13"/>
  <c r="G22" i="13"/>
  <c r="G26" i="13"/>
  <c r="G30" i="13"/>
  <c r="G34" i="13"/>
  <c r="G38" i="13"/>
  <c r="G42" i="13"/>
  <c r="G46" i="13"/>
  <c r="G45" i="13"/>
  <c r="G51" i="13"/>
  <c r="G55" i="13"/>
  <c r="G59" i="13"/>
  <c r="G63" i="13"/>
  <c r="G67" i="13"/>
  <c r="G71" i="13"/>
  <c r="G75" i="13"/>
  <c r="G79" i="13"/>
  <c r="G83" i="13"/>
  <c r="G87" i="13"/>
  <c r="G91" i="13"/>
  <c r="G95" i="13"/>
  <c r="G99" i="13"/>
  <c r="G103" i="13"/>
  <c r="G107" i="13"/>
  <c r="G111" i="13"/>
  <c r="G115" i="13"/>
  <c r="G119" i="13"/>
  <c r="G123" i="13"/>
  <c r="G127" i="13"/>
  <c r="G131" i="13"/>
  <c r="G135" i="13"/>
  <c r="G139" i="13"/>
  <c r="G143" i="13"/>
  <c r="G147" i="13"/>
  <c r="G151" i="13"/>
  <c r="G33" i="13"/>
  <c r="G11" i="13"/>
  <c r="G15" i="13"/>
  <c r="G19" i="13"/>
  <c r="G23" i="13"/>
  <c r="G27" i="13"/>
  <c r="G31" i="13"/>
  <c r="G35" i="13"/>
  <c r="G39" i="13"/>
  <c r="G43" i="13"/>
  <c r="G47" i="13"/>
  <c r="G21" i="13"/>
  <c r="G52" i="13"/>
  <c r="G56" i="13"/>
  <c r="G60" i="13"/>
  <c r="G64" i="13"/>
  <c r="G68" i="13"/>
  <c r="G72" i="13"/>
  <c r="G76" i="13"/>
  <c r="G80" i="13"/>
  <c r="G84" i="13"/>
  <c r="G88" i="13"/>
  <c r="G92" i="13"/>
  <c r="G96" i="13"/>
  <c r="G100" i="13"/>
  <c r="G104" i="13"/>
  <c r="G108" i="13"/>
  <c r="G112" i="13"/>
  <c r="G116" i="13"/>
  <c r="G120" i="13"/>
  <c r="G124" i="13"/>
  <c r="G128" i="13"/>
  <c r="G132" i="13"/>
  <c r="G136" i="13"/>
  <c r="G140" i="13"/>
  <c r="G144" i="13"/>
  <c r="G148" i="13"/>
  <c r="G25" i="13"/>
  <c r="G12" i="13"/>
  <c r="G16" i="13"/>
  <c r="G20" i="13"/>
  <c r="G24" i="13"/>
  <c r="G28" i="13"/>
  <c r="G32" i="13"/>
  <c r="G36" i="13"/>
  <c r="G40" i="13"/>
  <c r="G44" i="13"/>
  <c r="G17" i="13"/>
  <c r="G41" i="13"/>
  <c r="G49" i="13"/>
  <c r="G53" i="13"/>
  <c r="G57" i="13"/>
  <c r="G61" i="13"/>
  <c r="G65" i="13"/>
  <c r="G69" i="13"/>
  <c r="G73" i="13"/>
  <c r="G77" i="13"/>
  <c r="G81" i="13"/>
  <c r="G85" i="13"/>
  <c r="G89" i="13"/>
  <c r="G93" i="13"/>
  <c r="G97" i="13"/>
  <c r="G101" i="13"/>
  <c r="G105" i="13"/>
  <c r="G109" i="13"/>
  <c r="G113" i="13"/>
  <c r="G117" i="13"/>
  <c r="G121" i="13"/>
  <c r="G125" i="13"/>
  <c r="G129" i="13"/>
  <c r="G133" i="13"/>
  <c r="G137" i="13"/>
  <c r="G141" i="13"/>
  <c r="G145" i="13"/>
  <c r="G13" i="12"/>
  <c r="G33" i="12"/>
  <c r="F10" i="12"/>
  <c r="G10" i="12" s="1"/>
  <c r="G50" i="12"/>
  <c r="G54" i="12"/>
  <c r="G58" i="12"/>
  <c r="G62" i="12"/>
  <c r="G66" i="12"/>
  <c r="G70" i="12"/>
  <c r="G74" i="12"/>
  <c r="G78" i="12"/>
  <c r="G82" i="12"/>
  <c r="G86" i="12"/>
  <c r="G90" i="12"/>
  <c r="G94" i="12"/>
  <c r="G98" i="12"/>
  <c r="G102" i="12"/>
  <c r="G106" i="12"/>
  <c r="G110" i="12"/>
  <c r="G114" i="12"/>
  <c r="G118" i="12"/>
  <c r="G122" i="12"/>
  <c r="G126" i="12"/>
  <c r="G130" i="12"/>
  <c r="G134" i="12"/>
  <c r="G138" i="12"/>
  <c r="G142" i="12"/>
  <c r="G146" i="12"/>
  <c r="G150" i="12"/>
  <c r="G25" i="12"/>
  <c r="G45" i="12"/>
  <c r="G14" i="12"/>
  <c r="G18" i="12"/>
  <c r="G22" i="12"/>
  <c r="G26" i="12"/>
  <c r="G30" i="12"/>
  <c r="G34" i="12"/>
  <c r="G38" i="12"/>
  <c r="G42" i="12"/>
  <c r="G46" i="12"/>
  <c r="G29" i="12"/>
  <c r="G51" i="12"/>
  <c r="G55" i="12"/>
  <c r="G59" i="12"/>
  <c r="G63" i="12"/>
  <c r="G67" i="12"/>
  <c r="G71" i="12"/>
  <c r="G75" i="12"/>
  <c r="G79" i="12"/>
  <c r="G83" i="12"/>
  <c r="G87" i="12"/>
  <c r="G91" i="12"/>
  <c r="G95" i="12"/>
  <c r="G99" i="12"/>
  <c r="G103" i="12"/>
  <c r="G107" i="12"/>
  <c r="G111" i="12"/>
  <c r="G115" i="12"/>
  <c r="G119" i="12"/>
  <c r="G123" i="12"/>
  <c r="G127" i="12"/>
  <c r="G131" i="12"/>
  <c r="G135" i="12"/>
  <c r="G139" i="12"/>
  <c r="G143" i="12"/>
  <c r="G147" i="12"/>
  <c r="G151" i="12"/>
  <c r="G11" i="12"/>
  <c r="G15" i="12"/>
  <c r="G19" i="12"/>
  <c r="G23" i="12"/>
  <c r="G27" i="12"/>
  <c r="G31" i="12"/>
  <c r="G35" i="12"/>
  <c r="G39" i="12"/>
  <c r="G43" i="12"/>
  <c r="G47" i="12"/>
  <c r="G17" i="12"/>
  <c r="G41" i="12"/>
  <c r="G52" i="12"/>
  <c r="G56" i="12"/>
  <c r="G60" i="12"/>
  <c r="G64" i="12"/>
  <c r="G68" i="12"/>
  <c r="G72" i="12"/>
  <c r="G76" i="12"/>
  <c r="G80" i="12"/>
  <c r="G84" i="12"/>
  <c r="G88" i="12"/>
  <c r="G92" i="12"/>
  <c r="G96" i="12"/>
  <c r="G100" i="12"/>
  <c r="G104" i="12"/>
  <c r="G108" i="12"/>
  <c r="G112" i="12"/>
  <c r="G116" i="12"/>
  <c r="G120" i="12"/>
  <c r="G124" i="12"/>
  <c r="G128" i="12"/>
  <c r="G132" i="12"/>
  <c r="G136" i="12"/>
  <c r="G140" i="12"/>
  <c r="G144" i="12"/>
  <c r="G148" i="12"/>
  <c r="G12" i="12"/>
  <c r="G16" i="12"/>
  <c r="G20" i="12"/>
  <c r="G24" i="12"/>
  <c r="G28" i="12"/>
  <c r="G32" i="12"/>
  <c r="G36" i="12"/>
  <c r="G40" i="12"/>
  <c r="G44" i="12"/>
  <c r="G21" i="12"/>
  <c r="G37" i="12"/>
  <c r="G49" i="12"/>
  <c r="G53" i="12"/>
  <c r="G57" i="12"/>
  <c r="G61" i="12"/>
  <c r="G65" i="12"/>
  <c r="G69" i="12"/>
  <c r="G73" i="12"/>
  <c r="G77" i="12"/>
  <c r="G81" i="12"/>
  <c r="G85" i="12"/>
  <c r="G89" i="12"/>
  <c r="G93" i="12"/>
  <c r="G97" i="12"/>
  <c r="G101" i="12"/>
  <c r="G105" i="12"/>
  <c r="G109" i="12"/>
  <c r="G113" i="12"/>
  <c r="G117" i="12"/>
  <c r="G121" i="12"/>
  <c r="G125" i="12"/>
  <c r="G129" i="12"/>
  <c r="G133" i="12"/>
  <c r="G137" i="12"/>
  <c r="G141" i="12"/>
  <c r="G145" i="12"/>
  <c r="G149" i="11"/>
  <c r="G145" i="11"/>
  <c r="G141" i="11"/>
  <c r="G137" i="11"/>
  <c r="G133" i="11"/>
  <c r="G129" i="11"/>
  <c r="G125" i="11"/>
  <c r="G121" i="11"/>
  <c r="G117" i="11"/>
  <c r="G113" i="11"/>
  <c r="G109" i="11"/>
  <c r="G105" i="11"/>
  <c r="G101" i="11"/>
  <c r="G97" i="11"/>
  <c r="G93" i="11"/>
  <c r="G89" i="11"/>
  <c r="G85" i="11"/>
  <c r="G81" i="11"/>
  <c r="G77" i="11"/>
  <c r="G73" i="11"/>
  <c r="G69" i="11"/>
  <c r="G65" i="11"/>
  <c r="G61" i="11"/>
  <c r="G57" i="11"/>
  <c r="G53" i="11"/>
  <c r="G49" i="11"/>
  <c r="G45" i="11"/>
  <c r="G25" i="11"/>
  <c r="G44" i="11"/>
  <c r="G40" i="11"/>
  <c r="G36" i="11"/>
  <c r="G32" i="11"/>
  <c r="G28" i="11"/>
  <c r="G24" i="11"/>
  <c r="G20" i="11"/>
  <c r="G16" i="11"/>
  <c r="G12" i="11"/>
  <c r="G148" i="11"/>
  <c r="G144" i="11"/>
  <c r="G140" i="11"/>
  <c r="G136" i="11"/>
  <c r="G132" i="11"/>
  <c r="G128" i="11"/>
  <c r="G124" i="11"/>
  <c r="G120" i="11"/>
  <c r="G116" i="11"/>
  <c r="G112" i="11"/>
  <c r="G108" i="11"/>
  <c r="G104" i="11"/>
  <c r="G100" i="11"/>
  <c r="G96" i="11"/>
  <c r="G92" i="11"/>
  <c r="G88" i="11"/>
  <c r="G84" i="11"/>
  <c r="G80" i="11"/>
  <c r="G76" i="11"/>
  <c r="G72" i="11"/>
  <c r="G68" i="11"/>
  <c r="G64" i="11"/>
  <c r="G60" i="11"/>
  <c r="G56" i="11"/>
  <c r="G52" i="11"/>
  <c r="G41" i="11"/>
  <c r="G17" i="11"/>
  <c r="G33" i="11"/>
  <c r="F10" i="11"/>
  <c r="G10" i="11" s="1"/>
  <c r="G50" i="11"/>
  <c r="G54" i="11"/>
  <c r="G58" i="11"/>
  <c r="G62" i="11"/>
  <c r="G66" i="11"/>
  <c r="G70" i="11"/>
  <c r="G74" i="11"/>
  <c r="G78" i="11"/>
  <c r="G82" i="11"/>
  <c r="G86" i="11"/>
  <c r="G90" i="11"/>
  <c r="G94" i="11"/>
  <c r="G98" i="11"/>
  <c r="G102" i="11"/>
  <c r="G106" i="11"/>
  <c r="G110" i="11"/>
  <c r="G114" i="11"/>
  <c r="G118" i="11"/>
  <c r="G122" i="11"/>
  <c r="G126" i="11"/>
  <c r="G130" i="11"/>
  <c r="G134" i="11"/>
  <c r="G138" i="11"/>
  <c r="G142" i="11"/>
  <c r="G146" i="11"/>
  <c r="G150" i="11"/>
  <c r="G21" i="11"/>
  <c r="G37" i="11"/>
  <c r="G14" i="11"/>
  <c r="G18" i="11"/>
  <c r="G22" i="11"/>
  <c r="G26" i="11"/>
  <c r="G30" i="11"/>
  <c r="G34" i="11"/>
  <c r="G38" i="11"/>
  <c r="G42" i="11"/>
  <c r="G46" i="11"/>
  <c r="G51" i="11"/>
  <c r="G55" i="11"/>
  <c r="G59" i="11"/>
  <c r="G63" i="11"/>
  <c r="G67" i="11"/>
  <c r="G71" i="11"/>
  <c r="G75" i="11"/>
  <c r="G79" i="11"/>
  <c r="G83" i="11"/>
  <c r="G87" i="11"/>
  <c r="G91" i="11"/>
  <c r="G95" i="11"/>
  <c r="G99" i="11"/>
  <c r="G103" i="11"/>
  <c r="G107" i="11"/>
  <c r="G111" i="11"/>
  <c r="G115" i="11"/>
  <c r="G119" i="11"/>
  <c r="G123" i="11"/>
  <c r="G127" i="11"/>
  <c r="G131" i="11"/>
  <c r="G135" i="11"/>
  <c r="G139" i="11"/>
  <c r="G143" i="11"/>
  <c r="G147" i="11"/>
  <c r="G151" i="11"/>
  <c r="G13" i="11"/>
  <c r="G29" i="11"/>
  <c r="G11" i="11"/>
  <c r="G15" i="11"/>
  <c r="G19" i="11"/>
  <c r="G23" i="11"/>
  <c r="G27" i="11"/>
  <c r="G31" i="11"/>
  <c r="G35" i="11"/>
  <c r="G39" i="11"/>
  <c r="G43" i="11"/>
  <c r="G47" i="11"/>
  <c r="G149" i="10"/>
  <c r="G145" i="10"/>
  <c r="G141" i="10"/>
  <c r="G137" i="10"/>
  <c r="G133" i="10"/>
  <c r="G129" i="10"/>
  <c r="G125" i="10"/>
  <c r="G121" i="10"/>
  <c r="G117" i="10"/>
  <c r="G113" i="10"/>
  <c r="G109" i="10"/>
  <c r="G105" i="10"/>
  <c r="G101" i="10"/>
  <c r="G97" i="10"/>
  <c r="G93" i="10"/>
  <c r="G89" i="10"/>
  <c r="G85" i="10"/>
  <c r="G81" i="10"/>
  <c r="G77" i="10"/>
  <c r="G73" i="10"/>
  <c r="G69" i="10"/>
  <c r="G65" i="10"/>
  <c r="G61" i="10"/>
  <c r="G57" i="10"/>
  <c r="G53" i="10"/>
  <c r="G49" i="10"/>
  <c r="G44" i="10"/>
  <c r="G40" i="10"/>
  <c r="G36" i="10"/>
  <c r="G32" i="10"/>
  <c r="G28" i="10"/>
  <c r="G24" i="10"/>
  <c r="G20" i="10"/>
  <c r="G16" i="10"/>
  <c r="G12" i="10"/>
  <c r="G148" i="10"/>
  <c r="G144" i="10"/>
  <c r="G140" i="10"/>
  <c r="G136" i="10"/>
  <c r="G132" i="10"/>
  <c r="G128" i="10"/>
  <c r="G124" i="10"/>
  <c r="G120" i="10"/>
  <c r="G116" i="10"/>
  <c r="G112" i="10"/>
  <c r="G108" i="10"/>
  <c r="G104" i="10"/>
  <c r="G100" i="10"/>
  <c r="G96" i="10"/>
  <c r="G92" i="10"/>
  <c r="G88" i="10"/>
  <c r="G84" i="10"/>
  <c r="G80" i="10"/>
  <c r="G76" i="10"/>
  <c r="G72" i="10"/>
  <c r="G68" i="10"/>
  <c r="G64" i="10"/>
  <c r="G60" i="10"/>
  <c r="G56" i="10"/>
  <c r="G52" i="10"/>
  <c r="G47" i="10"/>
  <c r="G43" i="10"/>
  <c r="G39" i="10"/>
  <c r="G35" i="10"/>
  <c r="G31" i="10"/>
  <c r="G27" i="10"/>
  <c r="G23" i="10"/>
  <c r="G19" i="10"/>
  <c r="G15" i="10"/>
  <c r="G11" i="10"/>
  <c r="G151" i="10"/>
  <c r="G147" i="10"/>
  <c r="G143" i="10"/>
  <c r="G139" i="10"/>
  <c r="G135" i="10"/>
  <c r="G131" i="10"/>
  <c r="G127" i="10"/>
  <c r="G123" i="10"/>
  <c r="G119" i="10"/>
  <c r="G115" i="10"/>
  <c r="G111" i="10"/>
  <c r="G107" i="10"/>
  <c r="G103" i="10"/>
  <c r="G99" i="10"/>
  <c r="G95" i="10"/>
  <c r="G91" i="10"/>
  <c r="G87" i="10"/>
  <c r="G83" i="10"/>
  <c r="G79" i="10"/>
  <c r="G75" i="10"/>
  <c r="G71" i="10"/>
  <c r="G67" i="10"/>
  <c r="G63" i="10"/>
  <c r="G59" i="10"/>
  <c r="G55" i="10"/>
  <c r="G51" i="10"/>
  <c r="F10" i="10"/>
  <c r="G10" i="10" s="1"/>
  <c r="G46" i="10"/>
  <c r="G42" i="10"/>
  <c r="G38" i="10"/>
  <c r="G34" i="10"/>
  <c r="G30" i="10"/>
  <c r="G26" i="10"/>
  <c r="G22" i="10"/>
  <c r="G18" i="10"/>
  <c r="G14" i="10"/>
  <c r="G45" i="10"/>
  <c r="G41" i="10"/>
  <c r="G37" i="10"/>
  <c r="G33" i="10"/>
  <c r="G29" i="10"/>
  <c r="G25" i="10"/>
  <c r="G21" i="10"/>
  <c r="G17" i="10"/>
  <c r="G13" i="10"/>
  <c r="G149" i="9"/>
  <c r="G145" i="9"/>
  <c r="G141" i="9"/>
  <c r="G137" i="9"/>
  <c r="G133" i="9"/>
  <c r="G129" i="9"/>
  <c r="G125" i="9"/>
  <c r="G121" i="9"/>
  <c r="G117" i="9"/>
  <c r="G113" i="9"/>
  <c r="G109" i="9"/>
  <c r="G105" i="9"/>
  <c r="G101" i="9"/>
  <c r="G97" i="9"/>
  <c r="G93" i="9"/>
  <c r="G89" i="9"/>
  <c r="G85" i="9"/>
  <c r="G81" i="9"/>
  <c r="G77" i="9"/>
  <c r="G73" i="9"/>
  <c r="G69" i="9"/>
  <c r="G65" i="9"/>
  <c r="G61" i="9"/>
  <c r="G57" i="9"/>
  <c r="G53" i="9"/>
  <c r="G49" i="9"/>
  <c r="F10" i="9"/>
  <c r="G10" i="9" s="1"/>
  <c r="G44" i="9"/>
  <c r="G40" i="9"/>
  <c r="G36" i="9"/>
  <c r="G32" i="9"/>
  <c r="G28" i="9"/>
  <c r="G24" i="9"/>
  <c r="G20" i="9"/>
  <c r="G16" i="9"/>
  <c r="G12" i="9"/>
  <c r="G148" i="9"/>
  <c r="G144" i="9"/>
  <c r="G140" i="9"/>
  <c r="G136" i="9"/>
  <c r="G132" i="9"/>
  <c r="G128" i="9"/>
  <c r="G124" i="9"/>
  <c r="G120" i="9"/>
  <c r="G116" i="9"/>
  <c r="G112" i="9"/>
  <c r="G108" i="9"/>
  <c r="G104" i="9"/>
  <c r="G100" i="9"/>
  <c r="G96" i="9"/>
  <c r="G92" i="9"/>
  <c r="G88" i="9"/>
  <c r="G84" i="9"/>
  <c r="G80" i="9"/>
  <c r="G76" i="9"/>
  <c r="G72" i="9"/>
  <c r="G68" i="9"/>
  <c r="G64" i="9"/>
  <c r="G60" i="9"/>
  <c r="G56" i="9"/>
  <c r="G52" i="9"/>
  <c r="G47" i="9"/>
  <c r="G43" i="9"/>
  <c r="G39" i="9"/>
  <c r="G35" i="9"/>
  <c r="G31" i="9"/>
  <c r="G27" i="9"/>
  <c r="G23" i="9"/>
  <c r="G19" i="9"/>
  <c r="G15" i="9"/>
  <c r="G11" i="9"/>
  <c r="G151" i="9"/>
  <c r="G147" i="9"/>
  <c r="G143" i="9"/>
  <c r="G139" i="9"/>
  <c r="G135" i="9"/>
  <c r="G131" i="9"/>
  <c r="G127" i="9"/>
  <c r="G123" i="9"/>
  <c r="G119" i="9"/>
  <c r="G115" i="9"/>
  <c r="G111" i="9"/>
  <c r="G107" i="9"/>
  <c r="G103" i="9"/>
  <c r="G99" i="9"/>
  <c r="G95" i="9"/>
  <c r="G91" i="9"/>
  <c r="G87" i="9"/>
  <c r="G83" i="9"/>
  <c r="G79" i="9"/>
  <c r="G75" i="9"/>
  <c r="G71" i="9"/>
  <c r="G67" i="9"/>
  <c r="G63" i="9"/>
  <c r="G59" i="9"/>
  <c r="G55" i="9"/>
  <c r="G51" i="9"/>
  <c r="G46" i="9"/>
  <c r="G42" i="9"/>
  <c r="G38" i="9"/>
  <c r="G34" i="9"/>
  <c r="G30" i="9"/>
  <c r="G26" i="9"/>
  <c r="G22" i="9"/>
  <c r="G18" i="9"/>
  <c r="G14" i="9"/>
  <c r="G45" i="9"/>
  <c r="G41" i="9"/>
  <c r="G37" i="9"/>
  <c r="G33" i="9"/>
  <c r="G29" i="9"/>
  <c r="G25" i="9"/>
  <c r="G21" i="9"/>
  <c r="G17" i="9"/>
  <c r="G13" i="9"/>
  <c r="G149" i="8"/>
  <c r="G145" i="8"/>
  <c r="G141" i="8"/>
  <c r="G137" i="8"/>
  <c r="G133" i="8"/>
  <c r="G129" i="8"/>
  <c r="G125" i="8"/>
  <c r="G121" i="8"/>
  <c r="G117" i="8"/>
  <c r="G113" i="8"/>
  <c r="G109" i="8"/>
  <c r="G105" i="8"/>
  <c r="G101" i="8"/>
  <c r="G97" i="8"/>
  <c r="G93" i="8"/>
  <c r="G89" i="8"/>
  <c r="G85" i="8"/>
  <c r="G81" i="8"/>
  <c r="G77" i="8"/>
  <c r="G73" i="8"/>
  <c r="G69" i="8"/>
  <c r="G65" i="8"/>
  <c r="G61" i="8"/>
  <c r="G57" i="8"/>
  <c r="G53" i="8"/>
  <c r="G49" i="8"/>
  <c r="G44" i="8"/>
  <c r="G40" i="8"/>
  <c r="G36" i="8"/>
  <c r="G32" i="8"/>
  <c r="G28" i="8"/>
  <c r="G24" i="8"/>
  <c r="G20" i="8"/>
  <c r="G16" i="8"/>
  <c r="G12" i="8"/>
  <c r="G148" i="8"/>
  <c r="G144" i="8"/>
  <c r="G140" i="8"/>
  <c r="G136" i="8"/>
  <c r="G132" i="8"/>
  <c r="G128" i="8"/>
  <c r="G124" i="8"/>
  <c r="G120" i="8"/>
  <c r="G116" i="8"/>
  <c r="G112" i="8"/>
  <c r="G108" i="8"/>
  <c r="G104" i="8"/>
  <c r="G100" i="8"/>
  <c r="G96" i="8"/>
  <c r="G92" i="8"/>
  <c r="G88" i="8"/>
  <c r="G84" i="8"/>
  <c r="G80" i="8"/>
  <c r="G76" i="8"/>
  <c r="G72" i="8"/>
  <c r="G68" i="8"/>
  <c r="G64" i="8"/>
  <c r="G60" i="8"/>
  <c r="G56" i="8"/>
  <c r="G52" i="8"/>
  <c r="G47" i="8"/>
  <c r="G43" i="8"/>
  <c r="G39" i="8"/>
  <c r="G35" i="8"/>
  <c r="G31" i="8"/>
  <c r="G27" i="8"/>
  <c r="G23" i="8"/>
  <c r="G19" i="8"/>
  <c r="G15" i="8"/>
  <c r="G11" i="8"/>
  <c r="G151" i="8"/>
  <c r="G147" i="8"/>
  <c r="G143" i="8"/>
  <c r="G139" i="8"/>
  <c r="G135" i="8"/>
  <c r="G131" i="8"/>
  <c r="G127" i="8"/>
  <c r="G123" i="8"/>
  <c r="G119" i="8"/>
  <c r="G115" i="8"/>
  <c r="G111" i="8"/>
  <c r="G107" i="8"/>
  <c r="G103" i="8"/>
  <c r="G99" i="8"/>
  <c r="G95" i="8"/>
  <c r="G91" i="8"/>
  <c r="G87" i="8"/>
  <c r="G83" i="8"/>
  <c r="G79" i="8"/>
  <c r="G75" i="8"/>
  <c r="G71" i="8"/>
  <c r="G67" i="8"/>
  <c r="G63" i="8"/>
  <c r="G59" i="8"/>
  <c r="G55" i="8"/>
  <c r="G51" i="8"/>
  <c r="G46" i="8"/>
  <c r="G42" i="8"/>
  <c r="G38" i="8"/>
  <c r="G34" i="8"/>
  <c r="G30" i="8"/>
  <c r="G26" i="8"/>
  <c r="G22" i="8"/>
  <c r="G18" i="8"/>
  <c r="G14" i="8"/>
  <c r="F10" i="8"/>
  <c r="G10" i="8" s="1"/>
  <c r="G45" i="8"/>
  <c r="G41" i="8"/>
  <c r="G37" i="8"/>
  <c r="G33" i="8"/>
  <c r="G29" i="8"/>
  <c r="G25" i="8"/>
  <c r="G21" i="8"/>
  <c r="G17" i="8"/>
  <c r="G13" i="8"/>
  <c r="G149" i="7"/>
  <c r="G145" i="7"/>
  <c r="G141" i="7"/>
  <c r="G137" i="7"/>
  <c r="G133" i="7"/>
  <c r="G129" i="7"/>
  <c r="G125" i="7"/>
  <c r="G121" i="7"/>
  <c r="G117" i="7"/>
  <c r="G113" i="7"/>
  <c r="G109" i="7"/>
  <c r="G105" i="7"/>
  <c r="G101" i="7"/>
  <c r="G97" i="7"/>
  <c r="G93" i="7"/>
  <c r="G89" i="7"/>
  <c r="G85" i="7"/>
  <c r="G81" i="7"/>
  <c r="G77" i="7"/>
  <c r="G73" i="7"/>
  <c r="G69" i="7"/>
  <c r="G65" i="7"/>
  <c r="G61" i="7"/>
  <c r="G57" i="7"/>
  <c r="G53" i="7"/>
  <c r="G49" i="7"/>
  <c r="G21" i="7"/>
  <c r="G44" i="7"/>
  <c r="G40" i="7"/>
  <c r="G36" i="7"/>
  <c r="G32" i="7"/>
  <c r="G28" i="7"/>
  <c r="G24" i="7"/>
  <c r="G20" i="7"/>
  <c r="G16" i="7"/>
  <c r="G12" i="7"/>
  <c r="G33" i="7"/>
  <c r="G13" i="7"/>
  <c r="G148" i="7"/>
  <c r="G144" i="7"/>
  <c r="G140" i="7"/>
  <c r="G136" i="7"/>
  <c r="G132" i="7"/>
  <c r="G128" i="7"/>
  <c r="G124" i="7"/>
  <c r="G120" i="7"/>
  <c r="G116" i="7"/>
  <c r="G112" i="7"/>
  <c r="G108" i="7"/>
  <c r="G104" i="7"/>
  <c r="G100" i="7"/>
  <c r="G96" i="7"/>
  <c r="G92" i="7"/>
  <c r="G88" i="7"/>
  <c r="G84" i="7"/>
  <c r="G80" i="7"/>
  <c r="G76" i="7"/>
  <c r="G72" i="7"/>
  <c r="G68" i="7"/>
  <c r="G64" i="7"/>
  <c r="G60" i="7"/>
  <c r="G56" i="7"/>
  <c r="G52" i="7"/>
  <c r="G29" i="7"/>
  <c r="G45" i="7"/>
  <c r="F10" i="7"/>
  <c r="G10" i="7" s="1"/>
  <c r="G50" i="7"/>
  <c r="G54" i="7"/>
  <c r="G58" i="7"/>
  <c r="G62" i="7"/>
  <c r="G66" i="7"/>
  <c r="G70" i="7"/>
  <c r="G74" i="7"/>
  <c r="G78" i="7"/>
  <c r="G82" i="7"/>
  <c r="G86" i="7"/>
  <c r="G90" i="7"/>
  <c r="G94" i="7"/>
  <c r="G98" i="7"/>
  <c r="G102" i="7"/>
  <c r="G106" i="7"/>
  <c r="G110" i="7"/>
  <c r="G114" i="7"/>
  <c r="G118" i="7"/>
  <c r="G122" i="7"/>
  <c r="G126" i="7"/>
  <c r="G130" i="7"/>
  <c r="G134" i="7"/>
  <c r="G138" i="7"/>
  <c r="G142" i="7"/>
  <c r="G146" i="7"/>
  <c r="G150" i="7"/>
  <c r="G25" i="7"/>
  <c r="G14" i="7"/>
  <c r="G18" i="7"/>
  <c r="G22" i="7"/>
  <c r="G26" i="7"/>
  <c r="G30" i="7"/>
  <c r="G34" i="7"/>
  <c r="G38" i="7"/>
  <c r="G42" i="7"/>
  <c r="G46" i="7"/>
  <c r="G41" i="7"/>
  <c r="G51" i="7"/>
  <c r="G55" i="7"/>
  <c r="G59" i="7"/>
  <c r="G63" i="7"/>
  <c r="G67" i="7"/>
  <c r="G71" i="7"/>
  <c r="G75" i="7"/>
  <c r="G79" i="7"/>
  <c r="G83" i="7"/>
  <c r="G87" i="7"/>
  <c r="G91" i="7"/>
  <c r="G95" i="7"/>
  <c r="G99" i="7"/>
  <c r="G103" i="7"/>
  <c r="G107" i="7"/>
  <c r="G111" i="7"/>
  <c r="G115" i="7"/>
  <c r="G119" i="7"/>
  <c r="G123" i="7"/>
  <c r="G127" i="7"/>
  <c r="G131" i="7"/>
  <c r="G135" i="7"/>
  <c r="G139" i="7"/>
  <c r="G143" i="7"/>
  <c r="G147" i="7"/>
  <c r="G151" i="7"/>
  <c r="G17" i="7"/>
  <c r="G37" i="7"/>
  <c r="G11" i="7"/>
  <c r="G15" i="7"/>
  <c r="G19" i="7"/>
  <c r="G23" i="7"/>
  <c r="G27" i="7"/>
  <c r="G31" i="7"/>
  <c r="G35" i="7"/>
  <c r="G39" i="7"/>
  <c r="G43" i="7"/>
  <c r="G47" i="7"/>
  <c r="G149" i="6"/>
  <c r="G145" i="6"/>
  <c r="G141" i="6"/>
  <c r="G137" i="6"/>
  <c r="G133" i="6"/>
  <c r="G129" i="6"/>
  <c r="G125" i="6"/>
  <c r="G121" i="6"/>
  <c r="G117" i="6"/>
  <c r="G113" i="6"/>
  <c r="G109" i="6"/>
  <c r="G105" i="6"/>
  <c r="G101" i="6"/>
  <c r="G97" i="6"/>
  <c r="G93" i="6"/>
  <c r="G89" i="6"/>
  <c r="G85" i="6"/>
  <c r="G81" i="6"/>
  <c r="G77" i="6"/>
  <c r="G73" i="6"/>
  <c r="G69" i="6"/>
  <c r="G65" i="6"/>
  <c r="G61" i="6"/>
  <c r="G57" i="6"/>
  <c r="G53" i="6"/>
  <c r="G49" i="6"/>
  <c r="G45" i="6"/>
  <c r="G44" i="6"/>
  <c r="G40" i="6"/>
  <c r="G36" i="6"/>
  <c r="G32" i="6"/>
  <c r="G28" i="6"/>
  <c r="G24" i="6"/>
  <c r="G20" i="6"/>
  <c r="G16" i="6"/>
  <c r="G12" i="6"/>
  <c r="G33" i="6"/>
  <c r="G13" i="6"/>
  <c r="G148" i="6"/>
  <c r="G144" i="6"/>
  <c r="G140" i="6"/>
  <c r="G136" i="6"/>
  <c r="G132" i="6"/>
  <c r="G128" i="6"/>
  <c r="G124" i="6"/>
  <c r="G120" i="6"/>
  <c r="G116" i="6"/>
  <c r="G112" i="6"/>
  <c r="G108" i="6"/>
  <c r="G104" i="6"/>
  <c r="G100" i="6"/>
  <c r="G96" i="6"/>
  <c r="G92" i="6"/>
  <c r="G88" i="6"/>
  <c r="G84" i="6"/>
  <c r="G80" i="6"/>
  <c r="G76" i="6"/>
  <c r="G72" i="6"/>
  <c r="G68" i="6"/>
  <c r="G64" i="6"/>
  <c r="G60" i="6"/>
  <c r="G56" i="6"/>
  <c r="G52" i="6"/>
  <c r="G29" i="6"/>
  <c r="G17" i="6"/>
  <c r="G47" i="6"/>
  <c r="G43" i="6"/>
  <c r="G39" i="6"/>
  <c r="G35" i="6"/>
  <c r="G31" i="6"/>
  <c r="G27" i="6"/>
  <c r="G23" i="6"/>
  <c r="G19" i="6"/>
  <c r="G15" i="6"/>
  <c r="G11" i="6"/>
  <c r="G151" i="6"/>
  <c r="G147" i="6"/>
  <c r="G143" i="6"/>
  <c r="G139" i="6"/>
  <c r="G135" i="6"/>
  <c r="G131" i="6"/>
  <c r="G127" i="6"/>
  <c r="G123" i="6"/>
  <c r="G119" i="6"/>
  <c r="G115" i="6"/>
  <c r="G111" i="6"/>
  <c r="G107" i="6"/>
  <c r="G103" i="6"/>
  <c r="G99" i="6"/>
  <c r="G95" i="6"/>
  <c r="G91" i="6"/>
  <c r="G87" i="6"/>
  <c r="G83" i="6"/>
  <c r="G79" i="6"/>
  <c r="G75" i="6"/>
  <c r="G71" i="6"/>
  <c r="G67" i="6"/>
  <c r="G63" i="6"/>
  <c r="G59" i="6"/>
  <c r="G55" i="6"/>
  <c r="G51" i="6"/>
  <c r="G41" i="6"/>
  <c r="G25" i="6"/>
  <c r="G46" i="6"/>
  <c r="G42" i="6"/>
  <c r="G38" i="6"/>
  <c r="G34" i="6"/>
  <c r="G30" i="6"/>
  <c r="G26" i="6"/>
  <c r="G22" i="6"/>
  <c r="G18" i="6"/>
  <c r="G14" i="6"/>
  <c r="G150" i="6"/>
  <c r="G146" i="6"/>
  <c r="G142" i="6"/>
  <c r="G138" i="6"/>
  <c r="G134" i="6"/>
  <c r="G130" i="6"/>
  <c r="G126" i="6"/>
  <c r="G122" i="6"/>
  <c r="G118" i="6"/>
  <c r="G114" i="6"/>
  <c r="G110" i="6"/>
  <c r="G106" i="6"/>
  <c r="G102" i="6"/>
  <c r="G98" i="6"/>
  <c r="G94" i="6"/>
  <c r="G90" i="6"/>
  <c r="G86" i="6"/>
  <c r="G82" i="6"/>
  <c r="G78" i="6"/>
  <c r="G74" i="6"/>
  <c r="G70" i="6"/>
  <c r="G66" i="6"/>
  <c r="G62" i="6"/>
  <c r="G58" i="6"/>
  <c r="G54" i="6"/>
  <c r="G50" i="6"/>
  <c r="F10" i="6"/>
  <c r="G10" i="6" s="1"/>
  <c r="G37" i="6"/>
  <c r="G21" i="6"/>
  <c r="G149" i="5"/>
  <c r="G145" i="5"/>
  <c r="G141" i="5"/>
  <c r="G137" i="5"/>
  <c r="G133" i="5"/>
  <c r="G129" i="5"/>
  <c r="G125" i="5"/>
  <c r="G121" i="5"/>
  <c r="G117" i="5"/>
  <c r="G113" i="5"/>
  <c r="G109" i="5"/>
  <c r="G105" i="5"/>
  <c r="G101" i="5"/>
  <c r="G97" i="5"/>
  <c r="G93" i="5"/>
  <c r="G89" i="5"/>
  <c r="G85" i="5"/>
  <c r="G81" i="5"/>
  <c r="G77" i="5"/>
  <c r="G73" i="5"/>
  <c r="G69" i="5"/>
  <c r="G65" i="5"/>
  <c r="G61" i="5"/>
  <c r="G57" i="5"/>
  <c r="G53" i="5"/>
  <c r="G49" i="5"/>
  <c r="G44" i="5"/>
  <c r="G40" i="5"/>
  <c r="G36" i="5"/>
  <c r="G32" i="5"/>
  <c r="G28" i="5"/>
  <c r="G24" i="5"/>
  <c r="G20" i="5"/>
  <c r="G16" i="5"/>
  <c r="G12" i="5"/>
  <c r="G148" i="5"/>
  <c r="G144" i="5"/>
  <c r="G140" i="5"/>
  <c r="G136" i="5"/>
  <c r="G132" i="5"/>
  <c r="G128" i="5"/>
  <c r="G124" i="5"/>
  <c r="G120" i="5"/>
  <c r="G116" i="5"/>
  <c r="G112" i="5"/>
  <c r="G108" i="5"/>
  <c r="G104" i="5"/>
  <c r="G100" i="5"/>
  <c r="G96" i="5"/>
  <c r="G92" i="5"/>
  <c r="G88" i="5"/>
  <c r="G84" i="5"/>
  <c r="G80" i="5"/>
  <c r="G76" i="5"/>
  <c r="G72" i="5"/>
  <c r="G68" i="5"/>
  <c r="G64" i="5"/>
  <c r="G60" i="5"/>
  <c r="G56" i="5"/>
  <c r="G52" i="5"/>
  <c r="G37" i="5"/>
  <c r="G33" i="5"/>
  <c r="G21" i="5"/>
  <c r="F10" i="5"/>
  <c r="G10" i="5" s="1"/>
  <c r="G50" i="5"/>
  <c r="G54" i="5"/>
  <c r="G58" i="5"/>
  <c r="G62" i="5"/>
  <c r="G66" i="5"/>
  <c r="G70" i="5"/>
  <c r="G74" i="5"/>
  <c r="G78" i="5"/>
  <c r="G82" i="5"/>
  <c r="G86" i="5"/>
  <c r="G90" i="5"/>
  <c r="G94" i="5"/>
  <c r="G98" i="5"/>
  <c r="G102" i="5"/>
  <c r="G106" i="5"/>
  <c r="G110" i="5"/>
  <c r="G114" i="5"/>
  <c r="G118" i="5"/>
  <c r="G122" i="5"/>
  <c r="G126" i="5"/>
  <c r="G130" i="5"/>
  <c r="G134" i="5"/>
  <c r="G138" i="5"/>
  <c r="G142" i="5"/>
  <c r="G146" i="5"/>
  <c r="G150" i="5"/>
  <c r="G17" i="5"/>
  <c r="G29" i="5"/>
  <c r="G45" i="5"/>
  <c r="G14" i="5"/>
  <c r="G18" i="5"/>
  <c r="G22" i="5"/>
  <c r="G26" i="5"/>
  <c r="G30" i="5"/>
  <c r="G34" i="5"/>
  <c r="G38" i="5"/>
  <c r="G42" i="5"/>
  <c r="G46" i="5"/>
  <c r="G51" i="5"/>
  <c r="G55" i="5"/>
  <c r="G59" i="5"/>
  <c r="G63" i="5"/>
  <c r="G67" i="5"/>
  <c r="G71" i="5"/>
  <c r="G75" i="5"/>
  <c r="G79" i="5"/>
  <c r="G83" i="5"/>
  <c r="G87" i="5"/>
  <c r="G91" i="5"/>
  <c r="G95" i="5"/>
  <c r="G99" i="5"/>
  <c r="G103" i="5"/>
  <c r="G107" i="5"/>
  <c r="G111" i="5"/>
  <c r="G115" i="5"/>
  <c r="G119" i="5"/>
  <c r="G123" i="5"/>
  <c r="G127" i="5"/>
  <c r="G131" i="5"/>
  <c r="G135" i="5"/>
  <c r="G139" i="5"/>
  <c r="G143" i="5"/>
  <c r="G147" i="5"/>
  <c r="G151" i="5"/>
  <c r="G13" i="5"/>
  <c r="G25" i="5"/>
  <c r="G41" i="5"/>
  <c r="G11" i="5"/>
  <c r="G15" i="5"/>
  <c r="G19" i="5"/>
  <c r="G23" i="5"/>
  <c r="G27" i="5"/>
  <c r="G31" i="5"/>
  <c r="G35" i="5"/>
  <c r="G39" i="5"/>
  <c r="G43" i="5"/>
  <c r="G47" i="5"/>
  <c r="G149" i="4"/>
  <c r="G145" i="4"/>
  <c r="G141" i="4"/>
  <c r="G137" i="4"/>
  <c r="G133" i="4"/>
  <c r="G129" i="4"/>
  <c r="G125" i="4"/>
  <c r="G121" i="4"/>
  <c r="G117" i="4"/>
  <c r="G113" i="4"/>
  <c r="G109" i="4"/>
  <c r="G105" i="4"/>
  <c r="G101" i="4"/>
  <c r="G97" i="4"/>
  <c r="G93" i="4"/>
  <c r="G89" i="4"/>
  <c r="G85" i="4"/>
  <c r="G81" i="4"/>
  <c r="G77" i="4"/>
  <c r="G73" i="4"/>
  <c r="G69" i="4"/>
  <c r="G65" i="4"/>
  <c r="G61" i="4"/>
  <c r="G57" i="4"/>
  <c r="G53" i="4"/>
  <c r="G49" i="4"/>
  <c r="G44" i="4"/>
  <c r="G40" i="4"/>
  <c r="G36" i="4"/>
  <c r="G32" i="4"/>
  <c r="G28" i="4"/>
  <c r="G24" i="4"/>
  <c r="G20" i="4"/>
  <c r="G16" i="4"/>
  <c r="G12" i="4"/>
  <c r="G148" i="4"/>
  <c r="G144" i="4"/>
  <c r="G140" i="4"/>
  <c r="G136" i="4"/>
  <c r="G132" i="4"/>
  <c r="G128" i="4"/>
  <c r="G124" i="4"/>
  <c r="G120" i="4"/>
  <c r="G116" i="4"/>
  <c r="G112" i="4"/>
  <c r="G108" i="4"/>
  <c r="G104" i="4"/>
  <c r="G100" i="4"/>
  <c r="G96" i="4"/>
  <c r="G92" i="4"/>
  <c r="G88" i="4"/>
  <c r="G84" i="4"/>
  <c r="G80" i="4"/>
  <c r="G76" i="4"/>
  <c r="G72" i="4"/>
  <c r="G68" i="4"/>
  <c r="G64" i="4"/>
  <c r="G60" i="4"/>
  <c r="G56" i="4"/>
  <c r="G52" i="4"/>
  <c r="G47" i="4"/>
  <c r="G43" i="4"/>
  <c r="G39" i="4"/>
  <c r="G35" i="4"/>
  <c r="G31" i="4"/>
  <c r="G27" i="4"/>
  <c r="G23" i="4"/>
  <c r="G19" i="4"/>
  <c r="G15" i="4"/>
  <c r="G11" i="4"/>
  <c r="F10" i="4"/>
  <c r="G10" i="4" s="1"/>
  <c r="G151" i="4"/>
  <c r="G147" i="4"/>
  <c r="G143" i="4"/>
  <c r="G139" i="4"/>
  <c r="G135" i="4"/>
  <c r="G131" i="4"/>
  <c r="G127" i="4"/>
  <c r="G123" i="4"/>
  <c r="G119" i="4"/>
  <c r="G115" i="4"/>
  <c r="G111" i="4"/>
  <c r="G107" i="4"/>
  <c r="G103" i="4"/>
  <c r="G99" i="4"/>
  <c r="G95" i="4"/>
  <c r="G91" i="4"/>
  <c r="G87" i="4"/>
  <c r="G83" i="4"/>
  <c r="G79" i="4"/>
  <c r="G75" i="4"/>
  <c r="G71" i="4"/>
  <c r="G67" i="4"/>
  <c r="G63" i="4"/>
  <c r="G59" i="4"/>
  <c r="G55" i="4"/>
  <c r="G51" i="4"/>
  <c r="G46" i="4"/>
  <c r="G42" i="4"/>
  <c r="G38" i="4"/>
  <c r="G34" i="4"/>
  <c r="G30" i="4"/>
  <c r="G26" i="4"/>
  <c r="G22" i="4"/>
  <c r="G18" i="4"/>
  <c r="G14" i="4"/>
  <c r="G45" i="4"/>
  <c r="G41" i="4"/>
  <c r="G37" i="4"/>
  <c r="G33" i="4"/>
  <c r="G29" i="4"/>
  <c r="G25" i="4"/>
  <c r="G21" i="4"/>
  <c r="G17" i="4"/>
  <c r="G13" i="4"/>
  <c r="G97" i="2"/>
  <c r="G32" i="2"/>
  <c r="D196" i="34"/>
  <c r="D100" i="34"/>
  <c r="G89" i="2"/>
  <c r="G24" i="2"/>
  <c r="D188" i="34"/>
  <c r="G145" i="2"/>
  <c r="G81" i="2"/>
  <c r="D156" i="34" s="1"/>
  <c r="G16" i="2"/>
  <c r="D44" i="34" s="1"/>
  <c r="D180" i="34"/>
  <c r="D60" i="34"/>
  <c r="G137" i="2"/>
  <c r="G73" i="2"/>
  <c r="D52" i="34"/>
  <c r="G129" i="2"/>
  <c r="G65" i="2"/>
  <c r="G121" i="2"/>
  <c r="G57" i="2"/>
  <c r="D148" i="34"/>
  <c r="D36" i="34"/>
  <c r="G113" i="2"/>
  <c r="G49" i="2"/>
  <c r="D140" i="34"/>
  <c r="G146" i="2"/>
  <c r="G138" i="2"/>
  <c r="G130" i="2"/>
  <c r="G122" i="2"/>
  <c r="G114" i="2"/>
  <c r="G106" i="2"/>
  <c r="G98" i="2"/>
  <c r="D84" i="34" s="1"/>
  <c r="G90" i="2"/>
  <c r="G82" i="2"/>
  <c r="G74" i="2"/>
  <c r="G66" i="2"/>
  <c r="G58" i="2"/>
  <c r="G50" i="2"/>
  <c r="G41" i="2"/>
  <c r="D204" i="34" s="1"/>
  <c r="G33" i="2"/>
  <c r="G25" i="2"/>
  <c r="G17" i="2"/>
  <c r="D205" i="34"/>
  <c r="D197" i="34"/>
  <c r="D189" i="34"/>
  <c r="D181" i="34"/>
  <c r="D149" i="34"/>
  <c r="D125" i="34"/>
  <c r="D117" i="34"/>
  <c r="D77" i="34"/>
  <c r="D45" i="34"/>
  <c r="D37" i="34"/>
  <c r="D21" i="34"/>
  <c r="G10" i="2"/>
  <c r="G144" i="2"/>
  <c r="G136" i="2"/>
  <c r="G128" i="2"/>
  <c r="D106" i="34" s="1"/>
  <c r="G120" i="2"/>
  <c r="D28" i="34" s="1"/>
  <c r="G112" i="2"/>
  <c r="D76" i="34" s="1"/>
  <c r="G104" i="2"/>
  <c r="G96" i="2"/>
  <c r="G88" i="2"/>
  <c r="D141" i="34" s="1"/>
  <c r="G80" i="2"/>
  <c r="G72" i="2"/>
  <c r="G64" i="2"/>
  <c r="D74" i="34" s="1"/>
  <c r="G56" i="2"/>
  <c r="G47" i="2"/>
  <c r="G39" i="2"/>
  <c r="G31" i="2"/>
  <c r="G23" i="2"/>
  <c r="G15" i="2"/>
  <c r="D203" i="34"/>
  <c r="D195" i="34"/>
  <c r="D187" i="34"/>
  <c r="D179" i="34"/>
  <c r="D171" i="34"/>
  <c r="D155" i="34"/>
  <c r="D147" i="34"/>
  <c r="D139" i="34"/>
  <c r="D123" i="34"/>
  <c r="D115" i="34"/>
  <c r="D107" i="34"/>
  <c r="D75" i="34"/>
  <c r="D59" i="34"/>
  <c r="D35" i="34"/>
  <c r="D27" i="34"/>
  <c r="D19" i="34"/>
  <c r="D11" i="34"/>
  <c r="G151" i="2"/>
  <c r="G143" i="2"/>
  <c r="G135" i="2"/>
  <c r="G127" i="2"/>
  <c r="D99" i="34" s="1"/>
  <c r="G119" i="2"/>
  <c r="D20" i="34" s="1"/>
  <c r="G111" i="2"/>
  <c r="G103" i="2"/>
  <c r="G95" i="2"/>
  <c r="G87" i="2"/>
  <c r="G79" i="2"/>
  <c r="D51" i="34" s="1"/>
  <c r="G71" i="2"/>
  <c r="D131" i="34" s="1"/>
  <c r="G63" i="2"/>
  <c r="G55" i="2"/>
  <c r="D43" i="34" s="1"/>
  <c r="G46" i="2"/>
  <c r="G38" i="2"/>
  <c r="D165" i="34" s="1"/>
  <c r="G30" i="2"/>
  <c r="D108" i="34" s="1"/>
  <c r="G22" i="2"/>
  <c r="D70" i="34" s="1"/>
  <c r="G14" i="2"/>
  <c r="D42" i="34" s="1"/>
  <c r="D202" i="34"/>
  <c r="D194" i="34"/>
  <c r="D186" i="34"/>
  <c r="D178" i="34"/>
  <c r="D170" i="34"/>
  <c r="D162" i="34"/>
  <c r="D138" i="34"/>
  <c r="D122" i="34"/>
  <c r="D90" i="34"/>
  <c r="D82" i="34"/>
  <c r="D58" i="34"/>
  <c r="D50" i="34"/>
  <c r="D18" i="34"/>
  <c r="D10" i="34"/>
  <c r="G150" i="2"/>
  <c r="G142" i="2"/>
  <c r="D98" i="34" s="1"/>
  <c r="G134" i="2"/>
  <c r="D137" i="34" s="1"/>
  <c r="G126" i="2"/>
  <c r="D85" i="34" s="1"/>
  <c r="G118" i="2"/>
  <c r="D13" i="34" s="1"/>
  <c r="G110" i="2"/>
  <c r="D164" i="34" s="1"/>
  <c r="G102" i="2"/>
  <c r="D92" i="34" s="1"/>
  <c r="G94" i="2"/>
  <c r="G86" i="2"/>
  <c r="D68" i="34" s="1"/>
  <c r="G78" i="2"/>
  <c r="G70" i="2"/>
  <c r="D130" i="34" s="1"/>
  <c r="G62" i="2"/>
  <c r="D69" i="34" s="1"/>
  <c r="G54" i="2"/>
  <c r="D39" i="34" s="1"/>
  <c r="G45" i="2"/>
  <c r="D116" i="34" s="1"/>
  <c r="G37" i="2"/>
  <c r="D163" i="34" s="1"/>
  <c r="G29" i="2"/>
  <c r="G21" i="2"/>
  <c r="D66" i="34" s="1"/>
  <c r="G13" i="2"/>
  <c r="D209" i="34"/>
  <c r="D193" i="34"/>
  <c r="D185" i="34"/>
  <c r="D177" i="34"/>
  <c r="D169" i="34"/>
  <c r="D153" i="34"/>
  <c r="D129" i="34"/>
  <c r="D113" i="34"/>
  <c r="D89" i="34"/>
  <c r="D81" i="34"/>
  <c r="D73" i="34"/>
  <c r="D49" i="34"/>
  <c r="D41" i="34"/>
  <c r="D33" i="34"/>
  <c r="D25" i="34"/>
  <c r="D17" i="34"/>
  <c r="G149" i="2"/>
  <c r="G141" i="2"/>
  <c r="D93" i="34" s="1"/>
  <c r="G133" i="2"/>
  <c r="D172" i="34" s="1"/>
  <c r="G125" i="2"/>
  <c r="D83" i="34" s="1"/>
  <c r="G117" i="2"/>
  <c r="D5" i="34" s="1"/>
  <c r="G109" i="2"/>
  <c r="D161" i="34" s="1"/>
  <c r="G101" i="2"/>
  <c r="D136" i="34" s="1"/>
  <c r="G93" i="2"/>
  <c r="D132" i="34" s="1"/>
  <c r="G85" i="2"/>
  <c r="D15" i="34" s="1"/>
  <c r="G77" i="2"/>
  <c r="G69" i="2"/>
  <c r="D128" i="34" s="1"/>
  <c r="G61" i="2"/>
  <c r="D173" i="34" s="1"/>
  <c r="G53" i="2"/>
  <c r="D34" i="34" s="1"/>
  <c r="G44" i="2"/>
  <c r="D114" i="34" s="1"/>
  <c r="G36" i="2"/>
  <c r="D157" i="34" s="1"/>
  <c r="G28" i="2"/>
  <c r="D105" i="34" s="1"/>
  <c r="G20" i="2"/>
  <c r="D63" i="34" s="1"/>
  <c r="G12" i="2"/>
  <c r="D6" i="34" s="1"/>
  <c r="D208" i="34"/>
  <c r="D200" i="34"/>
  <c r="D192" i="34"/>
  <c r="D184" i="34"/>
  <c r="D168" i="34"/>
  <c r="D160" i="34"/>
  <c r="D152" i="34"/>
  <c r="D144" i="34"/>
  <c r="D120" i="34"/>
  <c r="D112" i="34"/>
  <c r="D104" i="34"/>
  <c r="D96" i="34"/>
  <c r="D80" i="34"/>
  <c r="D72" i="34"/>
  <c r="D56" i="34"/>
  <c r="D48" i="34"/>
  <c r="D40" i="34"/>
  <c r="D32" i="34"/>
  <c r="D24" i="34"/>
  <c r="D16" i="34"/>
  <c r="G148" i="2"/>
  <c r="G140" i="2"/>
  <c r="D57" i="34" s="1"/>
  <c r="G132" i="2"/>
  <c r="G124" i="2"/>
  <c r="D67" i="34" s="1"/>
  <c r="G116" i="2"/>
  <c r="G108" i="2"/>
  <c r="D146" i="34" s="1"/>
  <c r="G100" i="2"/>
  <c r="D88" i="34" s="1"/>
  <c r="G92" i="2"/>
  <c r="G84" i="2"/>
  <c r="D154" i="34" s="1"/>
  <c r="G76" i="2"/>
  <c r="D201" i="34" s="1"/>
  <c r="G68" i="2"/>
  <c r="D121" i="34" s="1"/>
  <c r="G60" i="2"/>
  <c r="G52" i="2"/>
  <c r="D26" i="34" s="1"/>
  <c r="G43" i="2"/>
  <c r="D8" i="34" s="1"/>
  <c r="G35" i="2"/>
  <c r="D145" i="34" s="1"/>
  <c r="G27" i="2"/>
  <c r="D101" i="34" s="1"/>
  <c r="G19" i="2"/>
  <c r="G11" i="2"/>
  <c r="D29" i="34" s="1"/>
  <c r="D207" i="34"/>
  <c r="D199" i="34"/>
  <c r="D191" i="34"/>
  <c r="D183" i="34"/>
  <c r="D175" i="34"/>
  <c r="D167" i="34"/>
  <c r="D159" i="34"/>
  <c r="D151" i="34"/>
  <c r="D143" i="34"/>
  <c r="D135" i="34"/>
  <c r="D119" i="34"/>
  <c r="D111" i="34"/>
  <c r="D103" i="34"/>
  <c r="D95" i="34"/>
  <c r="D79" i="34"/>
  <c r="D71" i="34"/>
  <c r="D55" i="34"/>
  <c r="D47" i="34"/>
  <c r="D31" i="34"/>
  <c r="D7" i="34"/>
  <c r="G147" i="2"/>
  <c r="G139" i="2"/>
  <c r="D65" i="34" s="1"/>
  <c r="G131" i="2"/>
  <c r="D133" i="34" s="1"/>
  <c r="G123" i="2"/>
  <c r="D61" i="34" s="1"/>
  <c r="G115" i="2"/>
  <c r="D64" i="34" s="1"/>
  <c r="G107" i="2"/>
  <c r="D127" i="34" s="1"/>
  <c r="G99" i="2"/>
  <c r="D87" i="34" s="1"/>
  <c r="G91" i="2"/>
  <c r="D91" i="34" s="1"/>
  <c r="G83" i="2"/>
  <c r="D9" i="34" s="1"/>
  <c r="G75" i="2"/>
  <c r="D176" i="34" s="1"/>
  <c r="G67" i="2"/>
  <c r="D109" i="34" s="1"/>
  <c r="G59" i="2"/>
  <c r="D53" i="34" s="1"/>
  <c r="G51" i="2"/>
  <c r="D23" i="34" s="1"/>
  <c r="G42" i="2"/>
  <c r="D190" i="34" s="1"/>
  <c r="G34" i="2"/>
  <c r="G26" i="2"/>
  <c r="D97" i="34" s="1"/>
  <c r="G18" i="2"/>
  <c r="D54" i="34" s="1"/>
  <c r="D206" i="34"/>
  <c r="D198" i="34"/>
  <c r="D182" i="34"/>
  <c r="D174" i="34"/>
  <c r="D166" i="34"/>
  <c r="D158" i="34"/>
  <c r="D150" i="34"/>
  <c r="D142" i="34"/>
  <c r="D134" i="34"/>
  <c r="D126" i="34"/>
  <c r="D118" i="34"/>
  <c r="D110" i="34"/>
  <c r="D102" i="34"/>
  <c r="D94" i="34"/>
  <c r="D86" i="34"/>
  <c r="D78" i="34"/>
  <c r="D62" i="34"/>
  <c r="D46" i="34"/>
  <c r="D38" i="34"/>
  <c r="D30" i="34"/>
  <c r="D22" i="34"/>
  <c r="D14" i="34"/>
  <c r="G149" i="3"/>
  <c r="G145" i="3"/>
  <c r="G141" i="3"/>
  <c r="G137" i="3"/>
  <c r="G133" i="3"/>
  <c r="G129" i="3"/>
  <c r="G125" i="3"/>
  <c r="G121" i="3"/>
  <c r="G117" i="3"/>
  <c r="G113" i="3"/>
  <c r="G109" i="3"/>
  <c r="G105" i="3"/>
  <c r="G101" i="3"/>
  <c r="G97" i="3"/>
  <c r="G93" i="3"/>
  <c r="G89" i="3"/>
  <c r="G85" i="3"/>
  <c r="G81" i="3"/>
  <c r="G77" i="3"/>
  <c r="G73" i="3"/>
  <c r="G69" i="3"/>
  <c r="G65" i="3"/>
  <c r="G61" i="3"/>
  <c r="G57" i="3"/>
  <c r="G53" i="3"/>
  <c r="G49" i="3"/>
  <c r="G45" i="3"/>
  <c r="G41" i="3"/>
  <c r="G37" i="3"/>
  <c r="G33" i="3"/>
  <c r="G29" i="3"/>
  <c r="G25" i="3"/>
  <c r="G21" i="3"/>
  <c r="G17" i="3"/>
  <c r="G13" i="3"/>
  <c r="G10" i="3"/>
  <c r="G11" i="3"/>
  <c r="G15" i="3"/>
  <c r="G19" i="3"/>
  <c r="G23" i="3"/>
  <c r="G27" i="3"/>
  <c r="G31" i="3"/>
  <c r="G35" i="3"/>
  <c r="G39" i="3"/>
  <c r="G43" i="3"/>
  <c r="G47" i="3"/>
  <c r="G51" i="3"/>
  <c r="G55" i="3"/>
  <c r="G59" i="3"/>
  <c r="G63" i="3"/>
  <c r="G67" i="3"/>
  <c r="G71" i="3"/>
  <c r="G75" i="3"/>
  <c r="G79" i="3"/>
  <c r="G83" i="3"/>
  <c r="G87" i="3"/>
  <c r="G91" i="3"/>
  <c r="G95" i="3"/>
  <c r="G99" i="3"/>
  <c r="G103" i="3"/>
  <c r="G107" i="3"/>
  <c r="G111" i="3"/>
  <c r="G115" i="3"/>
  <c r="G119" i="3"/>
  <c r="G123" i="3"/>
  <c r="G127" i="3"/>
  <c r="G131" i="3"/>
  <c r="G135" i="3"/>
  <c r="G139" i="3"/>
  <c r="G143" i="3"/>
  <c r="G147" i="3"/>
  <c r="G151" i="3"/>
  <c r="G12" i="3"/>
  <c r="G16" i="3"/>
  <c r="G20" i="3"/>
  <c r="G24" i="3"/>
  <c r="G28" i="3"/>
  <c r="G32" i="3"/>
  <c r="G36" i="3"/>
  <c r="G40" i="3"/>
  <c r="G44" i="3"/>
  <c r="G48" i="3"/>
  <c r="G52" i="3"/>
  <c r="G56" i="3"/>
  <c r="G60" i="3"/>
  <c r="G64" i="3"/>
  <c r="G68" i="3"/>
  <c r="G72" i="3"/>
  <c r="G76" i="3"/>
  <c r="G80" i="3"/>
  <c r="G84" i="3"/>
  <c r="G88" i="3"/>
  <c r="G92" i="3"/>
  <c r="G96" i="3"/>
  <c r="G100" i="3"/>
  <c r="G104" i="3"/>
  <c r="G108" i="3"/>
  <c r="G112" i="3"/>
  <c r="G116" i="3"/>
  <c r="G120" i="3"/>
  <c r="G124" i="3"/>
  <c r="G128" i="3"/>
  <c r="G132" i="3"/>
  <c r="G136" i="3"/>
  <c r="G140" i="3"/>
  <c r="G144" i="3"/>
  <c r="G148" i="3"/>
  <c r="C1" i="3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<sst xmlns="http://schemas.openxmlformats.org/spreadsheetml/2006/main" count="4730" uniqueCount="493">
  <si>
    <t>TOTAL</t>
  </si>
  <si>
    <t xml:space="preserve">   </t>
  </si>
  <si>
    <t xml:space="preserve">   AFRICA</t>
  </si>
  <si>
    <t xml:space="preserve">   AMERICA</t>
  </si>
  <si>
    <t xml:space="preserve">   ASIA</t>
  </si>
  <si>
    <t xml:space="preserve">   EUROPA</t>
  </si>
  <si>
    <t xml:space="preserve">   OCEANIA</t>
  </si>
  <si>
    <t xml:space="preserve">   Resto Países (*)</t>
  </si>
  <si>
    <t>A Ñ O  2 0 0 9</t>
  </si>
  <si>
    <t>A Ñ O    2 0 1 0</t>
  </si>
  <si>
    <t>VALOR F.O.B.</t>
  </si>
  <si>
    <t xml:space="preserve">PESO NETO    </t>
  </si>
  <si>
    <t>PESO NETO</t>
  </si>
  <si>
    <t xml:space="preserve">(en Dólares) </t>
  </si>
  <si>
    <t>(en Kilos)</t>
  </si>
  <si>
    <t>(en Dólares)</t>
  </si>
  <si>
    <t>Fuente: INDEC-IPEC</t>
  </si>
  <si>
    <t>DESCONOCIDO</t>
  </si>
  <si>
    <t>A Ñ O  2 0 0 8</t>
  </si>
  <si>
    <t>A Ñ O  2 0 0 7</t>
  </si>
  <si>
    <t>A Ñ O  2 0 0 6</t>
  </si>
  <si>
    <t>A Ñ O  2 0 0 5</t>
  </si>
  <si>
    <t>A Ñ O  2 0 0 2</t>
  </si>
  <si>
    <t>A Ñ O  2 0 0 3</t>
  </si>
  <si>
    <t>A Ñ O  2 0 0 4</t>
  </si>
  <si>
    <t>A Ñ O  2 0 0 1</t>
  </si>
  <si>
    <t>AFRICA</t>
  </si>
  <si>
    <t xml:space="preserve">Burkina Faso </t>
  </si>
  <si>
    <t xml:space="preserve">Argelia </t>
  </si>
  <si>
    <t xml:space="preserve">Botswana </t>
  </si>
  <si>
    <t>-</t>
  </si>
  <si>
    <t xml:space="preserve">Camerún </t>
  </si>
  <si>
    <t xml:space="preserve">República Centroafricana </t>
  </si>
  <si>
    <t xml:space="preserve">Congo </t>
  </si>
  <si>
    <t>Rep Democrática del Congo (ex Zaire)</t>
  </si>
  <si>
    <t xml:space="preserve">Costa de Marfil </t>
  </si>
  <si>
    <t xml:space="preserve">Chad </t>
  </si>
  <si>
    <t xml:space="preserve">Benin </t>
  </si>
  <si>
    <t xml:space="preserve">Egipto </t>
  </si>
  <si>
    <t xml:space="preserve">Gabón </t>
  </si>
  <si>
    <t xml:space="preserve">Gambia </t>
  </si>
  <si>
    <t xml:space="preserve">Ghana </t>
  </si>
  <si>
    <t xml:space="preserve">Guinea </t>
  </si>
  <si>
    <t xml:space="preserve">Guinea Ecuatorial </t>
  </si>
  <si>
    <t xml:space="preserve">Kenya </t>
  </si>
  <si>
    <t xml:space="preserve">Liberia </t>
  </si>
  <si>
    <t xml:space="preserve">Libia </t>
  </si>
  <si>
    <t xml:space="preserve">Madagascar </t>
  </si>
  <si>
    <t xml:space="preserve">Malawi </t>
  </si>
  <si>
    <t xml:space="preserve">Mali </t>
  </si>
  <si>
    <t xml:space="preserve">Marruecos </t>
  </si>
  <si>
    <t xml:space="preserve">Mauricio </t>
  </si>
  <si>
    <t xml:space="preserve">Mauritania </t>
  </si>
  <si>
    <t xml:space="preserve">Níger </t>
  </si>
  <si>
    <t xml:space="preserve">Nigeria </t>
  </si>
  <si>
    <t xml:space="preserve">Zimbabwe </t>
  </si>
  <si>
    <t xml:space="preserve">Rwanda </t>
  </si>
  <si>
    <t xml:space="preserve">Senegal </t>
  </si>
  <si>
    <t xml:space="preserve">Sierra Leona </t>
  </si>
  <si>
    <t xml:space="preserve">Sudán </t>
  </si>
  <si>
    <t xml:space="preserve">Tanzania </t>
  </si>
  <si>
    <t xml:space="preserve">Togo </t>
  </si>
  <si>
    <t xml:space="preserve">Túnez </t>
  </si>
  <si>
    <t xml:space="preserve">Uganda </t>
  </si>
  <si>
    <t xml:space="preserve">Zambia </t>
  </si>
  <si>
    <t>Territorios vinculados a España</t>
  </si>
  <si>
    <t>Territorios vinculados a Francia</t>
  </si>
  <si>
    <t xml:space="preserve">Angola </t>
  </si>
  <si>
    <t xml:space="preserve">Cabo Verde </t>
  </si>
  <si>
    <t xml:space="preserve">Mozambique </t>
  </si>
  <si>
    <t xml:space="preserve">Seychelles </t>
  </si>
  <si>
    <t xml:space="preserve">Djibouti </t>
  </si>
  <si>
    <t xml:space="preserve">Comoras </t>
  </si>
  <si>
    <t xml:space="preserve">Guinea Bissau </t>
  </si>
  <si>
    <t xml:space="preserve">Santo Tomé y Príncipe </t>
  </si>
  <si>
    <t xml:space="preserve">Namibia </t>
  </si>
  <si>
    <t xml:space="preserve">Sudáfrica </t>
  </si>
  <si>
    <t xml:space="preserve">Etiopía </t>
  </si>
  <si>
    <t>AMERICA</t>
  </si>
  <si>
    <t xml:space="preserve">Barbados </t>
  </si>
  <si>
    <t xml:space="preserve">Bolivia </t>
  </si>
  <si>
    <t xml:space="preserve">Brasil </t>
  </si>
  <si>
    <t xml:space="preserve">Canadá </t>
  </si>
  <si>
    <t xml:space="preserve">Colombia </t>
  </si>
  <si>
    <t xml:space="preserve">Costa Rica </t>
  </si>
  <si>
    <t xml:space="preserve">Cuba </t>
  </si>
  <si>
    <t xml:space="preserve">Chile </t>
  </si>
  <si>
    <t xml:space="preserve">República Dominicana </t>
  </si>
  <si>
    <t xml:space="preserve">Ecuador </t>
  </si>
  <si>
    <t xml:space="preserve">El Salvador </t>
  </si>
  <si>
    <t xml:space="preserve">Estados Unidos </t>
  </si>
  <si>
    <t xml:space="preserve">Guatemala </t>
  </si>
  <si>
    <t xml:space="preserve">Guyana </t>
  </si>
  <si>
    <t xml:space="preserve">Haití </t>
  </si>
  <si>
    <t xml:space="preserve">Honduras </t>
  </si>
  <si>
    <t xml:space="preserve">Jamaica </t>
  </si>
  <si>
    <t xml:space="preserve">México </t>
  </si>
  <si>
    <t xml:space="preserve">Nicaragua </t>
  </si>
  <si>
    <t xml:space="preserve">Panamá </t>
  </si>
  <si>
    <t xml:space="preserve">Paraguay </t>
  </si>
  <si>
    <t xml:space="preserve">Perú </t>
  </si>
  <si>
    <t xml:space="preserve">Puerto Rico(Estado Asociado) </t>
  </si>
  <si>
    <t xml:space="preserve">Trinidad y Tobago </t>
  </si>
  <si>
    <t xml:space="preserve">Uruguay </t>
  </si>
  <si>
    <t xml:space="preserve">Venezuela </t>
  </si>
  <si>
    <t xml:space="preserve">Suriname </t>
  </si>
  <si>
    <t xml:space="preserve">Dominica </t>
  </si>
  <si>
    <t xml:space="preserve">Santa Lucía </t>
  </si>
  <si>
    <t xml:space="preserve">San Vicente y las Granadinas </t>
  </si>
  <si>
    <t xml:space="preserve">Belice </t>
  </si>
  <si>
    <t xml:space="preserve">Antigua y Barbuda </t>
  </si>
  <si>
    <t xml:space="preserve">San Cristóbal y Nevis </t>
  </si>
  <si>
    <t xml:space="preserve">Bahamas </t>
  </si>
  <si>
    <t xml:space="preserve">Grenada </t>
  </si>
  <si>
    <t xml:space="preserve">Antillas Holandesas </t>
  </si>
  <si>
    <t xml:space="preserve">Aruba </t>
  </si>
  <si>
    <t xml:space="preserve">Iquique (Chile) </t>
  </si>
  <si>
    <t xml:space="preserve">Punta Arenas (Chile) </t>
  </si>
  <si>
    <t xml:space="preserve">Colonia (Uruguay) </t>
  </si>
  <si>
    <t>ASIA</t>
  </si>
  <si>
    <t xml:space="preserve">Afganistán </t>
  </si>
  <si>
    <t xml:space="preserve">Arabia Saudita </t>
  </si>
  <si>
    <t xml:space="preserve">Bahrein </t>
  </si>
  <si>
    <t xml:space="preserve">Myanmar (ex Birmania) Unión de </t>
  </si>
  <si>
    <t xml:space="preserve">Camboya (ex Kampuchea) </t>
  </si>
  <si>
    <t xml:space="preserve">Sri Lanka </t>
  </si>
  <si>
    <t xml:space="preserve">Corea Republicana </t>
  </si>
  <si>
    <t xml:space="preserve">China </t>
  </si>
  <si>
    <t xml:space="preserve">Filipinas </t>
  </si>
  <si>
    <t xml:space="preserve">Taiwan </t>
  </si>
  <si>
    <t xml:space="preserve">India </t>
  </si>
  <si>
    <t xml:space="preserve">Indonesia </t>
  </si>
  <si>
    <t xml:space="preserve">Iraq </t>
  </si>
  <si>
    <t xml:space="preserve">Irán </t>
  </si>
  <si>
    <t xml:space="preserve">Israel </t>
  </si>
  <si>
    <t xml:space="preserve">Japón </t>
  </si>
  <si>
    <t xml:space="preserve">Jordania </t>
  </si>
  <si>
    <t xml:space="preserve">Qatar </t>
  </si>
  <si>
    <t xml:space="preserve">Kuwait </t>
  </si>
  <si>
    <t xml:space="preserve">Líbano </t>
  </si>
  <si>
    <t xml:space="preserve">Malasia </t>
  </si>
  <si>
    <t xml:space="preserve">Maldivas </t>
  </si>
  <si>
    <t xml:space="preserve">Omán </t>
  </si>
  <si>
    <t xml:space="preserve">Mongolia </t>
  </si>
  <si>
    <t xml:space="preserve">Nepal </t>
  </si>
  <si>
    <t xml:space="preserve">Emiratos Arabes Unidos </t>
  </si>
  <si>
    <t xml:space="preserve">Paquistán </t>
  </si>
  <si>
    <t xml:space="preserve">Singapur </t>
  </si>
  <si>
    <t xml:space="preserve">Siria </t>
  </si>
  <si>
    <t xml:space="preserve">Tailandia </t>
  </si>
  <si>
    <t xml:space="preserve">Vietnam </t>
  </si>
  <si>
    <t xml:space="preserve">Hong Kong </t>
  </si>
  <si>
    <t xml:space="preserve">Macao </t>
  </si>
  <si>
    <t xml:space="preserve">Bangladesh </t>
  </si>
  <si>
    <t xml:space="preserve">República de Yemen </t>
  </si>
  <si>
    <t xml:space="preserve">Armenia </t>
  </si>
  <si>
    <t xml:space="preserve">Azerbaiján </t>
  </si>
  <si>
    <t xml:space="preserve">Georgia </t>
  </si>
  <si>
    <t xml:space="preserve">Kazajstán </t>
  </si>
  <si>
    <t>Territorios Autónomos Palestinos (Gaza y Jericó)</t>
  </si>
  <si>
    <t>EUROPA</t>
  </si>
  <si>
    <t xml:space="preserve">Albania </t>
  </si>
  <si>
    <t xml:space="preserve">Austria </t>
  </si>
  <si>
    <t xml:space="preserve">Bélgica </t>
  </si>
  <si>
    <t xml:space="preserve">Bulgaria </t>
  </si>
  <si>
    <t xml:space="preserve">Dinamarca </t>
  </si>
  <si>
    <t xml:space="preserve">España </t>
  </si>
  <si>
    <t xml:space="preserve">Finlandia </t>
  </si>
  <si>
    <t xml:space="preserve">Francia </t>
  </si>
  <si>
    <t xml:space="preserve">Grecia </t>
  </si>
  <si>
    <t xml:space="preserve">Hungría </t>
  </si>
  <si>
    <t xml:space="preserve">Irlanda </t>
  </si>
  <si>
    <t xml:space="preserve">Islandia </t>
  </si>
  <si>
    <t xml:space="preserve">Italia </t>
  </si>
  <si>
    <t xml:space="preserve">Luxemburgo </t>
  </si>
  <si>
    <t xml:space="preserve">Malta </t>
  </si>
  <si>
    <t xml:space="preserve">Noruega </t>
  </si>
  <si>
    <t xml:space="preserve">Países Bajos </t>
  </si>
  <si>
    <t xml:space="preserve">Polonia </t>
  </si>
  <si>
    <t xml:space="preserve">Portugal </t>
  </si>
  <si>
    <t xml:space="preserve">Reino Unido </t>
  </si>
  <si>
    <t xml:space="preserve">Rumania </t>
  </si>
  <si>
    <t xml:space="preserve">Suecia </t>
  </si>
  <si>
    <t xml:space="preserve">Suiza </t>
  </si>
  <si>
    <t xml:space="preserve">Chipre </t>
  </si>
  <si>
    <t xml:space="preserve">Turquía </t>
  </si>
  <si>
    <t xml:space="preserve">República Federal de Alemania </t>
  </si>
  <si>
    <t xml:space="preserve">Bielorrusia </t>
  </si>
  <si>
    <t xml:space="preserve">Estonia </t>
  </si>
  <si>
    <t xml:space="preserve">Letonia </t>
  </si>
  <si>
    <t xml:space="preserve">Lituania </t>
  </si>
  <si>
    <t xml:space="preserve">Rusia </t>
  </si>
  <si>
    <t xml:space="preserve">Ucrania </t>
  </si>
  <si>
    <t xml:space="preserve">Bosnia Herzegovina </t>
  </si>
  <si>
    <t xml:space="preserve">Croacia </t>
  </si>
  <si>
    <t xml:space="preserve">Eslovaquia </t>
  </si>
  <si>
    <t xml:space="preserve">Eslovenia </t>
  </si>
  <si>
    <t xml:space="preserve">Macedonia </t>
  </si>
  <si>
    <t xml:space="preserve">República Checa </t>
  </si>
  <si>
    <t xml:space="preserve">Montenegro </t>
  </si>
  <si>
    <t xml:space="preserve">Serbia </t>
  </si>
  <si>
    <t>OCEANIA</t>
  </si>
  <si>
    <t xml:space="preserve">Australia </t>
  </si>
  <si>
    <t xml:space="preserve">Nueva Zelanda </t>
  </si>
  <si>
    <t xml:space="preserve">Islas Salomón </t>
  </si>
  <si>
    <t xml:space="preserve">Demás países </t>
  </si>
  <si>
    <t>A Ñ O    2 0 1 1</t>
  </si>
  <si>
    <t xml:space="preserve">Burundi </t>
  </si>
  <si>
    <t xml:space="preserve">Nueva Palmira (Uruguay) </t>
  </si>
  <si>
    <t xml:space="preserve">Moldavia </t>
  </si>
  <si>
    <t xml:space="preserve">Samoa Occidental </t>
  </si>
  <si>
    <t xml:space="preserve">Papua Nueva Guinea </t>
  </si>
  <si>
    <t>A Ñ O    2 0 1 2</t>
  </si>
  <si>
    <t xml:space="preserve">Eritrea </t>
  </si>
  <si>
    <t>A Ñ O    2 0 1 3</t>
  </si>
  <si>
    <t xml:space="preserve">Brunei </t>
  </si>
  <si>
    <t>A Ñ O    2 0 1 4</t>
  </si>
  <si>
    <t xml:space="preserve">Sudán del Sur </t>
  </si>
  <si>
    <t>Territorios vinculados al Reino Unido</t>
  </si>
  <si>
    <t>A Ñ O    2 0 1 5</t>
  </si>
  <si>
    <t>Funete: INDEC-IPEC</t>
  </si>
  <si>
    <t>A Ñ O    2 0 1 6</t>
  </si>
  <si>
    <r>
      <t>Fuente:</t>
    </r>
    <r>
      <rPr>
        <sz val="8"/>
        <rFont val="Arial"/>
        <family val="2"/>
      </rPr>
      <t xml:space="preserve"> INDEC-IPEC</t>
    </r>
  </si>
  <si>
    <t xml:space="preserve">   DESCONOCIDO</t>
  </si>
  <si>
    <t>Valor F.O.B.</t>
  </si>
  <si>
    <t>Peso Neto</t>
  </si>
  <si>
    <t>Enero - diciembre 2019</t>
  </si>
  <si>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Los datos se presentan protegidos de acuerdo a la normativa vigente sobre secreto estadístico y protección de datos individuales (art. 10º de la ley 17.622; título VI del decreto 3.110; art. 1º de la disposición 176/99, entre otros).</t>
    </r>
  </si>
  <si>
    <t>(-) dato igual a cero.</t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</si>
  <si>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IPEC - INDEC.</t>
    </r>
  </si>
  <si>
    <t>Enero - diciembre 2020</t>
  </si>
  <si>
    <t>Enero - diciembre 2021</t>
  </si>
  <si>
    <t>Enero - diciembre 2018</t>
  </si>
  <si>
    <t>País de destino</t>
  </si>
  <si>
    <t>/// Dato que no corresponde presentar debido a la naturaleza de las cosas o del cálculo.</t>
  </si>
  <si>
    <t>Enero - diciembre 2017</t>
  </si>
  <si>
    <t>Enero - diciembre 2022</t>
  </si>
  <si>
    <t>Evolución de las exportaciones con origen en la provincia de Santa Fe, según destino. Período enero - diciembre de 2022.</t>
  </si>
  <si>
    <t>Evolución de las exportaciones con origen en la provincia de Santa Fe, según destino. Período enero - diciembre de 2021.</t>
  </si>
  <si>
    <t>Evolución de las exportaciones con origen en la provincia de Santa Fe, según destino. Período enero - diciembre de 2020.</t>
  </si>
  <si>
    <t>Evolución de las exportaciones con origen en la provincia de Santa Fe, según destino. Período enero - diciembre de 2019.</t>
  </si>
  <si>
    <t>Evolución de las exportaciones con origen en la provincia de Santa Fe, según destino. Período enero - diciembre de 2018.</t>
  </si>
  <si>
    <t>Evolución de las exportaciones con origen en la provincia de Santa Fe, según destino. Período enero - diciembre de 2017.</t>
  </si>
  <si>
    <t xml:space="preserve">Evolución de las exportaciones con origen en la provincia de Santa Fe, según destino. Enero - diciembre de 2016. </t>
  </si>
  <si>
    <t xml:space="preserve">Evolución de las exportaciones con origen en la provincia de Santa Fe, según destino. Enero - diciembre de 2015. </t>
  </si>
  <si>
    <t xml:space="preserve">Evolución de las exportaciones con origen en la provincia de Santa Fe, según destino. Enero - diciembre de 2014. </t>
  </si>
  <si>
    <t xml:space="preserve">Evolución de las exportaciones con origen en la provincia de Santa Fe, según destino. Enero - diciembre de 2013. </t>
  </si>
  <si>
    <t xml:space="preserve">Evolución de las exportaciones con origen en la provincia de Santa Fe, según destino. Enero - diciembre de 2012. </t>
  </si>
  <si>
    <t xml:space="preserve">Evolución de las exportaciones con origen en la provincia de Santa Fe, según destino. Enero - diciembre de 2011. </t>
  </si>
  <si>
    <t xml:space="preserve">Evolución de las exportaciones con origen en la provincia de Santa Fe, según destino. Enero - diciembre de 2010. </t>
  </si>
  <si>
    <t>Evolución de las exportaciones con origen en la provincia de Santa Fe, según destino. Enero - diciembre de 2009</t>
  </si>
  <si>
    <t>Evolución de las exportaciones con origen en la provincia de Santa Fe, según destino. Enero - diciembre de 2008</t>
  </si>
  <si>
    <t>Evolución de las exportaciones con origen en la provincia de Santa Fe, según destino. Enero - diciembre de 2007</t>
  </si>
  <si>
    <t>Evolución de las exportaciones con origen en la provincia de Santa Fe, según destino. Enero - diciembre de 2006</t>
  </si>
  <si>
    <t>Evolución de las exportaciones con origen en la provincia de Santa Fe, según destino. Enero - diciembre de 2005</t>
  </si>
  <si>
    <t>Evolución de las exportaciones con origen en la provincia de Santa Fe, según destino. Enero - diciembre de 2004</t>
  </si>
  <si>
    <t>Evolución de las exportaciones con origen en la provincia de Santa Fe, según destino. Enero - diciembre de 2003</t>
  </si>
  <si>
    <t>Evolución de las exportaciones con origen en la provincia de Santa Fe, según destino. Enero - diciembre de 2002</t>
  </si>
  <si>
    <t>Evolución de las exportaciones con origen en la provincia de Santa Fe, según destino. Enero - diciembre de 2001</t>
  </si>
  <si>
    <t>Enero - diciembre 2023</t>
  </si>
  <si>
    <t>Evolución de las exportaciones con origen en la provincia de Santa Fe, según destino. Período enero - diciembre de 2023.</t>
  </si>
  <si>
    <t>Evolución de las exportaciones con origen en la provincia de Santa Fe, según destino. Período enero - diciembre de 2024.</t>
  </si>
  <si>
    <t>Enero - diciembre 2024</t>
  </si>
  <si>
    <t>Afganistán</t>
  </si>
  <si>
    <t>Albania</t>
  </si>
  <si>
    <t>Argelia</t>
  </si>
  <si>
    <t>Andorra</t>
  </si>
  <si>
    <t>Angola</t>
  </si>
  <si>
    <t>Antigua y Barbuda</t>
  </si>
  <si>
    <t>Armenia</t>
  </si>
  <si>
    <t>Aruba</t>
  </si>
  <si>
    <t>Australia</t>
  </si>
  <si>
    <t>Austria</t>
  </si>
  <si>
    <t>Azerbaiján</t>
  </si>
  <si>
    <t>Bahamas</t>
  </si>
  <si>
    <t>Bahrein</t>
  </si>
  <si>
    <t>Bangladesh</t>
  </si>
  <si>
    <t>Barbados</t>
  </si>
  <si>
    <t>Bielorrusia</t>
  </si>
  <si>
    <t>Bélgica</t>
  </si>
  <si>
    <t>Belice</t>
  </si>
  <si>
    <t>Benin</t>
  </si>
  <si>
    <t>Bolivia</t>
  </si>
  <si>
    <t>Bosnia Herzegovina</t>
  </si>
  <si>
    <t>Botswana</t>
  </si>
  <si>
    <t>Brasil</t>
  </si>
  <si>
    <t>Brunei</t>
  </si>
  <si>
    <t>Bulgaria</t>
  </si>
  <si>
    <t>Burkina Faso</t>
  </si>
  <si>
    <t>Burundi</t>
  </si>
  <si>
    <t>Cabo Verde</t>
  </si>
  <si>
    <t>Camboya (ex Kampuchea)</t>
  </si>
  <si>
    <t>Camerún</t>
  </si>
  <si>
    <t>Canadá</t>
  </si>
  <si>
    <t>Republica Centroafricana</t>
  </si>
  <si>
    <t>Chad</t>
  </si>
  <si>
    <t>Chile</t>
  </si>
  <si>
    <t>China</t>
  </si>
  <si>
    <t>Colombia</t>
  </si>
  <si>
    <t>Comoras</t>
  </si>
  <si>
    <t>Rep. Democrática del Congo (ex Zaire)</t>
  </si>
  <si>
    <t>Congo</t>
  </si>
  <si>
    <t>Costa Rica</t>
  </si>
  <si>
    <t>Costa de Marfil</t>
  </si>
  <si>
    <t>Croacia</t>
  </si>
  <si>
    <t>Curazao</t>
  </si>
  <si>
    <t>Chipre</t>
  </si>
  <si>
    <t>República Checa</t>
  </si>
  <si>
    <t>Dinamarca</t>
  </si>
  <si>
    <t>Djibouti</t>
  </si>
  <si>
    <t>Dominica</t>
  </si>
  <si>
    <t>República Dominicana</t>
  </si>
  <si>
    <t>Ecuador</t>
  </si>
  <si>
    <t>Egipto</t>
  </si>
  <si>
    <t>El Salvador</t>
  </si>
  <si>
    <t>Eritrea</t>
  </si>
  <si>
    <t>Estonia</t>
  </si>
  <si>
    <t>Etiopía</t>
  </si>
  <si>
    <t>Fiji</t>
  </si>
  <si>
    <t>Finlandia</t>
  </si>
  <si>
    <t>Francia</t>
  </si>
  <si>
    <t>Gabón</t>
  </si>
  <si>
    <t>Gambia</t>
  </si>
  <si>
    <t>Georgia</t>
  </si>
  <si>
    <t>República Federal de Alemania</t>
  </si>
  <si>
    <t>Ghana</t>
  </si>
  <si>
    <t>Grecia</t>
  </si>
  <si>
    <t>Grenada</t>
  </si>
  <si>
    <t>Guatemala</t>
  </si>
  <si>
    <t>Guinea</t>
  </si>
  <si>
    <t>Guinea Ecuatorial</t>
  </si>
  <si>
    <t>Guinea Bissau</t>
  </si>
  <si>
    <t>Guyana</t>
  </si>
  <si>
    <t>Haití</t>
  </si>
  <si>
    <t>Honduras</t>
  </si>
  <si>
    <t>Hong Kong</t>
  </si>
  <si>
    <t>Hungría</t>
  </si>
  <si>
    <t>Islandia</t>
  </si>
  <si>
    <t>India</t>
  </si>
  <si>
    <t>Indonesia</t>
  </si>
  <si>
    <t>Irán</t>
  </si>
  <si>
    <t>Iraq</t>
  </si>
  <si>
    <t>Irlanda</t>
  </si>
  <si>
    <t>Israel</t>
  </si>
  <si>
    <t>Italia</t>
  </si>
  <si>
    <t>Jamaica</t>
  </si>
  <si>
    <t>Japón</t>
  </si>
  <si>
    <t>Jordania</t>
  </si>
  <si>
    <t>Kazajstán</t>
  </si>
  <si>
    <t>Kenya</t>
  </si>
  <si>
    <t>Corea Republicana</t>
  </si>
  <si>
    <t>Kuwait</t>
  </si>
  <si>
    <t>Letonia</t>
  </si>
  <si>
    <t>Líbano</t>
  </si>
  <si>
    <t>Lesotho</t>
  </si>
  <si>
    <t>Liberia</t>
  </si>
  <si>
    <t>Libia</t>
  </si>
  <si>
    <t>Lituania</t>
  </si>
  <si>
    <t>Luxemburgo</t>
  </si>
  <si>
    <t xml:space="preserve">Macao  </t>
  </si>
  <si>
    <t>Madagascar</t>
  </si>
  <si>
    <t>Malawi</t>
  </si>
  <si>
    <t>Malasia</t>
  </si>
  <si>
    <t>Maldivas</t>
  </si>
  <si>
    <t>Mali</t>
  </si>
  <si>
    <t>Malta</t>
  </si>
  <si>
    <t>Mauritania</t>
  </si>
  <si>
    <t>Mauricio</t>
  </si>
  <si>
    <t>México</t>
  </si>
  <si>
    <t>Moldavia</t>
  </si>
  <si>
    <t>Mongolia</t>
  </si>
  <si>
    <t>Montenegro</t>
  </si>
  <si>
    <t>Marruecos</t>
  </si>
  <si>
    <t>Mozambique</t>
  </si>
  <si>
    <t>Myanmar (ex Birmania) Unión de</t>
  </si>
  <si>
    <t>Namibia</t>
  </si>
  <si>
    <t>Nepal</t>
  </si>
  <si>
    <t>Antillas Holandesas</t>
  </si>
  <si>
    <t>Países Bajos</t>
  </si>
  <si>
    <t>Nueva Zelanda</t>
  </si>
  <si>
    <t>Nicaragua</t>
  </si>
  <si>
    <t>Níger</t>
  </si>
  <si>
    <t>Nigeria</t>
  </si>
  <si>
    <t>Macedonia</t>
  </si>
  <si>
    <t>Noruega</t>
  </si>
  <si>
    <t>Omán</t>
  </si>
  <si>
    <t>Paquistán</t>
  </si>
  <si>
    <t>Panamá</t>
  </si>
  <si>
    <t>Papua Nueva Guinea</t>
  </si>
  <si>
    <t>Paraguay</t>
  </si>
  <si>
    <t>Perú</t>
  </si>
  <si>
    <t>Filipinas</t>
  </si>
  <si>
    <t>Polonia</t>
  </si>
  <si>
    <t>Portugal</t>
  </si>
  <si>
    <t>Puerto Rico(Estado Asociado)</t>
  </si>
  <si>
    <t>Qatar</t>
  </si>
  <si>
    <t>Rumania</t>
  </si>
  <si>
    <t>Rusia</t>
  </si>
  <si>
    <t>Rwanda</t>
  </si>
  <si>
    <t>Santo Tome y Principe</t>
  </si>
  <si>
    <t>Arabia Saudita</t>
  </si>
  <si>
    <t>Senegal</t>
  </si>
  <si>
    <t>Serbia</t>
  </si>
  <si>
    <t>Seychelles</t>
  </si>
  <si>
    <t>Sierra Leona</t>
  </si>
  <si>
    <t>Singapur</t>
  </si>
  <si>
    <t>Eslovaquia</t>
  </si>
  <si>
    <t>Eslovenia</t>
  </si>
  <si>
    <t>Islas Salomón</t>
  </si>
  <si>
    <t>Sudáfrica</t>
  </si>
  <si>
    <t>Sudan del Sur</t>
  </si>
  <si>
    <t>España</t>
  </si>
  <si>
    <t>Sri Lanka</t>
  </si>
  <si>
    <t>SAN CRISTÓBAL Y NEVIS</t>
  </si>
  <si>
    <t>Santa Lucia</t>
  </si>
  <si>
    <t>San Vicente y las Granadinas</t>
  </si>
  <si>
    <t>Sudán</t>
  </si>
  <si>
    <t>Suriname</t>
  </si>
  <si>
    <t>Suecia</t>
  </si>
  <si>
    <t>Suiza</t>
  </si>
  <si>
    <t>Siria</t>
  </si>
  <si>
    <t>Taiwan</t>
  </si>
  <si>
    <t>Tanzania</t>
  </si>
  <si>
    <t>Tailandia</t>
  </si>
  <si>
    <t>Togo</t>
  </si>
  <si>
    <t>Trinidad y Tobago</t>
  </si>
  <si>
    <t>Túnez</t>
  </si>
  <si>
    <t>Turquía</t>
  </si>
  <si>
    <t>Uganda</t>
  </si>
  <si>
    <t>Ucrania</t>
  </si>
  <si>
    <t>Emiratos Arabes Unidos</t>
  </si>
  <si>
    <t>Reino Unido</t>
  </si>
  <si>
    <t>Estados Unidos</t>
  </si>
  <si>
    <t>Uruguay</t>
  </si>
  <si>
    <t>Uzbekistán</t>
  </si>
  <si>
    <t>Venezuela</t>
  </si>
  <si>
    <t>Vietnam</t>
  </si>
  <si>
    <t>República de Yemen</t>
  </si>
  <si>
    <t>Zambia</t>
  </si>
  <si>
    <t>Zimbabwe</t>
  </si>
  <si>
    <t>Colonia (Uruguay)</t>
  </si>
  <si>
    <t>Confidencial</t>
  </si>
  <si>
    <t>Cuba</t>
  </si>
  <si>
    <t>Demás países</t>
  </si>
  <si>
    <t>Indeterminado (Europa)</t>
  </si>
  <si>
    <t>Iquique (Chile)</t>
  </si>
  <si>
    <t>Punta Arenas (Chile)</t>
  </si>
  <si>
    <t>Territorios vinculados a Estados Unidos</t>
  </si>
  <si>
    <t>FLORIDA (URUGUAY)</t>
  </si>
  <si>
    <t>INDETERMINADO (EUROPA)</t>
  </si>
  <si>
    <t>ISLAS MARSHALL</t>
  </si>
  <si>
    <t>LIBERTAD (URUGUAY)</t>
  </si>
  <si>
    <t>NUEVA PALMIRA (URUGUAY)</t>
  </si>
  <si>
    <t>RÍO NEGRO (URUGUAY)</t>
  </si>
  <si>
    <t>SAMOA OCCIDENTAL</t>
  </si>
  <si>
    <t>SIN DECLARAR - DESCONOCIDO - IGNORADO (CONTINENTE)</t>
  </si>
  <si>
    <t>SWAZILANDIA</t>
  </si>
  <si>
    <t>TERRIT. VINC. AL REINO UNIDO</t>
  </si>
  <si>
    <t>TERRITORIOS AUTÓNOMOS PALESTINOS (GAZA Y JERICÓ)</t>
  </si>
  <si>
    <t>TERRITORIOS VINCULADOS A EE.UU.</t>
  </si>
  <si>
    <t>TERRITORIOS VINCULADOS A ESPAÑA</t>
  </si>
  <si>
    <t>TERRITORIOS VINCULADOS AL REINO UNIDO</t>
  </si>
  <si>
    <t>YUGOESLAVIA (SERBIA, MONTENEGRO)</t>
  </si>
  <si>
    <t>ZONAMÉRICA (EX MONTEVIDEO)</t>
  </si>
  <si>
    <t>ZONAMÉRICA (EX MONTEVIDEO) (URUGUAY)</t>
  </si>
  <si>
    <t xml:space="preserve">PAIS DE DESTINO     </t>
  </si>
  <si>
    <t xml:space="preserve">  </t>
  </si>
  <si>
    <t>Sudán del Sur</t>
  </si>
  <si>
    <t>Santa Lucía</t>
  </si>
  <si>
    <t>Florida (Uruguay)</t>
  </si>
  <si>
    <t>República Centroafricana</t>
  </si>
  <si>
    <t>Santo Tomé y Príncipe</t>
  </si>
  <si>
    <t>San Cristóbal y Nevis</t>
  </si>
  <si>
    <t>Macao</t>
  </si>
  <si>
    <t>Zonamérica (ex Montevideo) (Uruguay)</t>
  </si>
  <si>
    <t>Río Negro (Uruguay)</t>
  </si>
  <si>
    <t>Islas Marshall</t>
  </si>
  <si>
    <t>Rep. Democrática del Congo</t>
  </si>
  <si>
    <t>Malí</t>
  </si>
  <si>
    <t>Territ. vinc. al Reino Unido</t>
  </si>
  <si>
    <t>Zonamérica (ex Montevideo)</t>
  </si>
  <si>
    <t>Hong Kong (China)</t>
  </si>
  <si>
    <t>Azerbaidzhan</t>
  </si>
  <si>
    <t>Gaza y Jericó</t>
  </si>
  <si>
    <t>Bielorus</t>
  </si>
  <si>
    <t>Yugoeslavia (Serbia, Montenegro)</t>
  </si>
  <si>
    <t>Swazilandia</t>
  </si>
  <si>
    <t>Kazajstan</t>
  </si>
  <si>
    <t>Moldova</t>
  </si>
  <si>
    <t>Territorios vinculados a EE.UU.</t>
  </si>
  <si>
    <t>Libertad (Uruguay)</t>
  </si>
  <si>
    <t>Nueva Palmira (Uruguay)</t>
  </si>
  <si>
    <t>Territ. vinc. a Países Bajos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</si>
</sst>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0.0000000"/>
    <numFmt numFmtId="173" formatCode="0.0%"/>
    <numFmt numFmtId="180" formatCode="_-* #,##0.000000_-;\-* #,##0.000000_-;_-* &quot;-&quot;??_-;_-@_-"/>
  </numFmts>
  <fonts count="1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2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8.5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2" fillId="0" borderId="0"/>
    <xf numFmtId="0" fontId="1" fillId="0" borderId="0"/>
    <xf numFmtId="9" fontId="16" fillId="0" borderId="0" applyFont="0" applyFill="0" applyBorder="0" applyAlignment="0" applyProtection="0"/>
  </cellStyleXfs>
  <cellXfs count="78">
    <xf numFmtId="0" fontId="0" fillId="0" borderId="0" xfId="0"/>
    <xf numFmtId="0" fontId="3" fillId="2" borderId="0" xfId="0" applyFont="1" applyFill="1"/>
    <xf numFmtId="0" fontId="4" fillId="2" borderId="1" xfId="0" applyFont="1" applyFill="1" applyBorder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5" fillId="0" borderId="0" xfId="0" applyFont="1"/>
    <xf numFmtId="0" fontId="6" fillId="2" borderId="0" xfId="0" applyFont="1" applyFill="1"/>
    <xf numFmtId="4" fontId="6" fillId="2" borderId="0" xfId="0" applyNumberFormat="1" applyFont="1" applyFill="1"/>
    <xf numFmtId="0" fontId="7" fillId="2" borderId="0" xfId="0" applyFont="1" applyFill="1"/>
    <xf numFmtId="4" fontId="7" fillId="2" borderId="0" xfId="0" applyNumberFormat="1" applyFont="1" applyFill="1"/>
    <xf numFmtId="0" fontId="8" fillId="2" borderId="0" xfId="0" applyFont="1" applyFill="1"/>
    <xf numFmtId="4" fontId="8" fillId="2" borderId="0" xfId="0" applyNumberFormat="1" applyFont="1" applyFill="1"/>
    <xf numFmtId="0" fontId="8" fillId="2" borderId="2" xfId="0" applyFont="1" applyFill="1" applyBorder="1"/>
    <xf numFmtId="4" fontId="8" fillId="2" borderId="2" xfId="0" applyNumberFormat="1" applyFont="1" applyFill="1" applyBorder="1"/>
    <xf numFmtId="0" fontId="9" fillId="0" borderId="0" xfId="0" applyFont="1"/>
    <xf numFmtId="0" fontId="4" fillId="0" borderId="0" xfId="1"/>
    <xf numFmtId="0" fontId="3" fillId="0" borderId="0" xfId="1" applyFont="1"/>
    <xf numFmtId="0" fontId="4" fillId="0" borderId="1" xfId="1" applyBorder="1"/>
    <xf numFmtId="0" fontId="4" fillId="0" borderId="0" xfId="1" applyAlignment="1">
      <alignment horizontal="center"/>
    </xf>
    <xf numFmtId="0" fontId="4" fillId="0" borderId="2" xfId="1" applyBorder="1"/>
    <xf numFmtId="0" fontId="4" fillId="0" borderId="2" xfId="1" applyBorder="1" applyAlignment="1">
      <alignment horizontal="center"/>
    </xf>
    <xf numFmtId="0" fontId="10" fillId="0" borderId="0" xfId="1" applyFont="1"/>
    <xf numFmtId="3" fontId="10" fillId="0" borderId="0" xfId="1" applyNumberFormat="1" applyFont="1" applyAlignment="1">
      <alignment horizontal="right"/>
    </xf>
    <xf numFmtId="0" fontId="9" fillId="0" borderId="0" xfId="1" applyFont="1"/>
    <xf numFmtId="3" fontId="9" fillId="0" borderId="0" xfId="1" applyNumberFormat="1" applyFont="1" applyAlignment="1">
      <alignment horizontal="right"/>
    </xf>
    <xf numFmtId="0" fontId="9" fillId="0" borderId="2" xfId="1" applyFont="1" applyBorder="1"/>
    <xf numFmtId="3" fontId="9" fillId="0" borderId="2" xfId="1" applyNumberFormat="1" applyFont="1" applyBorder="1" applyAlignment="1">
      <alignment horizontal="right"/>
    </xf>
    <xf numFmtId="0" fontId="4" fillId="0" borderId="0" xfId="1" applyAlignment="1">
      <alignment horizontal="right"/>
    </xf>
    <xf numFmtId="0" fontId="5" fillId="0" borderId="0" xfId="1" applyFont="1"/>
    <xf numFmtId="0" fontId="9" fillId="0" borderId="0" xfId="1" applyFont="1" applyAlignment="1">
      <alignment horizontal="right"/>
    </xf>
    <xf numFmtId="0" fontId="9" fillId="0" borderId="2" xfId="1" applyFont="1" applyBorder="1" applyAlignment="1">
      <alignment horizontal="right"/>
    </xf>
    <xf numFmtId="0" fontId="5" fillId="0" borderId="1" xfId="1" applyFont="1" applyBorder="1"/>
    <xf numFmtId="0" fontId="4" fillId="0" borderId="1" xfId="1" applyBorder="1" applyAlignment="1">
      <alignment horizontal="right"/>
    </xf>
    <xf numFmtId="3" fontId="3" fillId="0" borderId="0" xfId="1" applyNumberFormat="1" applyFont="1"/>
    <xf numFmtId="0" fontId="3" fillId="0" borderId="1" xfId="1" applyFont="1" applyBorder="1"/>
    <xf numFmtId="3" fontId="3" fillId="0" borderId="0" xfId="1" applyNumberFormat="1" applyFont="1" applyAlignment="1">
      <alignment horizontal="center"/>
    </xf>
    <xf numFmtId="0" fontId="3" fillId="0" borderId="2" xfId="1" applyFont="1" applyBorder="1"/>
    <xf numFmtId="3" fontId="3" fillId="0" borderId="2" xfId="1" applyNumberFormat="1" applyFont="1" applyBorder="1" applyAlignment="1">
      <alignment horizontal="center"/>
    </xf>
    <xf numFmtId="3" fontId="4" fillId="0" borderId="0" xfId="1" applyNumberFormat="1"/>
    <xf numFmtId="3" fontId="10" fillId="0" borderId="0" xfId="1" applyNumberFormat="1" applyFont="1"/>
    <xf numFmtId="3" fontId="9" fillId="0" borderId="0" xfId="1" applyNumberFormat="1" applyFont="1"/>
    <xf numFmtId="0" fontId="11" fillId="0" borderId="1" xfId="1" applyFont="1" applyBorder="1" applyAlignment="1">
      <alignment vertical="center" wrapText="1"/>
    </xf>
    <xf numFmtId="3" fontId="4" fillId="0" borderId="1" xfId="1" applyNumberFormat="1" applyBorder="1"/>
    <xf numFmtId="0" fontId="1" fillId="2" borderId="0" xfId="3" applyFill="1"/>
    <xf numFmtId="0" fontId="3" fillId="2" borderId="0" xfId="3" applyFont="1" applyFill="1"/>
    <xf numFmtId="0" fontId="10" fillId="2" borderId="1" xfId="3" applyFont="1" applyFill="1" applyBorder="1"/>
    <xf numFmtId="0" fontId="4" fillId="2" borderId="0" xfId="3" applyFont="1" applyFill="1"/>
    <xf numFmtId="0" fontId="10" fillId="2" borderId="0" xfId="3" applyFont="1" applyFill="1"/>
    <xf numFmtId="0" fontId="10" fillId="2" borderId="0" xfId="3" applyFont="1" applyFill="1" applyAlignment="1">
      <alignment horizontal="center"/>
    </xf>
    <xf numFmtId="0" fontId="10" fillId="2" borderId="2" xfId="3" applyFont="1" applyFill="1" applyBorder="1"/>
    <xf numFmtId="0" fontId="10" fillId="2" borderId="2" xfId="3" applyFont="1" applyFill="1" applyBorder="1" applyAlignment="1">
      <alignment horizontal="center"/>
    </xf>
    <xf numFmtId="2" fontId="1" fillId="0" borderId="0" xfId="3" applyNumberFormat="1"/>
    <xf numFmtId="0" fontId="12" fillId="2" borderId="0" xfId="3" applyFont="1" applyFill="1"/>
    <xf numFmtId="4" fontId="12" fillId="2" borderId="0" xfId="3" applyNumberFormat="1" applyFont="1" applyFill="1" applyAlignment="1">
      <alignment horizontal="right"/>
    </xf>
    <xf numFmtId="0" fontId="13" fillId="2" borderId="0" xfId="3" applyFont="1" applyFill="1"/>
    <xf numFmtId="0" fontId="15" fillId="2" borderId="0" xfId="3" applyFont="1" applyFill="1"/>
    <xf numFmtId="0" fontId="13" fillId="0" borderId="0" xfId="3" applyFont="1"/>
    <xf numFmtId="0" fontId="3" fillId="2" borderId="0" xfId="3" applyFont="1" applyFill="1" applyAlignment="1">
      <alignment horizontal="left" vertical="top" wrapText="1"/>
    </xf>
    <xf numFmtId="0" fontId="10" fillId="2" borderId="1" xfId="3" quotePrefix="1" applyFont="1" applyFill="1" applyBorder="1" applyAlignment="1">
      <alignment horizontal="center"/>
    </xf>
    <xf numFmtId="0" fontId="10" fillId="2" borderId="1" xfId="3" applyFont="1" applyFill="1" applyBorder="1" applyAlignment="1">
      <alignment horizontal="center"/>
    </xf>
    <xf numFmtId="0" fontId="13" fillId="2" borderId="1" xfId="3" applyFont="1" applyFill="1" applyBorder="1" applyAlignment="1">
      <alignment horizontal="left" vertical="center" wrapText="1"/>
    </xf>
    <xf numFmtId="0" fontId="3" fillId="2" borderId="0" xfId="1" applyFont="1" applyFill="1" applyAlignment="1">
      <alignment horizontal="left" vertical="top" wrapText="1"/>
    </xf>
    <xf numFmtId="3" fontId="3" fillId="0" borderId="1" xfId="1" applyNumberFormat="1" applyFont="1" applyBorder="1" applyAlignment="1">
      <alignment horizontal="center"/>
    </xf>
    <xf numFmtId="0" fontId="4" fillId="0" borderId="1" xfId="1" applyBorder="1" applyAlignment="1">
      <alignment horizontal="center"/>
    </xf>
    <xf numFmtId="0" fontId="3" fillId="2" borderId="0" xfId="0" applyFont="1" applyFill="1" applyAlignment="1">
      <alignment horizontal="left" vertical="top" wrapText="1"/>
    </xf>
    <xf numFmtId="0" fontId="4" fillId="2" borderId="1" xfId="0" applyFont="1" applyFill="1" applyBorder="1" applyAlignment="1">
      <alignment horizontal="center"/>
    </xf>
    <xf numFmtId="2" fontId="6" fillId="2" borderId="0" xfId="0" applyNumberFormat="1" applyFont="1" applyFill="1"/>
    <xf numFmtId="168" fontId="6" fillId="2" borderId="0" xfId="0" applyNumberFormat="1" applyFont="1" applyFill="1"/>
    <xf numFmtId="173" fontId="6" fillId="2" borderId="0" xfId="4" applyNumberFormat="1" applyFont="1" applyFill="1"/>
    <xf numFmtId="10" fontId="6" fillId="2" borderId="0" xfId="4" applyNumberFormat="1" applyFont="1" applyFill="1"/>
    <xf numFmtId="180" fontId="17" fillId="0" borderId="0" xfId="0" applyNumberFormat="1" applyFont="1"/>
    <xf numFmtId="0" fontId="8" fillId="3" borderId="0" xfId="0" applyFont="1" applyFill="1"/>
    <xf numFmtId="4" fontId="8" fillId="3" borderId="0" xfId="0" applyNumberFormat="1" applyFont="1" applyFill="1"/>
    <xf numFmtId="10" fontId="6" fillId="3" borderId="0" xfId="4" applyNumberFormat="1" applyFont="1" applyFill="1"/>
    <xf numFmtId="0" fontId="6" fillId="3" borderId="0" xfId="0" applyFont="1" applyFill="1"/>
    <xf numFmtId="0" fontId="8" fillId="3" borderId="2" xfId="0" applyFont="1" applyFill="1" applyBorder="1"/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Porcentaje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0"/>
  <sheetViews>
    <sheetView workbookViewId="0">
      <selection activeCell="D1" sqref="D1"/>
    </sheetView>
  </sheetViews>
  <sheetFormatPr baseColWidth="10" defaultRowHeight="15" x14ac:dyDescent="0.25"/>
  <cols>
    <col min="1" max="1" width="40.125" style="45" customWidth="1"/>
    <col min="2" max="2" width="16" style="45" bestFit="1" customWidth="1"/>
    <col min="3" max="3" width="14.875" style="45" customWidth="1"/>
    <col min="4" max="16384" width="11" style="45"/>
  </cols>
  <sheetData>
    <row r="1" spans="1:3" x14ac:dyDescent="0.25">
      <c r="A1" s="59" t="s">
        <v>261</v>
      </c>
      <c r="B1" s="59"/>
      <c r="C1" s="59"/>
    </row>
    <row r="2" spans="1:3" x14ac:dyDescent="0.25">
      <c r="A2" s="59"/>
      <c r="B2" s="59"/>
      <c r="C2" s="59"/>
    </row>
    <row r="3" spans="1:3" s="46" customFormat="1" ht="12.75" x14ac:dyDescent="0.2"/>
    <row r="4" spans="1:3" s="48" customFormat="1" ht="12.75" x14ac:dyDescent="0.2">
      <c r="A4" s="47"/>
      <c r="B4" s="60" t="s">
        <v>262</v>
      </c>
      <c r="C4" s="61"/>
    </row>
    <row r="5" spans="1:3" s="48" customFormat="1" ht="12.75" x14ac:dyDescent="0.2">
      <c r="A5" s="49" t="s">
        <v>233</v>
      </c>
      <c r="B5" s="50" t="s">
        <v>224</v>
      </c>
      <c r="C5" s="50" t="s">
        <v>225</v>
      </c>
    </row>
    <row r="6" spans="1:3" s="48" customFormat="1" ht="12.75" x14ac:dyDescent="0.2">
      <c r="A6" s="51"/>
      <c r="B6" s="52" t="s">
        <v>15</v>
      </c>
      <c r="C6" s="52" t="s">
        <v>14</v>
      </c>
    </row>
    <row r="7" spans="1:3" x14ac:dyDescent="0.25">
      <c r="C7" s="53"/>
    </row>
    <row r="8" spans="1:3" x14ac:dyDescent="0.25">
      <c r="A8" s="54" t="s">
        <v>0</v>
      </c>
      <c r="B8" s="55">
        <v>14741188821.190001</v>
      </c>
      <c r="C8" s="55">
        <v>27122804972.259998</v>
      </c>
    </row>
    <row r="9" spans="1:3" x14ac:dyDescent="0.25">
      <c r="A9" s="54" t="s">
        <v>1</v>
      </c>
      <c r="B9" s="55"/>
      <c r="C9" s="55"/>
    </row>
    <row r="10" spans="1:3" x14ac:dyDescent="0.25">
      <c r="A10" s="54" t="s">
        <v>2</v>
      </c>
      <c r="B10" s="55">
        <v>1102042178.45</v>
      </c>
      <c r="C10" s="55">
        <v>2512392373.7399998</v>
      </c>
    </row>
    <row r="11" spans="1:3" x14ac:dyDescent="0.25">
      <c r="A11" s="54" t="s">
        <v>288</v>
      </c>
      <c r="B11" s="55">
        <v>31015.42</v>
      </c>
      <c r="C11" s="55">
        <v>55525.25</v>
      </c>
    </row>
    <row r="12" spans="1:3" x14ac:dyDescent="0.25">
      <c r="A12" s="54" t="s">
        <v>265</v>
      </c>
      <c r="B12" s="55">
        <v>241293764.90000001</v>
      </c>
      <c r="C12" s="55">
        <v>522028843.25</v>
      </c>
    </row>
    <row r="13" spans="1:3" x14ac:dyDescent="0.25">
      <c r="A13" s="54" t="s">
        <v>292</v>
      </c>
      <c r="B13" s="55">
        <v>32010377.57</v>
      </c>
      <c r="C13" s="55">
        <v>79977519.030000001</v>
      </c>
    </row>
    <row r="14" spans="1:3" x14ac:dyDescent="0.25">
      <c r="A14" s="54" t="s">
        <v>301</v>
      </c>
      <c r="B14" s="55">
        <v>4304223.51</v>
      </c>
      <c r="C14" s="55">
        <v>11921413.25</v>
      </c>
    </row>
    <row r="15" spans="1:3" x14ac:dyDescent="0.25">
      <c r="A15" s="54" t="s">
        <v>300</v>
      </c>
      <c r="B15" s="55">
        <v>10976255.310000001</v>
      </c>
      <c r="C15" s="55">
        <v>14804865.869999999</v>
      </c>
    </row>
    <row r="16" spans="1:3" x14ac:dyDescent="0.25">
      <c r="A16" s="54" t="s">
        <v>303</v>
      </c>
      <c r="B16" s="55">
        <v>52849964.450000003</v>
      </c>
      <c r="C16" s="55">
        <v>133514684.18000001</v>
      </c>
    </row>
    <row r="17" spans="1:3" x14ac:dyDescent="0.25">
      <c r="A17" s="54" t="s">
        <v>281</v>
      </c>
      <c r="B17" s="55">
        <v>23401.21</v>
      </c>
      <c r="C17" s="55">
        <v>41900.6</v>
      </c>
    </row>
    <row r="18" spans="1:3" x14ac:dyDescent="0.25">
      <c r="A18" s="54" t="s">
        <v>313</v>
      </c>
      <c r="B18" s="55">
        <v>154664287.53</v>
      </c>
      <c r="C18" s="55">
        <v>418454771.85000002</v>
      </c>
    </row>
    <row r="19" spans="1:3" x14ac:dyDescent="0.25">
      <c r="A19" s="54" t="s">
        <v>321</v>
      </c>
      <c r="B19" s="55">
        <v>4658601.33</v>
      </c>
      <c r="C19" s="55">
        <v>1441291.85</v>
      </c>
    </row>
    <row r="20" spans="1:3" x14ac:dyDescent="0.25">
      <c r="A20" s="54" t="s">
        <v>322</v>
      </c>
      <c r="B20" s="55">
        <v>610839.92000000004</v>
      </c>
      <c r="C20" s="55">
        <v>2317593.63</v>
      </c>
    </row>
    <row r="21" spans="1:3" x14ac:dyDescent="0.25">
      <c r="A21" s="54" t="s">
        <v>325</v>
      </c>
      <c r="B21" s="55">
        <v>49901799.43</v>
      </c>
      <c r="C21" s="55">
        <v>134467268.34999999</v>
      </c>
    </row>
    <row r="22" spans="1:3" x14ac:dyDescent="0.25">
      <c r="A22" s="54" t="s">
        <v>329</v>
      </c>
      <c r="B22" s="55">
        <v>179274.95</v>
      </c>
      <c r="C22" s="55">
        <v>757902.19</v>
      </c>
    </row>
    <row r="23" spans="1:3" x14ac:dyDescent="0.25">
      <c r="A23" s="54" t="s">
        <v>330</v>
      </c>
      <c r="B23" s="55">
        <v>612359.16</v>
      </c>
      <c r="C23" s="55">
        <v>195649.6</v>
      </c>
    </row>
    <row r="24" spans="1:3" x14ac:dyDescent="0.25">
      <c r="A24" s="54" t="s">
        <v>349</v>
      </c>
      <c r="B24" s="55">
        <v>11353571.800000001</v>
      </c>
      <c r="C24" s="55">
        <v>30112635.510000002</v>
      </c>
    </row>
    <row r="25" spans="1:3" x14ac:dyDescent="0.25">
      <c r="A25" s="54" t="s">
        <v>355</v>
      </c>
      <c r="B25" s="55">
        <v>2611525.35</v>
      </c>
      <c r="C25" s="55">
        <v>6363601.5099999998</v>
      </c>
    </row>
    <row r="26" spans="1:3" x14ac:dyDescent="0.25">
      <c r="A26" s="54" t="s">
        <v>356</v>
      </c>
      <c r="B26" s="55">
        <v>43837875.600000001</v>
      </c>
      <c r="C26" s="55">
        <v>113190237.40000001</v>
      </c>
    </row>
    <row r="27" spans="1:3" x14ac:dyDescent="0.25">
      <c r="A27" s="54" t="s">
        <v>364</v>
      </c>
      <c r="B27" s="55">
        <v>63640.36</v>
      </c>
      <c r="C27" s="55">
        <v>105192.77</v>
      </c>
    </row>
    <row r="28" spans="1:3" x14ac:dyDescent="0.25">
      <c r="A28" s="54" t="s">
        <v>372</v>
      </c>
      <c r="B28" s="55">
        <v>135226754.88</v>
      </c>
      <c r="C28" s="55">
        <v>312864601.83999997</v>
      </c>
    </row>
    <row r="29" spans="1:3" x14ac:dyDescent="0.25">
      <c r="A29" s="54" t="s">
        <v>367</v>
      </c>
      <c r="B29" s="55">
        <v>18885570.07</v>
      </c>
      <c r="C29" s="55">
        <v>41451268.539999999</v>
      </c>
    </row>
    <row r="30" spans="1:3" x14ac:dyDescent="0.25">
      <c r="A30" s="54" t="s">
        <v>366</v>
      </c>
      <c r="B30" s="55">
        <v>2452174.2400000002</v>
      </c>
      <c r="C30" s="55">
        <v>11211236.77</v>
      </c>
    </row>
    <row r="31" spans="1:3" x14ac:dyDescent="0.25">
      <c r="A31" s="54" t="s">
        <v>381</v>
      </c>
      <c r="B31" s="55">
        <v>13643.91</v>
      </c>
      <c r="C31" s="55">
        <v>22518.76</v>
      </c>
    </row>
    <row r="32" spans="1:3" x14ac:dyDescent="0.25">
      <c r="A32" s="54" t="s">
        <v>382</v>
      </c>
      <c r="B32" s="55">
        <v>42877702.939999998</v>
      </c>
      <c r="C32" s="55">
        <v>69399946.579999998</v>
      </c>
    </row>
    <row r="33" spans="1:3" x14ac:dyDescent="0.25">
      <c r="A33" s="54" t="s">
        <v>401</v>
      </c>
      <c r="B33" s="55">
        <v>49307932.450000003</v>
      </c>
      <c r="C33" s="55">
        <v>140549626.15000001</v>
      </c>
    </row>
    <row r="34" spans="1:3" x14ac:dyDescent="0.25">
      <c r="A34" s="54" t="s">
        <v>404</v>
      </c>
      <c r="B34" s="55">
        <v>21566.01</v>
      </c>
      <c r="C34" s="55">
        <v>33120.559999999998</v>
      </c>
    </row>
    <row r="35" spans="1:3" x14ac:dyDescent="0.25">
      <c r="A35" s="54" t="s">
        <v>422</v>
      </c>
      <c r="B35" s="55">
        <v>4822309.84</v>
      </c>
      <c r="C35" s="55">
        <v>12693484.039999999</v>
      </c>
    </row>
    <row r="36" spans="1:3" x14ac:dyDescent="0.25">
      <c r="A36" s="54" t="s">
        <v>424</v>
      </c>
      <c r="B36" s="55">
        <v>46353.120000000003</v>
      </c>
      <c r="C36" s="55">
        <v>81707</v>
      </c>
    </row>
    <row r="37" spans="1:3" x14ac:dyDescent="0.25">
      <c r="A37" s="54" t="s">
        <v>426</v>
      </c>
      <c r="B37" s="55">
        <v>32664852.899999999</v>
      </c>
      <c r="C37" s="55">
        <v>80832588.790000007</v>
      </c>
    </row>
    <row r="38" spans="1:3" x14ac:dyDescent="0.25">
      <c r="A38" s="54" t="s">
        <v>428</v>
      </c>
      <c r="B38" s="55">
        <v>4396221.88</v>
      </c>
      <c r="C38" s="55">
        <v>11973575.6</v>
      </c>
    </row>
    <row r="39" spans="1:3" x14ac:dyDescent="0.25">
      <c r="A39" s="54" t="s">
        <v>267</v>
      </c>
      <c r="B39" s="55">
        <v>49676283.369999997</v>
      </c>
      <c r="C39" s="55">
        <v>80325683.75</v>
      </c>
    </row>
    <row r="40" spans="1:3" x14ac:dyDescent="0.25">
      <c r="A40" s="54" t="s">
        <v>290</v>
      </c>
      <c r="B40" s="55">
        <v>486808.49</v>
      </c>
      <c r="C40" s="55">
        <v>2395325.7400000002</v>
      </c>
    </row>
    <row r="41" spans="1:3" x14ac:dyDescent="0.25">
      <c r="A41" s="54" t="s">
        <v>373</v>
      </c>
      <c r="B41" s="55">
        <v>77475325.879999995</v>
      </c>
      <c r="C41" s="55">
        <v>88850688.150000006</v>
      </c>
    </row>
    <row r="42" spans="1:3" x14ac:dyDescent="0.25">
      <c r="A42" s="54" t="s">
        <v>309</v>
      </c>
      <c r="B42" s="55">
        <v>111877.31</v>
      </c>
      <c r="C42" s="55">
        <v>182377.8</v>
      </c>
    </row>
    <row r="43" spans="1:3" x14ac:dyDescent="0.25">
      <c r="A43" s="54" t="s">
        <v>409</v>
      </c>
      <c r="B43" s="55">
        <v>73594023.359999999</v>
      </c>
      <c r="C43" s="55">
        <v>189773727.58000001</v>
      </c>
    </row>
    <row r="44" spans="1:3" x14ac:dyDescent="0.25">
      <c r="A44" s="54" t="s">
        <v>1</v>
      </c>
      <c r="B44" s="55"/>
      <c r="C44" s="55"/>
    </row>
    <row r="45" spans="1:3" x14ac:dyDescent="0.25">
      <c r="A45" s="54" t="s">
        <v>3</v>
      </c>
      <c r="B45" s="55">
        <v>4258298849.4299998</v>
      </c>
      <c r="C45" s="55">
        <v>5731786800.0799999</v>
      </c>
    </row>
    <row r="46" spans="1:3" x14ac:dyDescent="0.25">
      <c r="A46" s="54" t="s">
        <v>277</v>
      </c>
      <c r="B46" s="55">
        <v>611789.36</v>
      </c>
      <c r="C46" s="55">
        <v>113115.07</v>
      </c>
    </row>
    <row r="47" spans="1:3" x14ac:dyDescent="0.25">
      <c r="A47" s="54" t="s">
        <v>282</v>
      </c>
      <c r="B47" s="55">
        <v>34111960.380000003</v>
      </c>
      <c r="C47" s="55">
        <v>24348552.329999998</v>
      </c>
    </row>
    <row r="48" spans="1:3" x14ac:dyDescent="0.25">
      <c r="A48" s="54" t="s">
        <v>285</v>
      </c>
      <c r="B48" s="55">
        <v>1378371927.0699999</v>
      </c>
      <c r="C48" s="55">
        <v>1274653563.46</v>
      </c>
    </row>
    <row r="49" spans="1:3" x14ac:dyDescent="0.25">
      <c r="A49" s="54" t="s">
        <v>293</v>
      </c>
      <c r="B49" s="55">
        <v>130597697.97</v>
      </c>
      <c r="C49" s="55">
        <v>139735555.15000001</v>
      </c>
    </row>
    <row r="50" spans="1:3" x14ac:dyDescent="0.25">
      <c r="A50" s="54" t="s">
        <v>298</v>
      </c>
      <c r="B50" s="55">
        <v>100532477.45</v>
      </c>
      <c r="C50" s="55">
        <v>127990650.08</v>
      </c>
    </row>
    <row r="51" spans="1:3" x14ac:dyDescent="0.25">
      <c r="A51" s="54" t="s">
        <v>302</v>
      </c>
      <c r="B51" s="55">
        <v>17465635.219999999</v>
      </c>
      <c r="C51" s="55">
        <v>21165002.960000001</v>
      </c>
    </row>
    <row r="52" spans="1:3" x14ac:dyDescent="0.25">
      <c r="A52" s="54" t="s">
        <v>442</v>
      </c>
      <c r="B52" s="55">
        <v>19810570.510000002</v>
      </c>
      <c r="C52" s="55">
        <v>41284737.689999998</v>
      </c>
    </row>
    <row r="53" spans="1:3" x14ac:dyDescent="0.25">
      <c r="A53" s="54" t="s">
        <v>296</v>
      </c>
      <c r="B53" s="55">
        <v>640170845.09000003</v>
      </c>
      <c r="C53" s="55">
        <v>1001677535.9400001</v>
      </c>
    </row>
    <row r="54" spans="1:3" x14ac:dyDescent="0.25">
      <c r="A54" s="54" t="s">
        <v>311</v>
      </c>
      <c r="B54" s="55">
        <v>135891657.02000001</v>
      </c>
      <c r="C54" s="55">
        <v>175242337.38999999</v>
      </c>
    </row>
    <row r="55" spans="1:3" x14ac:dyDescent="0.25">
      <c r="A55" s="54" t="s">
        <v>312</v>
      </c>
      <c r="B55" s="55">
        <v>382782576.19</v>
      </c>
      <c r="C55" s="55">
        <v>941460951.26999998</v>
      </c>
    </row>
    <row r="56" spans="1:3" x14ac:dyDescent="0.25">
      <c r="A56" s="54" t="s">
        <v>314</v>
      </c>
      <c r="B56" s="55">
        <v>12411184.939999999</v>
      </c>
      <c r="C56" s="55">
        <v>17177383.48</v>
      </c>
    </row>
    <row r="57" spans="1:3" x14ac:dyDescent="0.25">
      <c r="A57" s="54" t="s">
        <v>432</v>
      </c>
      <c r="B57" s="55">
        <v>203577534.55000001</v>
      </c>
      <c r="C57" s="55">
        <v>88054059.150000006</v>
      </c>
    </row>
    <row r="58" spans="1:3" x14ac:dyDescent="0.25">
      <c r="A58" s="54" t="s">
        <v>328</v>
      </c>
      <c r="B58" s="55">
        <v>79262440.129999995</v>
      </c>
      <c r="C58" s="55">
        <v>119760304.69</v>
      </c>
    </row>
    <row r="59" spans="1:3" x14ac:dyDescent="0.25">
      <c r="A59" s="54" t="s">
        <v>332</v>
      </c>
      <c r="B59" s="55">
        <v>1068911.28</v>
      </c>
      <c r="C59" s="55">
        <v>488719.39</v>
      </c>
    </row>
    <row r="60" spans="1:3" x14ac:dyDescent="0.25">
      <c r="A60" s="54" t="s">
        <v>334</v>
      </c>
      <c r="B60" s="55">
        <v>4767402.41</v>
      </c>
      <c r="C60" s="55">
        <v>3885024.89</v>
      </c>
    </row>
    <row r="61" spans="1:3" x14ac:dyDescent="0.25">
      <c r="A61" s="54" t="s">
        <v>345</v>
      </c>
      <c r="B61" s="55">
        <v>4957183.28</v>
      </c>
      <c r="C61" s="55">
        <v>5575782.04</v>
      </c>
    </row>
    <row r="62" spans="1:3" x14ac:dyDescent="0.25">
      <c r="A62" s="54" t="s">
        <v>368</v>
      </c>
      <c r="B62" s="55">
        <v>139741442.59</v>
      </c>
      <c r="C62" s="55">
        <v>131440426.5</v>
      </c>
    </row>
    <row r="63" spans="1:3" x14ac:dyDescent="0.25">
      <c r="A63" s="54" t="s">
        <v>380</v>
      </c>
      <c r="B63" s="55">
        <v>19714336.600000001</v>
      </c>
      <c r="C63" s="55">
        <v>35823366.57</v>
      </c>
    </row>
    <row r="64" spans="1:3" x14ac:dyDescent="0.25">
      <c r="A64" s="54" t="s">
        <v>387</v>
      </c>
      <c r="B64" s="55">
        <v>6563290.0700000003</v>
      </c>
      <c r="C64" s="55">
        <v>6443778.4100000001</v>
      </c>
    </row>
    <row r="65" spans="1:3" x14ac:dyDescent="0.25">
      <c r="A65" s="54" t="s">
        <v>389</v>
      </c>
      <c r="B65" s="55">
        <v>178495044.46000001</v>
      </c>
      <c r="C65" s="55">
        <v>188838993.63</v>
      </c>
    </row>
    <row r="66" spans="1:3" x14ac:dyDescent="0.25">
      <c r="A66" s="54" t="s">
        <v>390</v>
      </c>
      <c r="B66" s="55">
        <v>534057946.62</v>
      </c>
      <c r="C66" s="55">
        <v>1016170468.74</v>
      </c>
    </row>
    <row r="67" spans="1:3" x14ac:dyDescent="0.25">
      <c r="A67" s="54" t="s">
        <v>394</v>
      </c>
      <c r="B67" s="55">
        <v>11478410.130000001</v>
      </c>
      <c r="C67" s="55">
        <v>39742473.890000001</v>
      </c>
    </row>
    <row r="68" spans="1:3" x14ac:dyDescent="0.25">
      <c r="A68" s="54" t="s">
        <v>425</v>
      </c>
      <c r="B68" s="55">
        <v>51860.86</v>
      </c>
      <c r="C68" s="55">
        <v>68351.98</v>
      </c>
    </row>
    <row r="69" spans="1:3" x14ac:dyDescent="0.25">
      <c r="A69" s="54" t="s">
        <v>433</v>
      </c>
      <c r="B69" s="55">
        <v>133317765.61</v>
      </c>
      <c r="C69" s="55">
        <v>198077224.81</v>
      </c>
    </row>
    <row r="70" spans="1:3" x14ac:dyDescent="0.25">
      <c r="A70" s="54" t="s">
        <v>435</v>
      </c>
      <c r="B70" s="55">
        <v>88478591.689999998</v>
      </c>
      <c r="C70" s="55">
        <v>132553960.61</v>
      </c>
    </row>
    <row r="71" spans="1:3" x14ac:dyDescent="0.25">
      <c r="A71" s="54" t="s">
        <v>417</v>
      </c>
      <c r="B71" s="55">
        <v>8367.9500000000007</v>
      </c>
      <c r="C71" s="55">
        <v>14479.96</v>
      </c>
    </row>
    <row r="72" spans="1:3" x14ac:dyDescent="0.25">
      <c r="A72" s="54" t="s">
        <v>1</v>
      </c>
      <c r="B72" s="55"/>
      <c r="C72" s="55"/>
    </row>
    <row r="73" spans="1:3" x14ac:dyDescent="0.25">
      <c r="A73" s="54" t="s">
        <v>4</v>
      </c>
      <c r="B73" s="55">
        <v>6532861375.4200001</v>
      </c>
      <c r="C73" s="55">
        <v>12561804946.33</v>
      </c>
    </row>
    <row r="74" spans="1:3" x14ac:dyDescent="0.25">
      <c r="A74" s="54" t="s">
        <v>400</v>
      </c>
      <c r="B74" s="55">
        <v>428626094.85000002</v>
      </c>
      <c r="C74" s="55">
        <v>1190564881.3299999</v>
      </c>
    </row>
    <row r="75" spans="1:3" x14ac:dyDescent="0.25">
      <c r="A75" s="54" t="s">
        <v>275</v>
      </c>
      <c r="B75" s="55">
        <v>702487.02</v>
      </c>
      <c r="C75" s="55">
        <v>160970.29999999999</v>
      </c>
    </row>
    <row r="76" spans="1:3" x14ac:dyDescent="0.25">
      <c r="A76" s="54" t="s">
        <v>374</v>
      </c>
      <c r="B76" s="55" t="s">
        <v>30</v>
      </c>
      <c r="C76" s="55" t="s">
        <v>30</v>
      </c>
    </row>
    <row r="77" spans="1:3" x14ac:dyDescent="0.25">
      <c r="A77" s="54" t="s">
        <v>291</v>
      </c>
      <c r="B77" s="55">
        <v>2049541.48</v>
      </c>
      <c r="C77" s="55">
        <v>272570.59999999998</v>
      </c>
    </row>
    <row r="78" spans="1:3" x14ac:dyDescent="0.25">
      <c r="A78" s="54" t="s">
        <v>350</v>
      </c>
      <c r="B78" s="55">
        <v>148030868.78</v>
      </c>
      <c r="C78" s="55">
        <v>417553260.81</v>
      </c>
    </row>
    <row r="79" spans="1:3" x14ac:dyDescent="0.25">
      <c r="A79" s="54" t="s">
        <v>297</v>
      </c>
      <c r="B79" s="55">
        <v>1084870374.1900001</v>
      </c>
      <c r="C79" s="55">
        <v>1391653138.03</v>
      </c>
    </row>
    <row r="80" spans="1:3" x14ac:dyDescent="0.25">
      <c r="A80" s="54" t="s">
        <v>391</v>
      </c>
      <c r="B80" s="55">
        <v>141397759.25999999</v>
      </c>
      <c r="C80" s="55">
        <v>363733119.88</v>
      </c>
    </row>
    <row r="81" spans="1:3" x14ac:dyDescent="0.25">
      <c r="A81" s="54" t="s">
        <v>421</v>
      </c>
      <c r="B81" s="55">
        <v>22514307.800000001</v>
      </c>
      <c r="C81" s="55">
        <v>43596891.460000001</v>
      </c>
    </row>
    <row r="82" spans="1:3" x14ac:dyDescent="0.25">
      <c r="A82" s="54" t="s">
        <v>338</v>
      </c>
      <c r="B82" s="55">
        <v>1719881049.1300001</v>
      </c>
      <c r="C82" s="55">
        <v>1843377499.9200001</v>
      </c>
    </row>
    <row r="83" spans="1:3" x14ac:dyDescent="0.25">
      <c r="A83" s="54" t="s">
        <v>339</v>
      </c>
      <c r="B83" s="55">
        <v>288461343.38</v>
      </c>
      <c r="C83" s="55">
        <v>812834536.46000004</v>
      </c>
    </row>
    <row r="84" spans="1:3" x14ac:dyDescent="0.25">
      <c r="A84" s="54" t="s">
        <v>341</v>
      </c>
      <c r="B84" s="55">
        <v>117610406.38</v>
      </c>
      <c r="C84" s="55">
        <v>296921888.25999999</v>
      </c>
    </row>
    <row r="85" spans="1:3" x14ac:dyDescent="0.25">
      <c r="A85" s="54" t="s">
        <v>343</v>
      </c>
      <c r="B85" s="55">
        <v>129878913.14</v>
      </c>
      <c r="C85" s="55">
        <v>200214240.18000001</v>
      </c>
    </row>
    <row r="86" spans="1:3" x14ac:dyDescent="0.25">
      <c r="A86" s="54" t="s">
        <v>346</v>
      </c>
      <c r="B86" s="55">
        <v>8439999.9299999997</v>
      </c>
      <c r="C86" s="55">
        <v>13408131.560000001</v>
      </c>
    </row>
    <row r="87" spans="1:3" x14ac:dyDescent="0.25">
      <c r="A87" s="54" t="s">
        <v>347</v>
      </c>
      <c r="B87" s="55">
        <v>97901110.060000002</v>
      </c>
      <c r="C87" s="55">
        <v>248524618.00999999</v>
      </c>
    </row>
    <row r="88" spans="1:3" x14ac:dyDescent="0.25">
      <c r="A88" s="54" t="s">
        <v>395</v>
      </c>
      <c r="B88" s="55">
        <v>3099972.4</v>
      </c>
      <c r="C88" s="55">
        <v>8023226.7699999996</v>
      </c>
    </row>
    <row r="89" spans="1:3" x14ac:dyDescent="0.25">
      <c r="A89" s="54" t="s">
        <v>351</v>
      </c>
      <c r="B89" s="55">
        <v>2882608.88</v>
      </c>
      <c r="C89" s="55">
        <v>11154234.720000001</v>
      </c>
    </row>
    <row r="90" spans="1:3" x14ac:dyDescent="0.25">
      <c r="A90" s="54" t="s">
        <v>353</v>
      </c>
      <c r="B90" s="55">
        <v>53550207.560000002</v>
      </c>
      <c r="C90" s="55">
        <v>140830712.27000001</v>
      </c>
    </row>
    <row r="91" spans="1:3" x14ac:dyDescent="0.25">
      <c r="A91" s="54" t="s">
        <v>362</v>
      </c>
      <c r="B91" s="55">
        <v>433688184.08999997</v>
      </c>
      <c r="C91" s="55">
        <v>1168783621.8900001</v>
      </c>
    </row>
    <row r="92" spans="1:3" x14ac:dyDescent="0.25">
      <c r="A92" s="54" t="s">
        <v>385</v>
      </c>
      <c r="B92" s="55">
        <v>40661375.899999999</v>
      </c>
      <c r="C92" s="55">
        <v>98138089.319999993</v>
      </c>
    </row>
    <row r="93" spans="1:3" x14ac:dyDescent="0.25">
      <c r="A93" s="54" t="s">
        <v>370</v>
      </c>
      <c r="B93" s="55" t="s">
        <v>30</v>
      </c>
      <c r="C93" s="55" t="s">
        <v>30</v>
      </c>
    </row>
    <row r="94" spans="1:3" x14ac:dyDescent="0.25">
      <c r="A94" s="54" t="s">
        <v>376</v>
      </c>
      <c r="B94" s="55">
        <v>547100.18999999994</v>
      </c>
      <c r="C94" s="55">
        <v>1091768.67</v>
      </c>
    </row>
    <row r="95" spans="1:3" x14ac:dyDescent="0.25">
      <c r="A95" s="54" t="s">
        <v>430</v>
      </c>
      <c r="B95" s="55">
        <v>48666738.090000004</v>
      </c>
      <c r="C95" s="55">
        <v>132609097.58</v>
      </c>
    </row>
    <row r="96" spans="1:3" x14ac:dyDescent="0.25">
      <c r="A96" s="54" t="s">
        <v>386</v>
      </c>
      <c r="B96" s="55">
        <v>111706869.95</v>
      </c>
      <c r="C96" s="55">
        <v>110620228.98999999</v>
      </c>
    </row>
    <row r="97" spans="1:3" x14ac:dyDescent="0.25">
      <c r="A97" s="54" t="s">
        <v>405</v>
      </c>
      <c r="B97" s="55">
        <v>2015747.09</v>
      </c>
      <c r="C97" s="55">
        <v>1148455.42</v>
      </c>
    </row>
    <row r="98" spans="1:3" x14ac:dyDescent="0.25">
      <c r="A98" s="54" t="s">
        <v>420</v>
      </c>
      <c r="B98" s="55">
        <v>254129.88</v>
      </c>
      <c r="C98" s="55">
        <v>1371859.5</v>
      </c>
    </row>
    <row r="99" spans="1:3" x14ac:dyDescent="0.25">
      <c r="A99" s="54" t="s">
        <v>423</v>
      </c>
      <c r="B99" s="55">
        <v>79232977.609999999</v>
      </c>
      <c r="C99" s="55">
        <v>67910451.780000001</v>
      </c>
    </row>
    <row r="100" spans="1:3" x14ac:dyDescent="0.25">
      <c r="A100" s="54" t="s">
        <v>436</v>
      </c>
      <c r="B100" s="55">
        <v>1173600102.6400001</v>
      </c>
      <c r="C100" s="55">
        <v>3226956756.0100002</v>
      </c>
    </row>
    <row r="101" spans="1:3" x14ac:dyDescent="0.25">
      <c r="A101" s="54" t="s">
        <v>335</v>
      </c>
      <c r="B101" s="55">
        <v>6170272.7599999998</v>
      </c>
      <c r="C101" s="55">
        <v>2622048.36</v>
      </c>
    </row>
    <row r="102" spans="1:3" x14ac:dyDescent="0.25">
      <c r="A102" s="54" t="s">
        <v>276</v>
      </c>
      <c r="B102" s="55">
        <v>278851389.76999998</v>
      </c>
      <c r="C102" s="55">
        <v>475217057.48000002</v>
      </c>
    </row>
    <row r="103" spans="1:3" x14ac:dyDescent="0.25">
      <c r="A103" s="54" t="s">
        <v>286</v>
      </c>
      <c r="B103" s="55">
        <v>3329592.24</v>
      </c>
      <c r="C103" s="55">
        <v>9632755</v>
      </c>
    </row>
    <row r="104" spans="1:3" x14ac:dyDescent="0.25">
      <c r="A104" s="54" t="s">
        <v>437</v>
      </c>
      <c r="B104" s="55">
        <v>78928884.510000005</v>
      </c>
      <c r="C104" s="55">
        <v>219814393.13999999</v>
      </c>
    </row>
    <row r="105" spans="1:3" x14ac:dyDescent="0.25">
      <c r="A105" s="54" t="s">
        <v>273</v>
      </c>
      <c r="B105" s="55" t="s">
        <v>30</v>
      </c>
      <c r="C105" s="55" t="s">
        <v>30</v>
      </c>
    </row>
    <row r="106" spans="1:3" x14ac:dyDescent="0.25">
      <c r="A106" s="54" t="s">
        <v>323</v>
      </c>
      <c r="B106" s="55">
        <v>25156745.059999999</v>
      </c>
      <c r="C106" s="55">
        <v>63033055.729999997</v>
      </c>
    </row>
    <row r="107" spans="1:3" x14ac:dyDescent="0.25">
      <c r="A107" s="54" t="s">
        <v>348</v>
      </c>
      <c r="B107" s="55">
        <v>154221.4</v>
      </c>
      <c r="C107" s="55">
        <v>31386.9</v>
      </c>
    </row>
    <row r="108" spans="1:3" x14ac:dyDescent="0.25">
      <c r="A108" s="54" t="s">
        <v>1</v>
      </c>
      <c r="B108" s="55"/>
      <c r="C108" s="55"/>
    </row>
    <row r="109" spans="1:3" x14ac:dyDescent="0.25">
      <c r="A109" s="54" t="s">
        <v>5</v>
      </c>
      <c r="B109" s="55">
        <v>2605648261.3699999</v>
      </c>
      <c r="C109" s="55">
        <v>5878889496.6700001</v>
      </c>
    </row>
    <row r="110" spans="1:3" x14ac:dyDescent="0.25">
      <c r="A110" s="54" t="s">
        <v>264</v>
      </c>
      <c r="B110" s="55">
        <v>22893.99</v>
      </c>
      <c r="C110" s="55">
        <v>27719.66</v>
      </c>
    </row>
    <row r="111" spans="1:3" x14ac:dyDescent="0.25">
      <c r="A111" s="54" t="s">
        <v>272</v>
      </c>
      <c r="B111" s="55">
        <v>880001.11</v>
      </c>
      <c r="C111" s="55">
        <v>44964.57</v>
      </c>
    </row>
    <row r="112" spans="1:3" x14ac:dyDescent="0.25">
      <c r="A112" s="54" t="s">
        <v>279</v>
      </c>
      <c r="B112" s="55">
        <v>85551877.120000005</v>
      </c>
      <c r="C112" s="55">
        <v>84663500.280000001</v>
      </c>
    </row>
    <row r="113" spans="1:3" x14ac:dyDescent="0.25">
      <c r="A113" s="54" t="s">
        <v>287</v>
      </c>
      <c r="B113" s="55">
        <v>3546901.4</v>
      </c>
      <c r="C113" s="55">
        <v>472601.53</v>
      </c>
    </row>
    <row r="114" spans="1:3" x14ac:dyDescent="0.25">
      <c r="A114" s="54" t="s">
        <v>308</v>
      </c>
      <c r="B114" s="55">
        <v>8959794.4700000007</v>
      </c>
      <c r="C114" s="55">
        <v>22417774.16</v>
      </c>
    </row>
    <row r="115" spans="1:3" x14ac:dyDescent="0.25">
      <c r="A115" s="54" t="s">
        <v>411</v>
      </c>
      <c r="B115" s="55">
        <v>360662434.05000001</v>
      </c>
      <c r="C115" s="55">
        <v>926288726.51999998</v>
      </c>
    </row>
    <row r="116" spans="1:3" x14ac:dyDescent="0.25">
      <c r="A116" s="54" t="s">
        <v>319</v>
      </c>
      <c r="B116" s="55">
        <v>51906.65</v>
      </c>
      <c r="C116" s="55">
        <v>37881.18</v>
      </c>
    </row>
    <row r="117" spans="1:3" x14ac:dyDescent="0.25">
      <c r="A117" s="54" t="s">
        <v>320</v>
      </c>
      <c r="B117" s="55">
        <v>97335910.510000005</v>
      </c>
      <c r="C117" s="55">
        <v>254478413.00999999</v>
      </c>
    </row>
    <row r="118" spans="1:3" x14ac:dyDescent="0.25">
      <c r="A118" s="54" t="s">
        <v>326</v>
      </c>
      <c r="B118" s="55">
        <v>154658870.31999999</v>
      </c>
      <c r="C118" s="55">
        <v>388235497.48000002</v>
      </c>
    </row>
    <row r="119" spans="1:3" x14ac:dyDescent="0.25">
      <c r="A119" s="54" t="s">
        <v>336</v>
      </c>
      <c r="B119" s="55">
        <v>145161.57</v>
      </c>
      <c r="C119" s="55">
        <v>90950.51</v>
      </c>
    </row>
    <row r="120" spans="1:3" x14ac:dyDescent="0.25">
      <c r="A120" s="54" t="s">
        <v>342</v>
      </c>
      <c r="B120" s="55">
        <v>165003451.31</v>
      </c>
      <c r="C120" s="55">
        <v>521743285.51999998</v>
      </c>
    </row>
    <row r="121" spans="1:3" x14ac:dyDescent="0.25">
      <c r="A121" s="54" t="s">
        <v>344</v>
      </c>
      <c r="B121" s="55">
        <v>341340095.85000002</v>
      </c>
      <c r="C121" s="55">
        <v>839588323.44000006</v>
      </c>
    </row>
    <row r="122" spans="1:3" x14ac:dyDescent="0.25">
      <c r="A122" s="54" t="s">
        <v>365</v>
      </c>
      <c r="B122" s="55">
        <v>777.13</v>
      </c>
      <c r="C122" s="55">
        <v>457.13</v>
      </c>
    </row>
    <row r="123" spans="1:3" x14ac:dyDescent="0.25">
      <c r="A123" s="54" t="s">
        <v>384</v>
      </c>
      <c r="B123" s="55">
        <v>69465.05</v>
      </c>
      <c r="C123" s="55">
        <v>49691.02</v>
      </c>
    </row>
    <row r="124" spans="1:3" x14ac:dyDescent="0.25">
      <c r="A124" s="54" t="s">
        <v>378</v>
      </c>
      <c r="B124" s="55">
        <v>408322866.80000001</v>
      </c>
      <c r="C124" s="55">
        <v>685216614.70000005</v>
      </c>
    </row>
    <row r="125" spans="1:3" x14ac:dyDescent="0.25">
      <c r="A125" s="54" t="s">
        <v>392</v>
      </c>
      <c r="B125" s="55">
        <v>286674369.79000002</v>
      </c>
      <c r="C125" s="55">
        <v>743599241.15999997</v>
      </c>
    </row>
    <row r="126" spans="1:3" x14ac:dyDescent="0.25">
      <c r="A126" s="54" t="s">
        <v>393</v>
      </c>
      <c r="B126" s="55">
        <v>36796526.380000003</v>
      </c>
      <c r="C126" s="55">
        <v>97300164.329999998</v>
      </c>
    </row>
    <row r="127" spans="1:3" x14ac:dyDescent="0.25">
      <c r="A127" s="54" t="s">
        <v>431</v>
      </c>
      <c r="B127" s="55">
        <v>122103870.33</v>
      </c>
      <c r="C127" s="55">
        <v>344037939.75</v>
      </c>
    </row>
    <row r="128" spans="1:3" x14ac:dyDescent="0.25">
      <c r="A128" s="54" t="s">
        <v>396</v>
      </c>
      <c r="B128" s="55">
        <v>108424254.78</v>
      </c>
      <c r="C128" s="55">
        <v>289695308.00999999</v>
      </c>
    </row>
    <row r="129" spans="1:3" x14ac:dyDescent="0.25">
      <c r="A129" s="54" t="s">
        <v>418</v>
      </c>
      <c r="B129" s="55">
        <v>35632.06</v>
      </c>
      <c r="C129" s="55">
        <v>29719.4</v>
      </c>
    </row>
    <row r="130" spans="1:3" x14ac:dyDescent="0.25">
      <c r="A130" s="54" t="s">
        <v>419</v>
      </c>
      <c r="B130" s="55">
        <v>2750680.95</v>
      </c>
      <c r="C130" s="55">
        <v>352499.3</v>
      </c>
    </row>
    <row r="131" spans="1:3" x14ac:dyDescent="0.25">
      <c r="A131" s="54" t="s">
        <v>306</v>
      </c>
      <c r="B131" s="55">
        <v>16068652.960000001</v>
      </c>
      <c r="C131" s="55">
        <v>41225747.189999998</v>
      </c>
    </row>
    <row r="132" spans="1:3" x14ac:dyDescent="0.25">
      <c r="A132" s="54" t="s">
        <v>427</v>
      </c>
      <c r="B132" s="55">
        <v>222751437.91999999</v>
      </c>
      <c r="C132" s="55">
        <v>550269380.52999997</v>
      </c>
    </row>
    <row r="133" spans="1:3" x14ac:dyDescent="0.25">
      <c r="A133" s="54" t="s">
        <v>324</v>
      </c>
      <c r="B133" s="55">
        <v>121663035.8</v>
      </c>
      <c r="C133" s="55">
        <v>22069355.309999999</v>
      </c>
    </row>
    <row r="134" spans="1:3" x14ac:dyDescent="0.25">
      <c r="A134" s="54" t="s">
        <v>278</v>
      </c>
      <c r="B134" s="55">
        <v>7653791.0599999996</v>
      </c>
      <c r="C134" s="55">
        <v>17623545.920000002</v>
      </c>
    </row>
    <row r="135" spans="1:3" x14ac:dyDescent="0.25">
      <c r="A135" s="54" t="s">
        <v>316</v>
      </c>
      <c r="B135" s="55">
        <v>32014.57</v>
      </c>
      <c r="C135" s="55">
        <v>21293.88</v>
      </c>
    </row>
    <row r="136" spans="1:3" x14ac:dyDescent="0.25">
      <c r="A136" s="54" t="s">
        <v>352</v>
      </c>
      <c r="B136" s="55">
        <v>46337.36</v>
      </c>
      <c r="C136" s="55">
        <v>28868.43</v>
      </c>
    </row>
    <row r="137" spans="1:3" x14ac:dyDescent="0.25">
      <c r="A137" s="54" t="s">
        <v>357</v>
      </c>
      <c r="B137" s="55">
        <v>1602743.79</v>
      </c>
      <c r="C137" s="55">
        <v>3520070.7</v>
      </c>
    </row>
    <row r="138" spans="1:3" x14ac:dyDescent="0.25">
      <c r="A138" s="54" t="s">
        <v>369</v>
      </c>
      <c r="B138" s="55">
        <v>27004.78</v>
      </c>
      <c r="C138" s="55">
        <v>15842.49</v>
      </c>
    </row>
    <row r="139" spans="1:3" x14ac:dyDescent="0.25">
      <c r="A139" s="54" t="s">
        <v>397</v>
      </c>
      <c r="B139" s="55">
        <v>43103405.740000002</v>
      </c>
      <c r="C139" s="55">
        <v>25175957.149999999</v>
      </c>
    </row>
    <row r="140" spans="1:3" x14ac:dyDescent="0.25">
      <c r="A140" s="54" t="s">
        <v>429</v>
      </c>
      <c r="B140" s="55">
        <v>160553.59</v>
      </c>
      <c r="C140" s="55">
        <v>11994.46</v>
      </c>
    </row>
    <row r="141" spans="1:3" x14ac:dyDescent="0.25">
      <c r="A141" s="54" t="s">
        <v>283</v>
      </c>
      <c r="B141" s="55">
        <v>15318.47</v>
      </c>
      <c r="C141" s="55">
        <v>23914.44</v>
      </c>
    </row>
    <row r="142" spans="1:3" x14ac:dyDescent="0.25">
      <c r="A142" s="54" t="s">
        <v>304</v>
      </c>
      <c r="B142" s="55">
        <v>140321.84</v>
      </c>
      <c r="C142" s="55">
        <v>115476.86</v>
      </c>
    </row>
    <row r="143" spans="1:3" x14ac:dyDescent="0.25">
      <c r="A143" s="54" t="s">
        <v>406</v>
      </c>
      <c r="B143" s="55">
        <v>14367.88</v>
      </c>
      <c r="C143" s="55">
        <v>8730.56</v>
      </c>
    </row>
    <row r="144" spans="1:3" x14ac:dyDescent="0.25">
      <c r="A144" s="54" t="s">
        <v>407</v>
      </c>
      <c r="B144" s="55">
        <v>7833456.9400000004</v>
      </c>
      <c r="C144" s="55">
        <v>19935234.870000001</v>
      </c>
    </row>
    <row r="145" spans="1:3" x14ac:dyDescent="0.25">
      <c r="A145" s="54" t="s">
        <v>383</v>
      </c>
      <c r="B145" s="55">
        <v>31422.86</v>
      </c>
      <c r="C145" s="55">
        <v>45750.92</v>
      </c>
    </row>
    <row r="146" spans="1:3" x14ac:dyDescent="0.25">
      <c r="A146" s="54" t="s">
        <v>307</v>
      </c>
      <c r="B146" s="55">
        <v>899184.32</v>
      </c>
      <c r="C146" s="55">
        <v>276632.8</v>
      </c>
    </row>
    <row r="147" spans="1:3" x14ac:dyDescent="0.25">
      <c r="A147" s="54" t="s">
        <v>371</v>
      </c>
      <c r="B147" s="55">
        <v>9247.73</v>
      </c>
      <c r="C147" s="55">
        <v>9729.99</v>
      </c>
    </row>
    <row r="148" spans="1:3" x14ac:dyDescent="0.25">
      <c r="A148" s="54" t="s">
        <v>402</v>
      </c>
      <c r="B148" s="55">
        <v>258222.14</v>
      </c>
      <c r="C148" s="55">
        <v>140697.51</v>
      </c>
    </row>
    <row r="149" spans="1:3" x14ac:dyDescent="0.25">
      <c r="A149" s="54" t="s">
        <v>1</v>
      </c>
      <c r="B149" s="55"/>
      <c r="C149" s="55"/>
    </row>
    <row r="150" spans="1:3" x14ac:dyDescent="0.25">
      <c r="A150" s="54" t="s">
        <v>6</v>
      </c>
      <c r="B150" s="55">
        <v>70456327.680000007</v>
      </c>
      <c r="C150" s="55">
        <v>154317970.47</v>
      </c>
    </row>
    <row r="151" spans="1:3" x14ac:dyDescent="0.25">
      <c r="A151" s="54" t="s">
        <v>271</v>
      </c>
      <c r="B151" s="55">
        <v>65590147.100000001</v>
      </c>
      <c r="C151" s="55">
        <v>141050211.25</v>
      </c>
    </row>
    <row r="152" spans="1:3" x14ac:dyDescent="0.25">
      <c r="A152" s="54" t="s">
        <v>379</v>
      </c>
      <c r="B152" s="55">
        <v>4866180.58</v>
      </c>
      <c r="C152" s="55">
        <v>13267759.220000001</v>
      </c>
    </row>
    <row r="153" spans="1:3" x14ac:dyDescent="0.25">
      <c r="A153" s="54" t="s">
        <v>1</v>
      </c>
      <c r="B153" s="55"/>
      <c r="C153" s="55"/>
    </row>
    <row r="154" spans="1:3" x14ac:dyDescent="0.25">
      <c r="A154" s="54" t="s">
        <v>223</v>
      </c>
      <c r="B154" s="55">
        <v>171881828.84</v>
      </c>
      <c r="C154" s="55">
        <v>283613384.97000003</v>
      </c>
    </row>
    <row r="155" spans="1:3" x14ac:dyDescent="0.25">
      <c r="A155" s="54" t="s">
        <v>443</v>
      </c>
      <c r="B155" s="55">
        <v>29261070.140000001</v>
      </c>
      <c r="C155" s="55">
        <v>32992532.030000001</v>
      </c>
    </row>
    <row r="156" spans="1:3" x14ac:dyDescent="0.25">
      <c r="A156" s="54" t="s">
        <v>455</v>
      </c>
      <c r="B156" s="55">
        <v>142620758.69999999</v>
      </c>
      <c r="C156" s="55">
        <v>250620852.94</v>
      </c>
    </row>
    <row r="157" spans="1:3" ht="24" customHeight="1" x14ac:dyDescent="0.25">
      <c r="A157" s="62" t="s">
        <v>227</v>
      </c>
      <c r="B157" s="62"/>
      <c r="C157" s="62"/>
    </row>
    <row r="158" spans="1:3" x14ac:dyDescent="0.25">
      <c r="A158" s="56" t="s">
        <v>228</v>
      </c>
      <c r="B158" s="57"/>
      <c r="C158" s="57"/>
    </row>
    <row r="159" spans="1:3" x14ac:dyDescent="0.25">
      <c r="A159" s="58" t="s">
        <v>234</v>
      </c>
      <c r="B159" s="57"/>
      <c r="C159" s="57"/>
    </row>
    <row r="160" spans="1:3" x14ac:dyDescent="0.25">
      <c r="A160" s="56" t="s">
        <v>229</v>
      </c>
      <c r="B160" s="57"/>
      <c r="C160" s="57"/>
    </row>
  </sheetData>
  <mergeCells count="3">
    <mergeCell ref="A1:C2"/>
    <mergeCell ref="B4:C4"/>
    <mergeCell ref="A157:C15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25EB6-6043-4FC5-8B87-1B8B4F70498C}">
  <dimension ref="A1:E209"/>
  <sheetViews>
    <sheetView workbookViewId="0">
      <selection activeCell="C5" sqref="C5"/>
    </sheetView>
  </sheetViews>
  <sheetFormatPr baseColWidth="10" defaultRowHeight="15.75" x14ac:dyDescent="0.25"/>
  <cols>
    <col min="2" max="2" width="51.125" bestFit="1" customWidth="1"/>
    <col min="3" max="4" width="11.875" bestFit="1" customWidth="1"/>
    <col min="7" max="7" width="11.25" bestFit="1" customWidth="1"/>
  </cols>
  <sheetData>
    <row r="1" spans="2:5" x14ac:dyDescent="0.25">
      <c r="C1">
        <f>+SUM(C4:C209)</f>
        <v>1.0000000000000004</v>
      </c>
      <c r="D1">
        <f>+SUM(D4:D209)</f>
        <v>0.99427098364078237</v>
      </c>
      <c r="E1">
        <f>1-D1</f>
        <v>5.7290163592176313E-3</v>
      </c>
    </row>
    <row r="3" spans="2:5" x14ac:dyDescent="0.25">
      <c r="C3">
        <v>2001</v>
      </c>
      <c r="D3">
        <v>2001</v>
      </c>
    </row>
    <row r="4" spans="2:5" x14ac:dyDescent="0.25">
      <c r="B4" t="s">
        <v>263</v>
      </c>
      <c r="C4" t="str">
        <f>IF(ISNA(VLOOKUP(B4,'2001'!$F$9:$G$142,2,FALSE)),"",VLOOKUP(B4,'2001'!$F$9:$G$142,2,FALSE))</f>
        <v/>
      </c>
      <c r="D4" t="str">
        <f>IF(ISNA(VLOOKUP(C4,'2001'!$F$9:$G$142,2,FALSE)),"",VLOOKUP(C4,'2001'!$F$9:$G$142,2,FALSE))</f>
        <v/>
      </c>
    </row>
    <row r="5" spans="2:5" x14ac:dyDescent="0.25">
      <c r="B5" t="s">
        <v>264</v>
      </c>
      <c r="C5">
        <f>IF(ISNA(VLOOKUP($B5,'2001'!$F$9:$G$142,2,FALSE)),"",VLOOKUP($B5,'2001'!$F$9:$G$142,2,FALSE))</f>
        <v>2.4663259718541321E-5</v>
      </c>
      <c r="D5">
        <f>IF(ISNA(VLOOKUP($B5,'2002'!$F$9:$G$142,2,FALSE)),"",VLOOKUP($B5,'2002'!$F$9:$G$142,2,FALSE))</f>
        <v>4.9415225715374804E-5</v>
      </c>
    </row>
    <row r="6" spans="2:5" x14ac:dyDescent="0.25">
      <c r="B6" t="s">
        <v>265</v>
      </c>
      <c r="C6">
        <f>IF(ISNA(VLOOKUP($B6,'2001'!$F$9:$G$142,2,FALSE)),"",VLOOKUP($B6,'2001'!$F$9:$G$142,2,FALSE))</f>
        <v>1.0150497324743468E-2</v>
      </c>
      <c r="D6">
        <f>IF(ISNA(VLOOKUP($B6,'2002'!$F$9:$G$142,2,FALSE)),"",VLOOKUP($B6,'2002'!$F$9:$G$142,2,FALSE))</f>
        <v>1.0615882727247566E-2</v>
      </c>
    </row>
    <row r="7" spans="2:5" x14ac:dyDescent="0.25">
      <c r="B7" t="s">
        <v>266</v>
      </c>
      <c r="C7" t="str">
        <f>IF(ISNA(VLOOKUP($B7,'2001'!$F$9:$G$142,2,FALSE)),"",VLOOKUP($B7,'2001'!$F$9:$G$142,2,FALSE))</f>
        <v/>
      </c>
      <c r="D7" t="str">
        <f>IF(ISNA(VLOOKUP($B7,'2002'!$F$9:$G$142,2,FALSE)),"",VLOOKUP($B7,'2002'!$F$9:$G$142,2,FALSE))</f>
        <v/>
      </c>
    </row>
    <row r="8" spans="2:5" x14ac:dyDescent="0.25">
      <c r="B8" t="s">
        <v>267</v>
      </c>
      <c r="C8">
        <f>IF(ISNA(VLOOKUP($B8,'2001'!$F$9:$G$142,2,FALSE)),"",VLOOKUP($B8,'2001'!$F$9:$G$142,2,FALSE))</f>
        <v>1.104881534529895E-4</v>
      </c>
      <c r="D8">
        <f>IF(ISNA(VLOOKUP($B8,'2002'!$F$9:$G$142,2,FALSE)),"",VLOOKUP($B8,'2002'!$F$9:$G$142,2,FALSE))</f>
        <v>3.0802195549704689E-4</v>
      </c>
    </row>
    <row r="9" spans="2:5" x14ac:dyDescent="0.25">
      <c r="B9" t="s">
        <v>268</v>
      </c>
      <c r="C9">
        <f>IF(ISNA(VLOOKUP($B9,'2001'!$F$9:$G$142,2,FALSE)),"",VLOOKUP($B9,'2001'!$F$9:$G$142,2,FALSE))</f>
        <v>1.1037597008418568E-5</v>
      </c>
      <c r="D9">
        <f>IF(ISNA(VLOOKUP($B9,'2002'!$F$9:$G$142,2,FALSE)),"",VLOOKUP($B9,'2002'!$F$9:$G$142,2,FALSE))</f>
        <v>5.0026492417523986E-6</v>
      </c>
    </row>
    <row r="10" spans="2:5" x14ac:dyDescent="0.25">
      <c r="B10" t="s">
        <v>269</v>
      </c>
      <c r="C10" t="str">
        <f>IF(ISNA(VLOOKUP($B10,'2001'!$F$9:$G$142,2,FALSE)),"",VLOOKUP($B10,'2001'!$F$9:$G$142,2,FALSE))</f>
        <v/>
      </c>
      <c r="D10" t="str">
        <f>IF(ISNA(VLOOKUP($B10,'2002'!$F$9:$G$142,2,FALSE)),"",VLOOKUP($B10,'2002'!$F$9:$G$142,2,FALSE))</f>
        <v/>
      </c>
    </row>
    <row r="11" spans="2:5" x14ac:dyDescent="0.25">
      <c r="B11" t="s">
        <v>270</v>
      </c>
      <c r="C11" t="str">
        <f>IF(ISNA(VLOOKUP($B11,'2001'!$F$9:$G$142,2,FALSE)),"",VLOOKUP($B11,'2001'!$F$9:$G$142,2,FALSE))</f>
        <v/>
      </c>
      <c r="D11" t="str">
        <f>IF(ISNA(VLOOKUP($B11,'2002'!$F$9:$G$142,2,FALSE)),"",VLOOKUP($B11,'2002'!$F$9:$G$142,2,FALSE))</f>
        <v/>
      </c>
    </row>
    <row r="12" spans="2:5" x14ac:dyDescent="0.25">
      <c r="B12" t="s">
        <v>271</v>
      </c>
      <c r="C12">
        <f>IF(ISNA(VLOOKUP($B12,'2001'!$F$9:$G$142,2,FALSE)),"",VLOOKUP($B12,'2001'!$F$9:$G$142,2,FALSE))</f>
        <v>4.9196107424998112E-3</v>
      </c>
      <c r="D12" t="str">
        <f>IF(ISNA(VLOOKUP($B12,'2002'!$F$9:$G$142,2,FALSE)),"",VLOOKUP($B12,'2002'!$F$9:$G$142,2,FALSE))</f>
        <v/>
      </c>
    </row>
    <row r="13" spans="2:5" x14ac:dyDescent="0.25">
      <c r="B13" t="s">
        <v>272</v>
      </c>
      <c r="C13">
        <f>IF(ISNA(VLOOKUP($B13,'2001'!$F$9:$G$142,2,FALSE)),"",VLOOKUP($B13,'2001'!$F$9:$G$142,2,FALSE))</f>
        <v>7.6266455218405659E-5</v>
      </c>
      <c r="D13">
        <f>IF(ISNA(VLOOKUP($B13,'2002'!$F$9:$G$142,2,FALSE)),"",VLOOKUP($B13,'2002'!$F$9:$G$142,2,FALSE))</f>
        <v>7.3817205221987612E-5</v>
      </c>
    </row>
    <row r="14" spans="2:5" x14ac:dyDescent="0.25">
      <c r="B14" t="s">
        <v>273</v>
      </c>
      <c r="C14" t="str">
        <f>IF(ISNA(VLOOKUP($B14,'2001'!$F$9:$G$142,2,FALSE)),"",VLOOKUP($B14,'2001'!$F$9:$G$142,2,FALSE))</f>
        <v/>
      </c>
      <c r="D14" t="str">
        <f>IF(ISNA(VLOOKUP($B14,'2002'!$F$9:$G$142,2,FALSE)),"",VLOOKUP($B14,'2002'!$F$9:$G$142,2,FALSE))</f>
        <v/>
      </c>
    </row>
    <row r="15" spans="2:5" x14ac:dyDescent="0.25">
      <c r="B15" t="s">
        <v>274</v>
      </c>
      <c r="C15" t="str">
        <f>IF(ISNA(VLOOKUP($B15,'2001'!$F$9:$G$142,2,FALSE)),"",VLOOKUP($B15,'2001'!$F$9:$G$142,2,FALSE))</f>
        <v/>
      </c>
      <c r="D15">
        <f>IF(ISNA(VLOOKUP($B15,'2002'!$F$9:$G$142,2,FALSE)),"",VLOOKUP($B15,'2002'!$F$9:$G$142,2,FALSE))</f>
        <v>1.2780752080579091E-5</v>
      </c>
    </row>
    <row r="16" spans="2:5" x14ac:dyDescent="0.25">
      <c r="B16" t="s">
        <v>275</v>
      </c>
      <c r="C16">
        <f>IF(ISNA(VLOOKUP($B16,'2001'!$F$9:$G$142,2,FALSE)),"",VLOOKUP($B16,'2001'!$F$9:$G$142,2,FALSE))</f>
        <v>6.5546018598333647E-5</v>
      </c>
      <c r="D16" t="str">
        <f>IF(ISNA(VLOOKUP($B16,'2002'!$F$9:$G$142,2,FALSE)),"",VLOOKUP($B16,'2002'!$F$9:$G$142,2,FALSE))</f>
        <v/>
      </c>
    </row>
    <row r="17" spans="2:4" x14ac:dyDescent="0.25">
      <c r="B17" t="s">
        <v>276</v>
      </c>
      <c r="C17">
        <f>IF(ISNA(VLOOKUP($B17,'2001'!$F$9:$G$142,2,FALSE)),"",VLOOKUP($B17,'2001'!$F$9:$G$142,2,FALSE))</f>
        <v>1.4674798343556237E-2</v>
      </c>
      <c r="D17">
        <f>IF(ISNA(VLOOKUP($B17,'2002'!$F$9:$G$142,2,FALSE)),"",VLOOKUP($B17,'2002'!$F$9:$G$142,2,FALSE))</f>
        <v>1.5337155145415511E-2</v>
      </c>
    </row>
    <row r="18" spans="2:4" x14ac:dyDescent="0.25">
      <c r="B18" t="s">
        <v>277</v>
      </c>
      <c r="C18">
        <f>IF(ISNA(VLOOKUP($B18,'2001'!$F$9:$G$142,2,FALSE)),"",VLOOKUP($B18,'2001'!$F$9:$G$142,2,FALSE))</f>
        <v>4.3184826240039899E-5</v>
      </c>
      <c r="D18">
        <f>IF(ISNA(VLOOKUP($B18,'2002'!$F$9:$G$142,2,FALSE)),"",VLOOKUP($B18,'2002'!$F$9:$G$142,2,FALSE))</f>
        <v>5.4938310864177913E-5</v>
      </c>
    </row>
    <row r="19" spans="2:4" x14ac:dyDescent="0.25">
      <c r="B19" t="s">
        <v>278</v>
      </c>
      <c r="C19" t="str">
        <f>IF(ISNA(VLOOKUP($B19,'2001'!$F$9:$G$142,2,FALSE)),"",VLOOKUP($B19,'2001'!$F$9:$G$142,2,FALSE))</f>
        <v/>
      </c>
      <c r="D19" t="str">
        <f>IF(ISNA(VLOOKUP($B19,'2002'!$F$9:$G$142,2,FALSE)),"",VLOOKUP($B19,'2002'!$F$9:$G$142,2,FALSE))</f>
        <v/>
      </c>
    </row>
    <row r="20" spans="2:4" x14ac:dyDescent="0.25">
      <c r="B20" t="s">
        <v>279</v>
      </c>
      <c r="C20">
        <f>IF(ISNA(VLOOKUP($B20,'2001'!$F$9:$G$142,2,FALSE)),"",VLOOKUP($B20,'2001'!$F$9:$G$142,2,FALSE))</f>
        <v>1.3212698878967638E-2</v>
      </c>
      <c r="D20">
        <f>IF(ISNA(VLOOKUP($B20,'2002'!$F$9:$G$142,2,FALSE)),"",VLOOKUP($B20,'2002'!$F$9:$G$142,2,FALSE))</f>
        <v>1.3143842865064804E-2</v>
      </c>
    </row>
    <row r="21" spans="2:4" x14ac:dyDescent="0.25">
      <c r="B21" t="s">
        <v>280</v>
      </c>
      <c r="C21">
        <f>IF(ISNA(VLOOKUP($B21,'2001'!$F$9:$G$142,2,FALSE)),"",VLOOKUP($B21,'2001'!$F$9:$G$142,2,FALSE))</f>
        <v>1.9389718064854755E-7</v>
      </c>
      <c r="D21">
        <f>IF(ISNA(VLOOKUP($B21,'2002'!$F$9:$G$142,2,FALSE)),"",VLOOKUP($B21,'2002'!$F$9:$G$142,2,FALSE))</f>
        <v>2.5121874929927061E-5</v>
      </c>
    </row>
    <row r="22" spans="2:4" x14ac:dyDescent="0.25">
      <c r="B22" t="s">
        <v>281</v>
      </c>
      <c r="C22">
        <f>IF(ISNA(VLOOKUP($B22,'2001'!$F$9:$G$142,2,FALSE)),"",VLOOKUP($B22,'2001'!$F$9:$G$142,2,FALSE))</f>
        <v>2.3190795295497172E-5</v>
      </c>
      <c r="D22">
        <f>IF(ISNA(VLOOKUP($B22,'2002'!$F$9:$G$142,2,FALSE)),"",VLOOKUP($B22,'2002'!$F$9:$G$142,2,FALSE))</f>
        <v>1.5024047688262264E-4</v>
      </c>
    </row>
    <row r="23" spans="2:4" x14ac:dyDescent="0.25">
      <c r="B23" t="s">
        <v>282</v>
      </c>
      <c r="C23">
        <f>IF(ISNA(VLOOKUP($B23,'2001'!$F$9:$G$142,2,FALSE)),"",VLOOKUP($B23,'2001'!$F$9:$G$142,2,FALSE))</f>
        <v>7.5654109455519395E-3</v>
      </c>
      <c r="D23">
        <f>IF(ISNA(VLOOKUP($B23,'2002'!$F$9:$G$142,2,FALSE)),"",VLOOKUP($B23,'2002'!$F$9:$G$142,2,FALSE))</f>
        <v>6.4789385203969114E-3</v>
      </c>
    </row>
    <row r="24" spans="2:4" x14ac:dyDescent="0.25">
      <c r="B24" t="s">
        <v>283</v>
      </c>
      <c r="C24" t="str">
        <f>IF(ISNA(VLOOKUP($B24,'2001'!$F$9:$G$142,2,FALSE)),"",VLOOKUP($B24,'2001'!$F$9:$G$142,2,FALSE))</f>
        <v/>
      </c>
      <c r="D24" t="str">
        <f>IF(ISNA(VLOOKUP($B24,'2002'!$F$9:$G$142,2,FALSE)),"",VLOOKUP($B24,'2002'!$F$9:$G$142,2,FALSE))</f>
        <v/>
      </c>
    </row>
    <row r="25" spans="2:4" x14ac:dyDescent="0.25">
      <c r="B25" t="s">
        <v>284</v>
      </c>
      <c r="C25" t="str">
        <f>IF(ISNA(VLOOKUP($B25,'2001'!$F$9:$G$142,2,FALSE)),"",VLOOKUP($B25,'2001'!$F$9:$G$142,2,FALSE))</f>
        <v/>
      </c>
      <c r="D25" t="str">
        <f>IF(ISNA(VLOOKUP($B25,'2002'!$F$9:$G$142,2,FALSE)),"",VLOOKUP($B25,'2002'!$F$9:$G$142,2,FALSE))</f>
        <v/>
      </c>
    </row>
    <row r="26" spans="2:4" x14ac:dyDescent="0.25">
      <c r="B26" t="s">
        <v>285</v>
      </c>
      <c r="C26">
        <f>IF(ISNA(VLOOKUP($B26,'2001'!$F$9:$G$142,2,FALSE)),"",VLOOKUP($B26,'2001'!$F$9:$G$142,2,FALSE))</f>
        <v>0.1002349887252425</v>
      </c>
      <c r="D26">
        <f>IF(ISNA(VLOOKUP($B26,'2002'!$F$9:$G$142,2,FALSE)),"",VLOOKUP($B26,'2002'!$F$9:$G$142,2,FALSE))</f>
        <v>8.3766652381478401E-2</v>
      </c>
    </row>
    <row r="27" spans="2:4" x14ac:dyDescent="0.25">
      <c r="B27" t="s">
        <v>286</v>
      </c>
      <c r="C27" t="str">
        <f>IF(ISNA(VLOOKUP($B27,'2001'!$F$9:$G$142,2,FALSE)),"",VLOOKUP($B27,'2001'!$F$9:$G$142,2,FALSE))</f>
        <v/>
      </c>
      <c r="D27" t="str">
        <f>IF(ISNA(VLOOKUP($B27,'2002'!$F$9:$G$142,2,FALSE)),"",VLOOKUP($B27,'2002'!$F$9:$G$142,2,FALSE))</f>
        <v/>
      </c>
    </row>
    <row r="28" spans="2:4" x14ac:dyDescent="0.25">
      <c r="B28" t="s">
        <v>287</v>
      </c>
      <c r="C28">
        <f>IF(ISNA(VLOOKUP($B28,'2001'!$F$9:$G$142,2,FALSE)),"",VLOOKUP($B28,'2001'!$F$9:$G$142,2,FALSE))</f>
        <v>2.3136250171940922E-4</v>
      </c>
      <c r="D28">
        <f>IF(ISNA(VLOOKUP($B28,'2002'!$F$9:$G$142,2,FALSE)),"",VLOOKUP($B28,'2002'!$F$9:$G$142,2,FALSE))</f>
        <v>1.1611704512718775E-3</v>
      </c>
    </row>
    <row r="29" spans="2:4" x14ac:dyDescent="0.25">
      <c r="B29" t="s">
        <v>288</v>
      </c>
      <c r="C29" t="str">
        <f>IF(ISNA(VLOOKUP($B29,'2001'!$F$9:$G$142,2,FALSE)),"",VLOOKUP($B29,'2001'!$F$9:$G$142,2,FALSE))</f>
        <v/>
      </c>
      <c r="D29">
        <f>IF(ISNA(VLOOKUP($B29,'2002'!$F$9:$G$142,2,FALSE)),"",VLOOKUP($B29,'2002'!$F$9:$G$142,2,FALSE))</f>
        <v>9.7632876037717031E-6</v>
      </c>
    </row>
    <row r="30" spans="2:4" x14ac:dyDescent="0.25">
      <c r="B30" t="s">
        <v>289</v>
      </c>
      <c r="C30" t="str">
        <f>IF(ISNA(VLOOKUP($B30,'2001'!$F$9:$G$142,2,FALSE)),"",VLOOKUP($B30,'2001'!$F$9:$G$142,2,FALSE))</f>
        <v/>
      </c>
      <c r="D30" t="str">
        <f>IF(ISNA(VLOOKUP($B30,'2002'!$F$9:$G$142,2,FALSE)),"",VLOOKUP($B30,'2002'!$F$9:$G$142,2,FALSE))</f>
        <v/>
      </c>
    </row>
    <row r="31" spans="2:4" x14ac:dyDescent="0.25">
      <c r="B31" t="s">
        <v>290</v>
      </c>
      <c r="C31" t="str">
        <f>IF(ISNA(VLOOKUP($B31,'2001'!$F$9:$G$142,2,FALSE)),"",VLOOKUP($B31,'2001'!$F$9:$G$142,2,FALSE))</f>
        <v/>
      </c>
      <c r="D31" t="str">
        <f>IF(ISNA(VLOOKUP($B31,'2002'!$F$9:$G$142,2,FALSE)),"",VLOOKUP($B31,'2002'!$F$9:$G$142,2,FALSE))</f>
        <v/>
      </c>
    </row>
    <row r="32" spans="2:4" x14ac:dyDescent="0.25">
      <c r="B32" t="s">
        <v>291</v>
      </c>
      <c r="C32">
        <f>IF(ISNA(VLOOKUP($B32,'2001'!$F$9:$G$142,2,FALSE)),"",VLOOKUP($B32,'2001'!$F$9:$G$142,2,FALSE))</f>
        <v>1.8256112047991639E-5</v>
      </c>
      <c r="D32">
        <f>IF(ISNA(VLOOKUP($B32,'2002'!$F$9:$G$142,2,FALSE)),"",VLOOKUP($B32,'2002'!$F$9:$G$142,2,FALSE))</f>
        <v>4.0339510864589517E-5</v>
      </c>
    </row>
    <row r="33" spans="1:4" x14ac:dyDescent="0.25">
      <c r="B33" t="s">
        <v>292</v>
      </c>
      <c r="C33">
        <f>IF(ISNA(VLOOKUP($B33,'2001'!$F$9:$G$142,2,FALSE)),"",VLOOKUP($B33,'2001'!$F$9:$G$142,2,FALSE))</f>
        <v>1.1423660144888445E-4</v>
      </c>
      <c r="D33">
        <f>IF(ISNA(VLOOKUP($B33,'2002'!$F$9:$G$142,2,FALSE)),"",VLOOKUP($B33,'2002'!$F$9:$G$142,2,FALSE))</f>
        <v>1.4395862727656673E-4</v>
      </c>
    </row>
    <row r="34" spans="1:4" x14ac:dyDescent="0.25">
      <c r="B34" t="s">
        <v>293</v>
      </c>
      <c r="C34">
        <f>IF(ISNA(VLOOKUP($B34,'2001'!$F$9:$G$142,2,FALSE)),"",VLOOKUP($B34,'2001'!$F$9:$G$142,2,FALSE))</f>
        <v>2.3027196857624732E-3</v>
      </c>
      <c r="D34">
        <f>IF(ISNA(VLOOKUP($B34,'2002'!$F$9:$G$142,2,FALSE)),"",VLOOKUP($B34,'2002'!$F$9:$G$142,2,FALSE))</f>
        <v>1.7429834269456169E-3</v>
      </c>
    </row>
    <row r="35" spans="1:4" x14ac:dyDescent="0.25">
      <c r="B35" t="s">
        <v>294</v>
      </c>
      <c r="C35" t="str">
        <f>IF(ISNA(VLOOKUP($B35,'2001'!$F$9:$G$142,2,FALSE)),"",VLOOKUP($B35,'2001'!$F$9:$G$142,2,FALSE))</f>
        <v/>
      </c>
      <c r="D35" t="str">
        <f>IF(ISNA(VLOOKUP($B35,'2002'!$F$9:$G$142,2,FALSE)),"",VLOOKUP($B35,'2002'!$F$9:$G$142,2,FALSE))</f>
        <v/>
      </c>
    </row>
    <row r="36" spans="1:4" x14ac:dyDescent="0.25">
      <c r="B36" t="s">
        <v>295</v>
      </c>
      <c r="C36">
        <f>IF(ISNA(VLOOKUP($B36,'2001'!$F$9:$G$142,2,FALSE)),"",VLOOKUP($B36,'2001'!$F$9:$G$142,2,FALSE))</f>
        <v>6.3016583710777949E-6</v>
      </c>
      <c r="D36" t="str">
        <f>IF(ISNA(VLOOKUP($B36,'2002'!$F$9:$G$142,2,FALSE)),"",VLOOKUP($B36,'2002'!$F$9:$G$142,2,FALSE))</f>
        <v/>
      </c>
    </row>
    <row r="37" spans="1:4" x14ac:dyDescent="0.25">
      <c r="B37" t="s">
        <v>296</v>
      </c>
      <c r="C37">
        <f>IF(ISNA(VLOOKUP($B37,'2001'!$F$9:$G$142,2,FALSE)),"",VLOOKUP($B37,'2001'!$F$9:$G$142,2,FALSE))</f>
        <v>2.9425259521941124E-2</v>
      </c>
      <c r="D37">
        <f>IF(ISNA(VLOOKUP($B37,'2002'!$F$9:$G$142,2,FALSE)),"",VLOOKUP($B37,'2002'!$F$9:$G$142,2,FALSE))</f>
        <v>3.2359423454310317E-2</v>
      </c>
    </row>
    <row r="38" spans="1:4" x14ac:dyDescent="0.25">
      <c r="B38" t="s">
        <v>297</v>
      </c>
      <c r="C38">
        <f>IF(ISNA(VLOOKUP($B38,'2001'!$F$9:$G$142,2,FALSE)),"",VLOOKUP($B38,'2001'!$F$9:$G$142,2,FALSE))</f>
        <v>7.4810124656601307E-2</v>
      </c>
      <c r="D38">
        <f>IF(ISNA(VLOOKUP($B38,'2002'!$F$9:$G$142,2,FALSE)),"",VLOOKUP($B38,'2002'!$F$9:$G$142,2,FALSE))</f>
        <v>8.2744799185683102E-2</v>
      </c>
    </row>
    <row r="39" spans="1:4" x14ac:dyDescent="0.25">
      <c r="B39" t="s">
        <v>298</v>
      </c>
      <c r="C39">
        <f>IF(ISNA(VLOOKUP($B39,'2001'!$F$9:$G$142,2,FALSE)),"",VLOOKUP($B39,'2001'!$F$9:$G$142,2,FALSE))</f>
        <v>6.7898051415394541E-3</v>
      </c>
      <c r="D39">
        <f>IF(ISNA(VLOOKUP($B39,'2002'!$F$9:$G$142,2,FALSE)),"",VLOOKUP($B39,'2002'!$F$9:$G$142,2,FALSE))</f>
        <v>4.9145992191714331E-3</v>
      </c>
    </row>
    <row r="40" spans="1:4" x14ac:dyDescent="0.25">
      <c r="B40" t="s">
        <v>299</v>
      </c>
      <c r="C40" t="str">
        <f>IF(ISNA(VLOOKUP($B40,'2001'!$F$9:$G$142,2,FALSE)),"",VLOOKUP($B40,'2001'!$F$9:$G$142,2,FALSE))</f>
        <v/>
      </c>
      <c r="D40" t="str">
        <f>IF(ISNA(VLOOKUP($B40,'2002'!$F$9:$G$142,2,FALSE)),"",VLOOKUP($B40,'2002'!$F$9:$G$142,2,FALSE))</f>
        <v/>
      </c>
    </row>
    <row r="41" spans="1:4" x14ac:dyDescent="0.25">
      <c r="A41" t="s">
        <v>300</v>
      </c>
      <c r="B41" s="12" t="s">
        <v>477</v>
      </c>
      <c r="C41">
        <f>IF(ISNA(VLOOKUP($B41,'2001'!$F$9:$G$142,2,FALSE)),"",VLOOKUP($B41,'2001'!$F$9:$G$142,2,FALSE))</f>
        <v>5.1539717256199637E-6</v>
      </c>
      <c r="D41">
        <f>IF(ISNA(VLOOKUP($B41,'2002'!$F$9:$G$142,2,FALSE)),"",VLOOKUP($B41,'2002'!$F$9:$G$142,2,FALSE))</f>
        <v>1.0537804248462738E-4</v>
      </c>
    </row>
    <row r="42" spans="1:4" x14ac:dyDescent="0.25">
      <c r="B42" t="s">
        <v>301</v>
      </c>
      <c r="C42">
        <f>IF(ISNA(VLOOKUP($B42,'2001'!$F$9:$G$142,2,FALSE)),"",VLOOKUP($B42,'2001'!$F$9:$G$142,2,FALSE))</f>
        <v>1.5674878913605545E-4</v>
      </c>
      <c r="D42">
        <f>IF(ISNA(VLOOKUP($B42,'2002'!$F$9:$G$142,2,FALSE)),"",VLOOKUP($B42,'2002'!$F$9:$G$142,2,FALSE))</f>
        <v>8.1456361493177176E-4</v>
      </c>
    </row>
    <row r="43" spans="1:4" x14ac:dyDescent="0.25">
      <c r="B43" t="s">
        <v>302</v>
      </c>
      <c r="C43">
        <f>IF(ISNA(VLOOKUP($B43,'2001'!$F$9:$G$142,2,FALSE)),"",VLOOKUP($B43,'2001'!$F$9:$G$142,2,FALSE))</f>
        <v>8.7148172743381415E-4</v>
      </c>
      <c r="D43">
        <f>IF(ISNA(VLOOKUP($B43,'2002'!$F$9:$G$142,2,FALSE)),"",VLOOKUP($B43,'2002'!$F$9:$G$142,2,FALSE))</f>
        <v>4.424599197711635E-4</v>
      </c>
    </row>
    <row r="44" spans="1:4" x14ac:dyDescent="0.25">
      <c r="B44" t="s">
        <v>303</v>
      </c>
      <c r="C44">
        <f>IF(ISNA(VLOOKUP($B44,'2001'!$F$9:$G$142,2,FALSE)),"",VLOOKUP($B44,'2001'!$F$9:$G$142,2,FALSE))</f>
        <v>2.2874211982093026E-4</v>
      </c>
      <c r="D44">
        <f>IF(ISNA(VLOOKUP($B44,'2002'!$F$9:$G$142,2,FALSE)),"",VLOOKUP($B44,'2002'!$F$9:$G$142,2,FALSE))</f>
        <v>8.896589976487487E-5</v>
      </c>
    </row>
    <row r="45" spans="1:4" x14ac:dyDescent="0.25">
      <c r="B45" t="s">
        <v>304</v>
      </c>
      <c r="C45">
        <f>IF(ISNA(VLOOKUP($B45,'2001'!$F$9:$G$142,2,FALSE)),"",VLOOKUP($B45,'2001'!$F$9:$G$142,2,FALSE))</f>
        <v>1.6490355056218866E-4</v>
      </c>
      <c r="D45" t="str">
        <f>IF(ISNA(VLOOKUP($B45,'2002'!$F$9:$G$142,2,FALSE)),"",VLOOKUP($B45,'2002'!$F$9:$G$142,2,FALSE))</f>
        <v/>
      </c>
    </row>
    <row r="46" spans="1:4" x14ac:dyDescent="0.25">
      <c r="B46" t="s">
        <v>305</v>
      </c>
      <c r="C46" t="str">
        <f>IF(ISNA(VLOOKUP($B46,'2001'!$F$9:$G$142,2,FALSE)),"",VLOOKUP($B46,'2001'!$F$9:$G$142,2,FALSE))</f>
        <v/>
      </c>
      <c r="D46" t="str">
        <f>IF(ISNA(VLOOKUP($B46,'2002'!$F$9:$G$142,2,FALSE)),"",VLOOKUP($B46,'2002'!$F$9:$G$142,2,FALSE))</f>
        <v/>
      </c>
    </row>
    <row r="47" spans="1:4" x14ac:dyDescent="0.25">
      <c r="B47" t="s">
        <v>306</v>
      </c>
      <c r="C47">
        <f>IF(ISNA(VLOOKUP($B47,'2001'!$F$9:$G$142,2,FALSE)),"",VLOOKUP($B47,'2001'!$F$9:$G$142,2,FALSE))</f>
        <v>1.7523776246480692E-3</v>
      </c>
      <c r="D47">
        <f>IF(ISNA(VLOOKUP($B47,'2002'!$F$9:$G$142,2,FALSE)),"",VLOOKUP($B47,'2002'!$F$9:$G$142,2,FALSE))</f>
        <v>2.0435775100570096E-3</v>
      </c>
    </row>
    <row r="48" spans="1:4" x14ac:dyDescent="0.25">
      <c r="B48" t="s">
        <v>307</v>
      </c>
      <c r="C48">
        <f>IF(ISNA(VLOOKUP($B48,'2001'!$F$9:$G$142,2,FALSE)),"",VLOOKUP($B48,'2001'!$F$9:$G$142,2,FALSE))</f>
        <v>1.0357110236332951E-5</v>
      </c>
      <c r="D48" t="str">
        <f>IF(ISNA(VLOOKUP($B48,'2002'!$F$9:$G$142,2,FALSE)),"",VLOOKUP($B48,'2002'!$F$9:$G$142,2,FALSE))</f>
        <v/>
      </c>
    </row>
    <row r="49" spans="2:4" x14ac:dyDescent="0.25">
      <c r="B49" t="s">
        <v>308</v>
      </c>
      <c r="C49">
        <f>IF(ISNA(VLOOKUP($B49,'2001'!$F$9:$G$142,2,FALSE)),"",VLOOKUP($B49,'2001'!$F$9:$G$142,2,FALSE))</f>
        <v>4.0015949612752184E-2</v>
      </c>
      <c r="D49">
        <f>IF(ISNA(VLOOKUP($B49,'2002'!$F$9:$G$142,2,FALSE)),"",VLOOKUP($B49,'2002'!$F$9:$G$142,2,FALSE))</f>
        <v>2.8932942997401796E-2</v>
      </c>
    </row>
    <row r="50" spans="2:4" x14ac:dyDescent="0.25">
      <c r="B50" t="s">
        <v>309</v>
      </c>
      <c r="C50" t="str">
        <f>IF(ISNA(VLOOKUP($B50,'2001'!$F$9:$G$142,2,FALSE)),"",VLOOKUP($B50,'2001'!$F$9:$G$142,2,FALSE))</f>
        <v/>
      </c>
      <c r="D50" t="str">
        <f>IF(ISNA(VLOOKUP($B50,'2002'!$F$9:$G$142,2,FALSE)),"",VLOOKUP($B50,'2002'!$F$9:$G$142,2,FALSE))</f>
        <v/>
      </c>
    </row>
    <row r="51" spans="2:4" x14ac:dyDescent="0.25">
      <c r="B51" t="s">
        <v>310</v>
      </c>
      <c r="C51">
        <f>IF(ISNA(VLOOKUP($B51,'2001'!$F$9:$G$142,2,FALSE)),"",VLOOKUP($B51,'2001'!$F$9:$G$142,2,FALSE))</f>
        <v>4.6512240357955152E-6</v>
      </c>
      <c r="D51">
        <f>IF(ISNA(VLOOKUP($B51,'2002'!$F$9:$G$142,2,FALSE)),"",VLOOKUP($B51,'2002'!$F$9:$G$142,2,FALSE))</f>
        <v>3.6111378267528152E-6</v>
      </c>
    </row>
    <row r="52" spans="2:4" x14ac:dyDescent="0.25">
      <c r="B52" t="s">
        <v>311</v>
      </c>
      <c r="C52">
        <f>IF(ISNA(VLOOKUP($B52,'2001'!$F$9:$G$142,2,FALSE)),"",VLOOKUP($B52,'2001'!$F$9:$G$142,2,FALSE))</f>
        <v>7.7331777111483719E-3</v>
      </c>
      <c r="D52">
        <f>IF(ISNA(VLOOKUP($B52,'2002'!$F$9:$G$142,2,FALSE)),"",VLOOKUP($B52,'2002'!$F$9:$G$142,2,FALSE))</f>
        <v>8.2123724394254187E-3</v>
      </c>
    </row>
    <row r="53" spans="2:4" x14ac:dyDescent="0.25">
      <c r="B53" t="s">
        <v>312</v>
      </c>
      <c r="C53">
        <f>IF(ISNA(VLOOKUP($B53,'2001'!$F$9:$G$142,2,FALSE)),"",VLOOKUP($B53,'2001'!$F$9:$G$142,2,FALSE))</f>
        <v>3.7146457157285137E-3</v>
      </c>
      <c r="D53">
        <f>IF(ISNA(VLOOKUP($B53,'2002'!$F$9:$G$142,2,FALSE)),"",VLOOKUP($B53,'2002'!$F$9:$G$142,2,FALSE))</f>
        <v>5.4246268172288567E-3</v>
      </c>
    </row>
    <row r="54" spans="2:4" x14ac:dyDescent="0.25">
      <c r="B54" t="s">
        <v>313</v>
      </c>
      <c r="C54">
        <f>IF(ISNA(VLOOKUP($B54,'2001'!$F$9:$G$142,2,FALSE)),"",VLOOKUP($B54,'2001'!$F$9:$G$142,2,FALSE))</f>
        <v>3.8657436716135377E-2</v>
      </c>
      <c r="D54">
        <f>IF(ISNA(VLOOKUP($B54,'2002'!$F$9:$G$142,2,FALSE)),"",VLOOKUP($B54,'2002'!$F$9:$G$142,2,FALSE))</f>
        <v>3.8970494596121064E-2</v>
      </c>
    </row>
    <row r="55" spans="2:4" x14ac:dyDescent="0.25">
      <c r="B55" t="s">
        <v>314</v>
      </c>
      <c r="C55">
        <f>IF(ISNA(VLOOKUP($B55,'2001'!$F$9:$G$142,2,FALSE)),"",VLOOKUP($B55,'2001'!$F$9:$G$142,2,FALSE))</f>
        <v>6.4139340718723828E-5</v>
      </c>
      <c r="D55">
        <f>IF(ISNA(VLOOKUP($B55,'2002'!$F$9:$G$142,2,FALSE)),"",VLOOKUP($B55,'2002'!$F$9:$G$142,2,FALSE))</f>
        <v>5.8665032923432164E-5</v>
      </c>
    </row>
    <row r="56" spans="2:4" x14ac:dyDescent="0.25">
      <c r="B56" t="s">
        <v>315</v>
      </c>
      <c r="C56" t="str">
        <f>IF(ISNA(VLOOKUP($B56,'2001'!$F$9:$G$142,2,FALSE)),"",VLOOKUP($B56,'2001'!$F$9:$G$142,2,FALSE))</f>
        <v/>
      </c>
      <c r="D56" t="str">
        <f>IF(ISNA(VLOOKUP($B56,'2002'!$F$9:$G$142,2,FALSE)),"",VLOOKUP($B56,'2002'!$F$9:$G$142,2,FALSE))</f>
        <v/>
      </c>
    </row>
    <row r="57" spans="2:4" x14ac:dyDescent="0.25">
      <c r="B57" t="s">
        <v>316</v>
      </c>
      <c r="C57" t="str">
        <f>IF(ISNA(VLOOKUP($B57,'2001'!$F$9:$G$142,2,FALSE)),"",VLOOKUP($B57,'2001'!$F$9:$G$142,2,FALSE))</f>
        <v/>
      </c>
      <c r="D57">
        <f>IF(ISNA(VLOOKUP($B57,'2002'!$F$9:$G$142,2,FALSE)),"",VLOOKUP($B57,'2002'!$F$9:$G$142,2,FALSE))</f>
        <v>3.578201434836477E-6</v>
      </c>
    </row>
    <row r="58" spans="2:4" x14ac:dyDescent="0.25">
      <c r="B58" t="s">
        <v>317</v>
      </c>
      <c r="C58" t="str">
        <f>IF(ISNA(VLOOKUP($B58,'2001'!$F$9:$G$142,2,FALSE)),"",VLOOKUP($B58,'2001'!$F$9:$G$142,2,FALSE))</f>
        <v/>
      </c>
      <c r="D58">
        <f>IF(ISNA(VLOOKUP($B58,'2002'!$F$9:$G$142,2,FALSE)),"",VLOOKUP($B58,'2002'!$F$9:$G$142,2,FALSE))</f>
        <v>4.8279431628918222E-7</v>
      </c>
    </row>
    <row r="59" spans="2:4" x14ac:dyDescent="0.25">
      <c r="B59" t="s">
        <v>318</v>
      </c>
      <c r="C59">
        <f>IF(ISNA(VLOOKUP($B59,'2001'!$F$9:$G$142,2,FALSE)),"",VLOOKUP($B59,'2001'!$F$9:$G$142,2,FALSE))</f>
        <v>3.8915625816117414E-6</v>
      </c>
      <c r="D59" t="str">
        <f>IF(ISNA(VLOOKUP($B59,'2002'!$F$9:$G$142,2,FALSE)),"",VLOOKUP($B59,'2002'!$F$9:$G$142,2,FALSE))</f>
        <v/>
      </c>
    </row>
    <row r="60" spans="2:4" x14ac:dyDescent="0.25">
      <c r="B60" t="s">
        <v>319</v>
      </c>
      <c r="C60">
        <f>IF(ISNA(VLOOKUP($B60,'2001'!$F$9:$G$142,2,FALSE)),"",VLOOKUP($B60,'2001'!$F$9:$G$142,2,FALSE))</f>
        <v>7.1684249345721952E-6</v>
      </c>
      <c r="D60" t="str">
        <f>IF(ISNA(VLOOKUP($B60,'2002'!$F$9:$G$142,2,FALSE)),"",VLOOKUP($B60,'2002'!$F$9:$G$142,2,FALSE))</f>
        <v/>
      </c>
    </row>
    <row r="61" spans="2:4" x14ac:dyDescent="0.25">
      <c r="B61" t="s">
        <v>320</v>
      </c>
      <c r="C61">
        <f>IF(ISNA(VLOOKUP($B61,'2001'!$F$9:$G$142,2,FALSE)),"",VLOOKUP($B61,'2001'!$F$9:$G$142,2,FALSE))</f>
        <v>5.478253218755811E-3</v>
      </c>
      <c r="D61">
        <f>IF(ISNA(VLOOKUP($B61,'2002'!$F$9:$G$142,2,FALSE)),"",VLOOKUP($B61,'2002'!$F$9:$G$142,2,FALSE))</f>
        <v>9.3875709296195771E-3</v>
      </c>
    </row>
    <row r="62" spans="2:4" x14ac:dyDescent="0.25">
      <c r="B62" t="s">
        <v>321</v>
      </c>
      <c r="C62">
        <f>IF(ISNA(VLOOKUP($B62,'2001'!$F$9:$G$142,2,FALSE)),"",VLOOKUP($B62,'2001'!$F$9:$G$142,2,FALSE))</f>
        <v>1.6661930978095134E-4</v>
      </c>
      <c r="D62">
        <f>IF(ISNA(VLOOKUP($B62,'2002'!$F$9:$G$142,2,FALSE)),"",VLOOKUP($B62,'2002'!$F$9:$G$142,2,FALSE))</f>
        <v>9.095967663205893E-5</v>
      </c>
    </row>
    <row r="63" spans="2:4" x14ac:dyDescent="0.25">
      <c r="B63" t="s">
        <v>322</v>
      </c>
      <c r="C63" t="str">
        <f>IF(ISNA(VLOOKUP($B63,'2001'!$F$9:$G$142,2,FALSE)),"",VLOOKUP($B63,'2001'!$F$9:$G$142,2,FALSE))</f>
        <v/>
      </c>
      <c r="D63">
        <f>IF(ISNA(VLOOKUP($B63,'2002'!$F$9:$G$142,2,FALSE)),"",VLOOKUP($B63,'2002'!$F$9:$G$142,2,FALSE))</f>
        <v>6.4025277277419095E-5</v>
      </c>
    </row>
    <row r="64" spans="2:4" x14ac:dyDescent="0.25">
      <c r="B64" t="s">
        <v>323</v>
      </c>
      <c r="C64" t="str">
        <f>IF(ISNA(VLOOKUP($B64,'2001'!$F$9:$G$142,2,FALSE)),"",VLOOKUP($B64,'2001'!$F$9:$G$142,2,FALSE))</f>
        <v/>
      </c>
      <c r="D64">
        <f>IF(ISNA(VLOOKUP($B64,'2002'!$F$9:$G$142,2,FALSE)),"",VLOOKUP($B64,'2002'!$F$9:$G$142,2,FALSE))</f>
        <v>7.6817485494316915E-6</v>
      </c>
    </row>
    <row r="65" spans="1:4" x14ac:dyDescent="0.25">
      <c r="B65" t="s">
        <v>324</v>
      </c>
      <c r="C65">
        <f>IF(ISNA(VLOOKUP($B65,'2001'!$F$9:$G$142,2,FALSE)),"",VLOOKUP($B65,'2001'!$F$9:$G$142,2,FALSE))</f>
        <v>1.7698975044845387E-2</v>
      </c>
      <c r="D65">
        <f>IF(ISNA(VLOOKUP($B65,'2002'!$F$9:$G$142,2,FALSE)),"",VLOOKUP($B65,'2002'!$F$9:$G$142,2,FALSE))</f>
        <v>2.0157051599986604E-2</v>
      </c>
    </row>
    <row r="66" spans="1:4" x14ac:dyDescent="0.25">
      <c r="B66" t="s">
        <v>325</v>
      </c>
      <c r="C66">
        <f>IF(ISNA(VLOOKUP($B66,'2001'!$F$9:$G$142,2,FALSE)),"",VLOOKUP($B66,'2001'!$F$9:$G$142,2,FALSE))</f>
        <v>2.505929471001598E-4</v>
      </c>
      <c r="D66">
        <f>IF(ISNA(VLOOKUP($B66,'2002'!$F$9:$G$142,2,FALSE)),"",VLOOKUP($B66,'2002'!$F$9:$G$142,2,FALSE))</f>
        <v>3.355436864118843E-4</v>
      </c>
    </row>
    <row r="67" spans="1:4" x14ac:dyDescent="0.25">
      <c r="B67" t="s">
        <v>326</v>
      </c>
      <c r="C67">
        <f>IF(ISNA(VLOOKUP($B67,'2001'!$F$9:$G$142,2,FALSE)),"",VLOOKUP($B67,'2001'!$F$9:$G$142,2,FALSE))</f>
        <v>5.1589447266436449E-3</v>
      </c>
      <c r="D67">
        <f>IF(ISNA(VLOOKUP($B67,'2002'!$F$9:$G$142,2,FALSE)),"",VLOOKUP($B67,'2002'!$F$9:$G$142,2,FALSE))</f>
        <v>4.3885890835062098E-3</v>
      </c>
    </row>
    <row r="68" spans="1:4" x14ac:dyDescent="0.25">
      <c r="B68" t="s">
        <v>327</v>
      </c>
      <c r="C68">
        <f>IF(ISNA(VLOOKUP($B68,'2001'!$F$9:$G$142,2,FALSE)),"",VLOOKUP($B68,'2001'!$F$9:$G$142,2,FALSE))</f>
        <v>2.6343471120851771E-5</v>
      </c>
      <c r="D68">
        <f>IF(ISNA(VLOOKUP($B68,'2002'!$F$9:$G$142,2,FALSE)),"",VLOOKUP($B68,'2002'!$F$9:$G$142,2,FALSE))</f>
        <v>2.9513052895667437E-5</v>
      </c>
    </row>
    <row r="69" spans="1:4" x14ac:dyDescent="0.25">
      <c r="B69" t="s">
        <v>328</v>
      </c>
      <c r="C69">
        <f>IF(ISNA(VLOOKUP($B69,'2001'!$F$9:$G$142,2,FALSE)),"",VLOOKUP($B69,'2001'!$F$9:$G$142,2,FALSE))</f>
        <v>2.8934200600490103E-3</v>
      </c>
      <c r="D69">
        <f>IF(ISNA(VLOOKUP($B69,'2002'!$F$9:$G$142,2,FALSE)),"",VLOOKUP($B69,'2002'!$F$9:$G$142,2,FALSE))</f>
        <v>2.7750624518485547E-3</v>
      </c>
    </row>
    <row r="70" spans="1:4" x14ac:dyDescent="0.25">
      <c r="B70" t="s">
        <v>329</v>
      </c>
      <c r="C70">
        <f>IF(ISNA(VLOOKUP($B70,'2001'!$F$9:$G$142,2,FALSE)),"",VLOOKUP($B70,'2001'!$F$9:$G$142,2,FALSE))</f>
        <v>2.7209083534461358E-5</v>
      </c>
      <c r="D70">
        <f>IF(ISNA(VLOOKUP($B70,'2002'!$F$9:$G$142,2,FALSE)),"",VLOOKUP($B70,'2002'!$F$9:$G$142,2,FALSE))</f>
        <v>7.4354416185790741E-6</v>
      </c>
    </row>
    <row r="71" spans="1:4" x14ac:dyDescent="0.25">
      <c r="B71" t="s">
        <v>330</v>
      </c>
      <c r="C71" t="str">
        <f>IF(ISNA(VLOOKUP($B71,'2001'!$F$9:$G$142,2,FALSE)),"",VLOOKUP($B71,'2001'!$F$9:$G$142,2,FALSE))</f>
        <v/>
      </c>
      <c r="D71">
        <f>IF(ISNA(VLOOKUP($B71,'2002'!$F$9:$G$142,2,FALSE)),"",VLOOKUP($B71,'2002'!$F$9:$G$142,2,FALSE))</f>
        <v>2.2625869229484553E-7</v>
      </c>
    </row>
    <row r="72" spans="1:4" x14ac:dyDescent="0.25">
      <c r="B72" t="s">
        <v>331</v>
      </c>
      <c r="C72" t="str">
        <f>IF(ISNA(VLOOKUP($B72,'2001'!$F$9:$G$142,2,FALSE)),"",VLOOKUP($B72,'2001'!$F$9:$G$142,2,FALSE))</f>
        <v/>
      </c>
      <c r="D72" t="str">
        <f>IF(ISNA(VLOOKUP($B72,'2002'!$F$9:$G$142,2,FALSE)),"",VLOOKUP($B72,'2002'!$F$9:$G$142,2,FALSE))</f>
        <v/>
      </c>
    </row>
    <row r="73" spans="1:4" x14ac:dyDescent="0.25">
      <c r="B73" t="s">
        <v>332</v>
      </c>
      <c r="C73">
        <f>IF(ISNA(VLOOKUP($B73,'2001'!$F$9:$G$142,2,FALSE)),"",VLOOKUP($B73,'2001'!$F$9:$G$142,2,FALSE))</f>
        <v>8.0358839879974821E-6</v>
      </c>
      <c r="D73">
        <f>IF(ISNA(VLOOKUP($B73,'2002'!$F$9:$G$142,2,FALSE)),"",VLOOKUP($B73,'2002'!$F$9:$G$142,2,FALSE))</f>
        <v>2.9560923179570686E-5</v>
      </c>
    </row>
    <row r="74" spans="1:4" x14ac:dyDescent="0.25">
      <c r="B74" t="s">
        <v>333</v>
      </c>
      <c r="C74">
        <f>IF(ISNA(VLOOKUP($B74,'2001'!$F$9:$G$142,2,FALSE)),"",VLOOKUP($B74,'2001'!$F$9:$G$142,2,FALSE))</f>
        <v>1.394896317585651E-4</v>
      </c>
      <c r="D74">
        <f>IF(ISNA(VLOOKUP($B74,'2002'!$F$9:$G$142,2,FALSE)),"",VLOOKUP($B74,'2002'!$F$9:$G$142,2,FALSE))</f>
        <v>5.805110676106613E-5</v>
      </c>
    </row>
    <row r="75" spans="1:4" x14ac:dyDescent="0.25">
      <c r="B75" t="s">
        <v>334</v>
      </c>
      <c r="C75">
        <f>IF(ISNA(VLOOKUP($B75,'2001'!$F$9:$G$142,2,FALSE)),"",VLOOKUP($B75,'2001'!$F$9:$G$142,2,FALSE))</f>
        <v>1.4160241853770339E-4</v>
      </c>
      <c r="D75">
        <f>IF(ISNA(VLOOKUP($B75,'2002'!$F$9:$G$142,2,FALSE)),"",VLOOKUP($B75,'2002'!$F$9:$G$142,2,FALSE))</f>
        <v>1.3026874894955158E-4</v>
      </c>
    </row>
    <row r="76" spans="1:4" x14ac:dyDescent="0.25">
      <c r="A76" t="s">
        <v>335</v>
      </c>
      <c r="B76" t="s">
        <v>481</v>
      </c>
      <c r="C76">
        <f>IF(ISNA(VLOOKUP($B76,'2001'!$F$9:$G$142,2,FALSE)),"",VLOOKUP($B76,'2001'!$F$9:$G$142,2,FALSE))</f>
        <v>1.634428584679696E-3</v>
      </c>
      <c r="D76">
        <f>IF(ISNA(VLOOKUP($B76,'2002'!$F$9:$G$142,2,FALSE)),"",VLOOKUP($B76,'2002'!$F$9:$G$142,2,FALSE))</f>
        <v>2.0372792945419268E-3</v>
      </c>
    </row>
    <row r="77" spans="1:4" x14ac:dyDescent="0.25">
      <c r="B77" t="s">
        <v>336</v>
      </c>
      <c r="C77">
        <f>IF(ISNA(VLOOKUP($B77,'2001'!$F$9:$G$142,2,FALSE)),"",VLOOKUP($B77,'2001'!$F$9:$G$142,2,FALSE))</f>
        <v>1.9979026996040162E-5</v>
      </c>
      <c r="D77" t="str">
        <f>IF(ISNA(VLOOKUP($B77,'2002'!$F$9:$G$142,2,FALSE)),"",VLOOKUP($B77,'2002'!$F$9:$G$142,2,FALSE))</f>
        <v/>
      </c>
    </row>
    <row r="78" spans="1:4" x14ac:dyDescent="0.25">
      <c r="B78" t="s">
        <v>337</v>
      </c>
      <c r="C78" t="str">
        <f>IF(ISNA(VLOOKUP($B78,'2001'!$F$9:$G$142,2,FALSE)),"",VLOOKUP($B78,'2001'!$F$9:$G$142,2,FALSE))</f>
        <v/>
      </c>
      <c r="D78" t="str">
        <f>IF(ISNA(VLOOKUP($B78,'2002'!$F$9:$G$142,2,FALSE)),"",VLOOKUP($B78,'2002'!$F$9:$G$142,2,FALSE))</f>
        <v/>
      </c>
    </row>
    <row r="79" spans="1:4" x14ac:dyDescent="0.25">
      <c r="B79" t="s">
        <v>338</v>
      </c>
      <c r="C79">
        <f>IF(ISNA(VLOOKUP($B79,'2001'!$F$9:$G$142,2,FALSE)),"",VLOOKUP($B79,'2001'!$F$9:$G$142,2,FALSE))</f>
        <v>5.786414838948465E-2</v>
      </c>
      <c r="D79">
        <f>IF(ISNA(VLOOKUP($B79,'2002'!$F$9:$G$142,2,FALSE)),"",VLOOKUP($B79,'2002'!$F$9:$G$142,2,FALSE))</f>
        <v>6.0109723927797135E-2</v>
      </c>
    </row>
    <row r="80" spans="1:4" x14ac:dyDescent="0.25">
      <c r="B80" t="s">
        <v>339</v>
      </c>
      <c r="C80">
        <f>IF(ISNA(VLOOKUP($B80,'2001'!$F$9:$G$142,2,FALSE)),"",VLOOKUP($B80,'2001'!$F$9:$G$142,2,FALSE))</f>
        <v>2.7500187835008379E-3</v>
      </c>
      <c r="D80">
        <f>IF(ISNA(VLOOKUP($B80,'2002'!$F$9:$G$142,2,FALSE)),"",VLOOKUP($B80,'2002'!$F$9:$G$142,2,FALSE))</f>
        <v>6.1513216620221346E-3</v>
      </c>
    </row>
    <row r="81" spans="2:4" x14ac:dyDescent="0.25">
      <c r="B81" t="s">
        <v>340</v>
      </c>
      <c r="C81">
        <f>IF(ISNA(VLOOKUP($B81,'2001'!$F$9:$G$142,2,FALSE)),"",VLOOKUP($B81,'2001'!$F$9:$G$142,2,FALSE))</f>
        <v>2.475185018622976E-2</v>
      </c>
      <c r="D81">
        <f>IF(ISNA(VLOOKUP($B81,'2002'!$F$9:$G$142,2,FALSE)),"",VLOOKUP($B81,'2002'!$F$9:$G$142,2,FALSE))</f>
        <v>2.1678064611950109E-2</v>
      </c>
    </row>
    <row r="82" spans="2:4" x14ac:dyDescent="0.25">
      <c r="B82" t="s">
        <v>341</v>
      </c>
      <c r="C82">
        <f>IF(ISNA(VLOOKUP($B82,'2001'!$F$9:$G$142,2,FALSE)),"",VLOOKUP($B82,'2001'!$F$9:$G$142,2,FALSE))</f>
        <v>1.7142542073128873E-3</v>
      </c>
      <c r="D82" t="str">
        <f>IF(ISNA(VLOOKUP($B82,'2002'!$F$9:$G$142,2,FALSE)),"",VLOOKUP($B82,'2002'!$F$9:$G$142,2,FALSE))</f>
        <v/>
      </c>
    </row>
    <row r="83" spans="2:4" x14ac:dyDescent="0.25">
      <c r="B83" t="s">
        <v>342</v>
      </c>
      <c r="C83">
        <f>IF(ISNA(VLOOKUP($B83,'2001'!$F$9:$G$142,2,FALSE)),"",VLOOKUP($B83,'2001'!$F$9:$G$142,2,FALSE))</f>
        <v>2.6207736169498478E-3</v>
      </c>
      <c r="D83">
        <f>IF(ISNA(VLOOKUP($B83,'2002'!$F$9:$G$142,2,FALSE)),"",VLOOKUP($B83,'2002'!$F$9:$G$142,2,FALSE))</f>
        <v>3.9012223368088163E-3</v>
      </c>
    </row>
    <row r="84" spans="2:4" x14ac:dyDescent="0.25">
      <c r="B84" t="s">
        <v>343</v>
      </c>
      <c r="C84">
        <f>IF(ISNA(VLOOKUP($B84,'2001'!$F$9:$G$142,2,FALSE)),"",VLOOKUP($B84,'2001'!$F$9:$G$142,2,FALSE))</f>
        <v>3.8592713144744955E-3</v>
      </c>
      <c r="D84">
        <f>IF(ISNA(VLOOKUP($B84,'2002'!$F$9:$G$142,2,FALSE)),"",VLOOKUP($B84,'2002'!$F$9:$G$142,2,FALSE))</f>
        <v>2.1933830629072464E-3</v>
      </c>
    </row>
    <row r="85" spans="2:4" x14ac:dyDescent="0.25">
      <c r="B85" t="s">
        <v>344</v>
      </c>
      <c r="C85">
        <f>IF(ISNA(VLOOKUP($B85,'2001'!$F$9:$G$142,2,FALSE)),"",VLOOKUP($B85,'2001'!$F$9:$G$142,2,FALSE))</f>
        <v>5.9254709950932925E-2</v>
      </c>
      <c r="D85">
        <f>IF(ISNA(VLOOKUP($B85,'2002'!$F$9:$G$142,2,FALSE)),"",VLOOKUP($B85,'2002'!$F$9:$G$142,2,FALSE))</f>
        <v>6.5343247252763789E-2</v>
      </c>
    </row>
    <row r="86" spans="2:4" x14ac:dyDescent="0.25">
      <c r="B86" t="s">
        <v>345</v>
      </c>
      <c r="C86">
        <f>IF(ISNA(VLOOKUP($B86,'2001'!$F$9:$G$142,2,FALSE)),"",VLOOKUP($B86,'2001'!$F$9:$G$142,2,FALSE))</f>
        <v>4.1185607809567201E-4</v>
      </c>
      <c r="D86">
        <f>IF(ISNA(VLOOKUP($B86,'2002'!$F$9:$G$142,2,FALSE)),"",VLOOKUP($B86,'2002'!$F$9:$G$142,2,FALSE))</f>
        <v>4.3205099705628645E-4</v>
      </c>
    </row>
    <row r="87" spans="2:4" x14ac:dyDescent="0.25">
      <c r="B87" t="s">
        <v>346</v>
      </c>
      <c r="C87">
        <f>IF(ISNA(VLOOKUP($B87,'2001'!$F$9:$G$142,2,FALSE)),"",VLOOKUP($B87,'2001'!$F$9:$G$142,2,FALSE))</f>
        <v>4.7928370725121589E-3</v>
      </c>
      <c r="D87">
        <f>IF(ISNA(VLOOKUP($B87,'2002'!$F$9:$G$142,2,FALSE)),"",VLOOKUP($B87,'2002'!$F$9:$G$142,2,FALSE))</f>
        <v>2.806386801725758E-3</v>
      </c>
    </row>
    <row r="88" spans="2:4" x14ac:dyDescent="0.25">
      <c r="B88" t="s">
        <v>347</v>
      </c>
      <c r="C88">
        <f>IF(ISNA(VLOOKUP($B88,'2001'!$F$9:$G$142,2,FALSE)),"",VLOOKUP($B88,'2001'!$F$9:$G$142,2,FALSE))</f>
        <v>1.1902904264798612E-2</v>
      </c>
      <c r="D88">
        <f>IF(ISNA(VLOOKUP($B88,'2002'!$F$9:$G$142,2,FALSE)),"",VLOOKUP($B88,'2002'!$F$9:$G$142,2,FALSE))</f>
        <v>8.4357466402542984E-3</v>
      </c>
    </row>
    <row r="89" spans="2:4" x14ac:dyDescent="0.25">
      <c r="B89" t="s">
        <v>348</v>
      </c>
      <c r="C89" t="str">
        <f>IF(ISNA(VLOOKUP($B89,'2001'!$F$9:$G$142,2,FALSE)),"",VLOOKUP($B89,'2001'!$F$9:$G$142,2,FALSE))</f>
        <v/>
      </c>
      <c r="D89" t="str">
        <f>IF(ISNA(VLOOKUP($B89,'2002'!$F$9:$G$142,2,FALSE)),"",VLOOKUP($B89,'2002'!$F$9:$G$142,2,FALSE))</f>
        <v/>
      </c>
    </row>
    <row r="90" spans="2:4" x14ac:dyDescent="0.25">
      <c r="B90" t="s">
        <v>349</v>
      </c>
      <c r="C90">
        <f>IF(ISNA(VLOOKUP($B90,'2001'!$F$9:$G$142,2,FALSE)),"",VLOOKUP($B90,'2001'!$F$9:$G$142,2,FALSE))</f>
        <v>1.488570584686711E-3</v>
      </c>
      <c r="D90">
        <f>IF(ISNA(VLOOKUP($B90,'2002'!$F$9:$G$142,2,FALSE)),"",VLOOKUP($B90,'2002'!$F$9:$G$142,2,FALSE))</f>
        <v>7.1485942853285642E-4</v>
      </c>
    </row>
    <row r="91" spans="2:4" x14ac:dyDescent="0.25">
      <c r="B91" t="s">
        <v>350</v>
      </c>
      <c r="C91">
        <f>IF(ISNA(VLOOKUP($B91,'2001'!$F$9:$G$142,2,FALSE)),"",VLOOKUP($B91,'2001'!$F$9:$G$142,2,FALSE))</f>
        <v>1.7559849431960494E-2</v>
      </c>
      <c r="D91">
        <f>IF(ISNA(VLOOKUP($B91,'2002'!$F$9:$G$142,2,FALSE)),"",VLOOKUP($B91,'2002'!$F$9:$G$142,2,FALSE))</f>
        <v>1.2668567047382511E-2</v>
      </c>
    </row>
    <row r="92" spans="2:4" x14ac:dyDescent="0.25">
      <c r="B92" t="s">
        <v>351</v>
      </c>
      <c r="C92">
        <f>IF(ISNA(VLOOKUP($B92,'2001'!$F$9:$G$142,2,FALSE)),"",VLOOKUP($B92,'2001'!$F$9:$G$142,2,FALSE))</f>
        <v>1.5276244776590289E-3</v>
      </c>
      <c r="D92">
        <f>IF(ISNA(VLOOKUP($B92,'2002'!$F$9:$G$142,2,FALSE)),"",VLOOKUP($B92,'2002'!$F$9:$G$142,2,FALSE))</f>
        <v>3.5793102251730391E-4</v>
      </c>
    </row>
    <row r="93" spans="2:4" x14ac:dyDescent="0.25">
      <c r="B93" t="s">
        <v>352</v>
      </c>
      <c r="C93" t="str">
        <f>IF(ISNA(VLOOKUP($B93,'2001'!$F$9:$G$142,2,FALSE)),"",VLOOKUP($B93,'2001'!$F$9:$G$142,2,FALSE))</f>
        <v/>
      </c>
      <c r="D93">
        <f>IF(ISNA(VLOOKUP($B93,'2002'!$F$9:$G$142,2,FALSE)),"",VLOOKUP($B93,'2002'!$F$9:$G$142,2,FALSE))</f>
        <v>9.8993292225565783E-6</v>
      </c>
    </row>
    <row r="94" spans="2:4" x14ac:dyDescent="0.25">
      <c r="B94" t="s">
        <v>353</v>
      </c>
      <c r="C94">
        <f>IF(ISNA(VLOOKUP($B94,'2001'!$F$9:$G$142,2,FALSE)),"",VLOOKUP($B94,'2001'!$F$9:$G$142,2,FALSE))</f>
        <v>9.7697841346496526E-4</v>
      </c>
      <c r="D94">
        <f>IF(ISNA(VLOOKUP($B94,'2002'!$F$9:$G$142,2,FALSE)),"",VLOOKUP($B94,'2002'!$F$9:$G$142,2,FALSE))</f>
        <v>3.6150895800611872E-3</v>
      </c>
    </row>
    <row r="95" spans="2:4" x14ac:dyDescent="0.25">
      <c r="B95" t="s">
        <v>354</v>
      </c>
      <c r="C95" t="str">
        <f>IF(ISNA(VLOOKUP($B95,'2001'!$F$9:$G$142,2,FALSE)),"",VLOOKUP($B95,'2001'!$F$9:$G$142,2,FALSE))</f>
        <v/>
      </c>
      <c r="D95" t="str">
        <f>IF(ISNA(VLOOKUP($B95,'2002'!$F$9:$G$142,2,FALSE)),"",VLOOKUP($B95,'2002'!$F$9:$G$142,2,FALSE))</f>
        <v/>
      </c>
    </row>
    <row r="96" spans="2:4" x14ac:dyDescent="0.25">
      <c r="B96" t="s">
        <v>355</v>
      </c>
      <c r="C96" t="str">
        <f>IF(ISNA(VLOOKUP($B96,'2001'!$F$9:$G$142,2,FALSE)),"",VLOOKUP($B96,'2001'!$F$9:$G$142,2,FALSE))</f>
        <v/>
      </c>
      <c r="D96">
        <f>IF(ISNA(VLOOKUP($B96,'2002'!$F$9:$G$142,2,FALSE)),"",VLOOKUP($B96,'2002'!$F$9:$G$142,2,FALSE))</f>
        <v>4.1536677109896416E-6</v>
      </c>
    </row>
    <row r="97" spans="1:4" x14ac:dyDescent="0.25">
      <c r="B97" t="s">
        <v>356</v>
      </c>
      <c r="C97">
        <f>IF(ISNA(VLOOKUP($B97,'2001'!$F$9:$G$142,2,FALSE)),"",VLOOKUP($B97,'2001'!$F$9:$G$142,2,FALSE))</f>
        <v>1.1202044900606235E-3</v>
      </c>
      <c r="D97">
        <f>IF(ISNA(VLOOKUP($B97,'2002'!$F$9:$G$142,2,FALSE)),"",VLOOKUP($B97,'2002'!$F$9:$G$142,2,FALSE))</f>
        <v>5.1288488119963108E-4</v>
      </c>
    </row>
    <row r="98" spans="1:4" x14ac:dyDescent="0.25">
      <c r="B98" t="s">
        <v>357</v>
      </c>
      <c r="C98">
        <f>IF(ISNA(VLOOKUP($B98,'2001'!$F$9:$G$142,2,FALSE)),"",VLOOKUP($B98,'2001'!$F$9:$G$142,2,FALSE))</f>
        <v>8.6454597911602021E-5</v>
      </c>
      <c r="D98">
        <f>IF(ISNA(VLOOKUP($B98,'2002'!$F$9:$G$142,2,FALSE)),"",VLOOKUP($B98,'2002'!$F$9:$G$142,2,FALSE))</f>
        <v>2.3562817521266103E-6</v>
      </c>
    </row>
    <row r="99" spans="1:4" x14ac:dyDescent="0.25">
      <c r="B99" t="s">
        <v>358</v>
      </c>
      <c r="C99" t="str">
        <f>IF(ISNA(VLOOKUP($B99,'2001'!$F$9:$G$142,2,FALSE)),"",VLOOKUP($B99,'2001'!$F$9:$G$142,2,FALSE))</f>
        <v/>
      </c>
      <c r="D99">
        <f>IF(ISNA(VLOOKUP($B99,'2002'!$F$9:$G$142,2,FALSE)),"",VLOOKUP($B99,'2002'!$F$9:$G$142,2,FALSE))</f>
        <v>2.7591081454338257E-5</v>
      </c>
    </row>
    <row r="100" spans="1:4" x14ac:dyDescent="0.25">
      <c r="B100" t="s">
        <v>359</v>
      </c>
      <c r="C100" t="str">
        <f>IF(ISNA(VLOOKUP($B100,'2001'!$F$9:$G$142,2,FALSE)),"",VLOOKUP($B100,'2001'!$F$9:$G$142,2,FALSE))</f>
        <v/>
      </c>
      <c r="D100" t="str">
        <f>IF(ISNA(VLOOKUP($B100,'2002'!$F$9:$G$142,2,FALSE)),"",VLOOKUP($B100,'2002'!$F$9:$G$142,2,FALSE))</f>
        <v/>
      </c>
    </row>
    <row r="101" spans="1:4" x14ac:dyDescent="0.25">
      <c r="B101" t="s">
        <v>360</v>
      </c>
      <c r="C101">
        <f>IF(ISNA(VLOOKUP($B101,'2001'!$F$9:$G$142,2,FALSE)),"",VLOOKUP($B101,'2001'!$F$9:$G$142,2,FALSE))</f>
        <v>5.2420910693254201E-4</v>
      </c>
      <c r="D101">
        <f>IF(ISNA(VLOOKUP($B101,'2002'!$F$9:$G$142,2,FALSE)),"",VLOOKUP($B101,'2002'!$F$9:$G$142,2,FALSE))</f>
        <v>3.2866427655248913E-4</v>
      </c>
    </row>
    <row r="102" spans="1:4" x14ac:dyDescent="0.25">
      <c r="B102" t="s">
        <v>361</v>
      </c>
      <c r="C102">
        <f>IF(ISNA(VLOOKUP($B102,'2001'!$F$9:$G$142,2,FALSE)),"",VLOOKUP($B102,'2001'!$F$9:$G$142,2,FALSE))</f>
        <v>1.1356834866557785E-4</v>
      </c>
      <c r="D102" t="str">
        <f>IF(ISNA(VLOOKUP($B102,'2002'!$F$9:$G$142,2,FALSE)),"",VLOOKUP($B102,'2002'!$F$9:$G$142,2,FALSE))</f>
        <v/>
      </c>
    </row>
    <row r="103" spans="1:4" x14ac:dyDescent="0.25">
      <c r="B103" t="s">
        <v>362</v>
      </c>
      <c r="C103">
        <f>IF(ISNA(VLOOKUP($B103,'2001'!$F$9:$G$142,2,FALSE)),"",VLOOKUP($B103,'2001'!$F$9:$G$142,2,FALSE))</f>
        <v>3.6667342302162072E-2</v>
      </c>
      <c r="D103">
        <f>IF(ISNA(VLOOKUP($B103,'2002'!$F$9:$G$142,2,FALSE)),"",VLOOKUP($B103,'2002'!$F$9:$G$142,2,FALSE))</f>
        <v>2.6027686056915897E-2</v>
      </c>
    </row>
    <row r="104" spans="1:4" x14ac:dyDescent="0.25">
      <c r="B104" t="s">
        <v>363</v>
      </c>
      <c r="C104" t="str">
        <f>IF(ISNA(VLOOKUP($B104,'2001'!$F$9:$G$142,2,FALSE)),"",VLOOKUP($B104,'2001'!$F$9:$G$142,2,FALSE))</f>
        <v/>
      </c>
      <c r="D104" t="str">
        <f>IF(ISNA(VLOOKUP($B104,'2002'!$F$9:$G$142,2,FALSE)),"",VLOOKUP($B104,'2002'!$F$9:$G$142,2,FALSE))</f>
        <v/>
      </c>
    </row>
    <row r="105" spans="1:4" x14ac:dyDescent="0.25">
      <c r="A105" t="s">
        <v>364</v>
      </c>
      <c r="B105" t="s">
        <v>478</v>
      </c>
      <c r="C105">
        <f>IF(ISNA(VLOOKUP($B105,'2001'!$F$9:$G$142,2,FALSE)),"",VLOOKUP($B105,'2001'!$F$9:$G$142,2,FALSE))</f>
        <v>2.2355883268823606E-5</v>
      </c>
      <c r="D105">
        <f>IF(ISNA(VLOOKUP($B105,'2002'!$F$9:$G$142,2,FALSE)),"",VLOOKUP($B105,'2002'!$F$9:$G$142,2,FALSE))</f>
        <v>6.7071382095023301E-5</v>
      </c>
    </row>
    <row r="106" spans="1:4" x14ac:dyDescent="0.25">
      <c r="B106" t="s">
        <v>365</v>
      </c>
      <c r="C106">
        <f>IF(ISNA(VLOOKUP($B106,'2001'!$F$9:$G$142,2,FALSE)),"",VLOOKUP($B106,'2001'!$F$9:$G$142,2,FALSE))</f>
        <v>2.0680311549050104E-4</v>
      </c>
      <c r="D106">
        <f>IF(ISNA(VLOOKUP($B106,'2002'!$F$9:$G$142,2,FALSE)),"",VLOOKUP($B106,'2002'!$F$9:$G$142,2,FALSE))</f>
        <v>1.610906654196335E-4</v>
      </c>
    </row>
    <row r="107" spans="1:4" x14ac:dyDescent="0.25">
      <c r="B107" t="s">
        <v>366</v>
      </c>
      <c r="C107">
        <f>IF(ISNA(VLOOKUP($B107,'2001'!$F$9:$G$142,2,FALSE)),"",VLOOKUP($B107,'2001'!$F$9:$G$142,2,FALSE))</f>
        <v>9.4080527860514E-5</v>
      </c>
      <c r="D107">
        <f>IF(ISNA(VLOOKUP($B107,'2002'!$F$9:$G$142,2,FALSE)),"",VLOOKUP($B107,'2002'!$F$9:$G$142,2,FALSE))</f>
        <v>1.6495179250676994E-4</v>
      </c>
    </row>
    <row r="108" spans="1:4" x14ac:dyDescent="0.25">
      <c r="B108" t="s">
        <v>367</v>
      </c>
      <c r="C108">
        <f>IF(ISNA(VLOOKUP($B108,'2001'!$F$9:$G$142,2,FALSE)),"",VLOOKUP($B108,'2001'!$F$9:$G$142,2,FALSE))</f>
        <v>1.4710221973480864E-3</v>
      </c>
      <c r="D108">
        <f>IF(ISNA(VLOOKUP($B108,'2002'!$F$9:$G$142,2,FALSE)),"",VLOOKUP($B108,'2002'!$F$9:$G$142,2,FALSE))</f>
        <v>2.2720959252407239E-3</v>
      </c>
    </row>
    <row r="109" spans="1:4" x14ac:dyDescent="0.25">
      <c r="B109" t="s">
        <v>368</v>
      </c>
      <c r="C109">
        <f>IF(ISNA(VLOOKUP($B109,'2001'!$F$9:$G$142,2,FALSE)),"",VLOOKUP($B109,'2001'!$F$9:$G$142,2,FALSE))</f>
        <v>1.2018495376552312E-2</v>
      </c>
      <c r="D109">
        <f>IF(ISNA(VLOOKUP($B109,'2002'!$F$9:$G$142,2,FALSE)),"",VLOOKUP($B109,'2002'!$F$9:$G$142,2,FALSE))</f>
        <v>2.3208526276916348E-2</v>
      </c>
    </row>
    <row r="110" spans="1:4" x14ac:dyDescent="0.25">
      <c r="B110" t="s">
        <v>369</v>
      </c>
      <c r="C110" t="str">
        <f>IF(ISNA(VLOOKUP($B110,'2001'!$F$9:$G$142,2,FALSE)),"",VLOOKUP($B110,'2001'!$F$9:$G$142,2,FALSE))</f>
        <v/>
      </c>
      <c r="D110" t="str">
        <f>IF(ISNA(VLOOKUP($B110,'2002'!$F$9:$G$142,2,FALSE)),"",VLOOKUP($B110,'2002'!$F$9:$G$142,2,FALSE))</f>
        <v/>
      </c>
    </row>
    <row r="111" spans="1:4" x14ac:dyDescent="0.25">
      <c r="B111" t="s">
        <v>370</v>
      </c>
      <c r="C111" t="str">
        <f>IF(ISNA(VLOOKUP($B111,'2001'!$F$9:$G$142,2,FALSE)),"",VLOOKUP($B111,'2001'!$F$9:$G$142,2,FALSE))</f>
        <v/>
      </c>
      <c r="D111" t="str">
        <f>IF(ISNA(VLOOKUP($B111,'2002'!$F$9:$G$142,2,FALSE)),"",VLOOKUP($B111,'2002'!$F$9:$G$142,2,FALSE))</f>
        <v/>
      </c>
    </row>
    <row r="112" spans="1:4" x14ac:dyDescent="0.25">
      <c r="B112" t="s">
        <v>371</v>
      </c>
      <c r="C112" t="str">
        <f>IF(ISNA(VLOOKUP($B112,'2001'!$F$9:$G$142,2,FALSE)),"",VLOOKUP($B112,'2001'!$F$9:$G$142,2,FALSE))</f>
        <v/>
      </c>
      <c r="D112" t="str">
        <f>IF(ISNA(VLOOKUP($B112,'2002'!$F$9:$G$142,2,FALSE)),"",VLOOKUP($B112,'2002'!$F$9:$G$142,2,FALSE))</f>
        <v/>
      </c>
    </row>
    <row r="113" spans="2:4" x14ac:dyDescent="0.25">
      <c r="B113" t="s">
        <v>372</v>
      </c>
      <c r="C113">
        <f>IF(ISNA(VLOOKUP($B113,'2001'!$F$9:$G$142,2,FALSE)),"",VLOOKUP($B113,'2001'!$F$9:$G$142,2,FALSE))</f>
        <v>1.2906051411091869E-2</v>
      </c>
      <c r="D113">
        <f>IF(ISNA(VLOOKUP($B113,'2002'!$F$9:$G$142,2,FALSE)),"",VLOOKUP($B113,'2002'!$F$9:$G$142,2,FALSE))</f>
        <v>1.009489569821038E-2</v>
      </c>
    </row>
    <row r="114" spans="2:4" x14ac:dyDescent="0.25">
      <c r="B114" t="s">
        <v>373</v>
      </c>
      <c r="C114">
        <f>IF(ISNA(VLOOKUP($B114,'2001'!$F$9:$G$142,2,FALSE)),"",VLOOKUP($B114,'2001'!$F$9:$G$142,2,FALSE))</f>
        <v>1.8974101766434362E-3</v>
      </c>
      <c r="D114">
        <f>IF(ISNA(VLOOKUP($B114,'2002'!$F$9:$G$142,2,FALSE)),"",VLOOKUP($B114,'2002'!$F$9:$G$142,2,FALSE))</f>
        <v>7.2497151457276085E-4</v>
      </c>
    </row>
    <row r="115" spans="2:4" x14ac:dyDescent="0.25">
      <c r="B115" t="s">
        <v>374</v>
      </c>
      <c r="C115" t="str">
        <f>IF(ISNA(VLOOKUP($B115,'2001'!$F$9:$G$142,2,FALSE)),"",VLOOKUP($B115,'2001'!$F$9:$G$142,2,FALSE))</f>
        <v/>
      </c>
      <c r="D115" t="str">
        <f>IF(ISNA(VLOOKUP($B115,'2002'!$F$9:$G$142,2,FALSE)),"",VLOOKUP($B115,'2002'!$F$9:$G$142,2,FALSE))</f>
        <v/>
      </c>
    </row>
    <row r="116" spans="2:4" x14ac:dyDescent="0.25">
      <c r="B116" t="s">
        <v>375</v>
      </c>
      <c r="C116" t="str">
        <f>IF(ISNA(VLOOKUP($B116,'2001'!$F$9:$G$142,2,FALSE)),"",VLOOKUP($B116,'2001'!$F$9:$G$142,2,FALSE))</f>
        <v/>
      </c>
      <c r="D116">
        <f>IF(ISNA(VLOOKUP($B116,'2002'!$F$9:$G$142,2,FALSE)),"",VLOOKUP($B116,'2002'!$F$9:$G$142,2,FALSE))</f>
        <v>4.0730042368740384E-5</v>
      </c>
    </row>
    <row r="117" spans="2:4" x14ac:dyDescent="0.25">
      <c r="B117" t="s">
        <v>376</v>
      </c>
      <c r="C117" t="str">
        <f>IF(ISNA(VLOOKUP($B117,'2001'!$F$9:$G$142,2,FALSE)),"",VLOOKUP($B117,'2001'!$F$9:$G$142,2,FALSE))</f>
        <v/>
      </c>
      <c r="D117" t="str">
        <f>IF(ISNA(VLOOKUP($B117,'2002'!$F$9:$G$142,2,FALSE)),"",VLOOKUP($B117,'2002'!$F$9:$G$142,2,FALSE))</f>
        <v/>
      </c>
    </row>
    <row r="118" spans="2:4" x14ac:dyDescent="0.25">
      <c r="B118" t="s">
        <v>377</v>
      </c>
      <c r="C118" t="str">
        <f>IF(ISNA(VLOOKUP($B118,'2001'!$F$9:$G$142,2,FALSE)),"",VLOOKUP($B118,'2001'!$F$9:$G$142,2,FALSE))</f>
        <v/>
      </c>
      <c r="D118" t="str">
        <f>IF(ISNA(VLOOKUP($B118,'2002'!$F$9:$G$142,2,FALSE)),"",VLOOKUP($B118,'2002'!$F$9:$G$142,2,FALSE))</f>
        <v/>
      </c>
    </row>
    <row r="119" spans="2:4" x14ac:dyDescent="0.25">
      <c r="B119" t="s">
        <v>378</v>
      </c>
      <c r="C119">
        <f>IF(ISNA(VLOOKUP($B119,'2001'!$F$9:$G$142,2,FALSE)),"",VLOOKUP($B119,'2001'!$F$9:$G$142,2,FALSE))</f>
        <v>4.6847079321747337E-2</v>
      </c>
      <c r="D119">
        <f>IF(ISNA(VLOOKUP($B119,'2002'!$F$9:$G$142,2,FALSE)),"",VLOOKUP($B119,'2002'!$F$9:$G$142,2,FALSE))</f>
        <v>6.3730977522919383E-2</v>
      </c>
    </row>
    <row r="120" spans="2:4" x14ac:dyDescent="0.25">
      <c r="B120" t="s">
        <v>379</v>
      </c>
      <c r="C120">
        <f>IF(ISNA(VLOOKUP($B120,'2001'!$F$9:$G$142,2,FALSE)),"",VLOOKUP($B120,'2001'!$F$9:$G$142,2,FALSE))</f>
        <v>1.1729625279352313E-5</v>
      </c>
      <c r="D120" t="str">
        <f>IF(ISNA(VLOOKUP($B120,'2002'!$F$9:$G$142,2,FALSE)),"",VLOOKUP($B120,'2002'!$F$9:$G$142,2,FALSE))</f>
        <v/>
      </c>
    </row>
    <row r="121" spans="2:4" x14ac:dyDescent="0.25">
      <c r="B121" t="s">
        <v>380</v>
      </c>
      <c r="C121">
        <f>IF(ISNA(VLOOKUP($B121,'2001'!$F$9:$G$142,2,FALSE)),"",VLOOKUP($B121,'2001'!$F$9:$G$142,2,FALSE))</f>
        <v>5.6614052639767522E-5</v>
      </c>
      <c r="D121">
        <f>IF(ISNA(VLOOKUP($B121,'2002'!$F$9:$G$142,2,FALSE)),"",VLOOKUP($B121,'2002'!$F$9:$G$142,2,FALSE))</f>
        <v>4.5602173486004433E-5</v>
      </c>
    </row>
    <row r="122" spans="2:4" x14ac:dyDescent="0.25">
      <c r="B122" t="s">
        <v>381</v>
      </c>
      <c r="C122">
        <f>IF(ISNA(VLOOKUP($B122,'2001'!$F$9:$G$142,2,FALSE)),"",VLOOKUP($B122,'2001'!$F$9:$G$142,2,FALSE))</f>
        <v>1.8555960188066001E-5</v>
      </c>
      <c r="D122">
        <f>IF(ISNA(VLOOKUP($B122,'2002'!$F$9:$G$142,2,FALSE)),"",VLOOKUP($B122,'2002'!$F$9:$G$142,2,FALSE))</f>
        <v>1.4619727905756355E-4</v>
      </c>
    </row>
    <row r="123" spans="2:4" x14ac:dyDescent="0.25">
      <c r="B123" t="s">
        <v>382</v>
      </c>
      <c r="C123">
        <f>IF(ISNA(VLOOKUP($B123,'2001'!$F$9:$G$142,2,FALSE)),"",VLOOKUP($B123,'2001'!$F$9:$G$142,2,FALSE))</f>
        <v>1.4568074565367553E-3</v>
      </c>
      <c r="D123">
        <f>IF(ISNA(VLOOKUP($B123,'2002'!$F$9:$G$142,2,FALSE)),"",VLOOKUP($B123,'2002'!$F$9:$G$142,2,FALSE))</f>
        <v>1.9717845632077685E-3</v>
      </c>
    </row>
    <row r="124" spans="2:4" x14ac:dyDescent="0.25">
      <c r="B124" t="s">
        <v>383</v>
      </c>
      <c r="C124" t="str">
        <f>IF(ISNA(VLOOKUP($B124,'2001'!$F$9:$G$142,2,FALSE)),"",VLOOKUP($B124,'2001'!$F$9:$G$142,2,FALSE))</f>
        <v/>
      </c>
      <c r="D124" t="str">
        <f>IF(ISNA(VLOOKUP($B124,'2002'!$F$9:$G$142,2,FALSE)),"",VLOOKUP($B124,'2002'!$F$9:$G$142,2,FALSE))</f>
        <v/>
      </c>
    </row>
    <row r="125" spans="2:4" x14ac:dyDescent="0.25">
      <c r="B125" t="s">
        <v>384</v>
      </c>
      <c r="C125">
        <f>IF(ISNA(VLOOKUP($B125,'2001'!$F$9:$G$142,2,FALSE)),"",VLOOKUP($B125,'2001'!$F$9:$G$142,2,FALSE))</f>
        <v>2.9612808416563247E-4</v>
      </c>
      <c r="D125">
        <f>IF(ISNA(VLOOKUP($B125,'2002'!$F$9:$G$142,2,FALSE)),"",VLOOKUP($B125,'2002'!$F$9:$G$142,2,FALSE))</f>
        <v>2.7492742798473761E-4</v>
      </c>
    </row>
    <row r="126" spans="2:4" x14ac:dyDescent="0.25">
      <c r="B126" t="s">
        <v>385</v>
      </c>
      <c r="C126">
        <f>IF(ISNA(VLOOKUP($B126,'2001'!$F$9:$G$142,2,FALSE)),"",VLOOKUP($B126,'2001'!$F$9:$G$142,2,FALSE))</f>
        <v>2.4973629088965638E-3</v>
      </c>
      <c r="D126">
        <f>IF(ISNA(VLOOKUP($B126,'2002'!$F$9:$G$142,2,FALSE)),"",VLOOKUP($B126,'2002'!$F$9:$G$142,2,FALSE))</f>
        <v>3.6433375481890865E-3</v>
      </c>
    </row>
    <row r="127" spans="2:4" x14ac:dyDescent="0.25">
      <c r="B127" t="s">
        <v>386</v>
      </c>
      <c r="C127">
        <f>IF(ISNA(VLOOKUP($B127,'2001'!$F$9:$G$142,2,FALSE)),"",VLOOKUP($B127,'2001'!$F$9:$G$142,2,FALSE))</f>
        <v>1.5447539085894663E-3</v>
      </c>
      <c r="D127">
        <f>IF(ISNA(VLOOKUP($B127,'2002'!$F$9:$G$142,2,FALSE)),"",VLOOKUP($B127,'2002'!$F$9:$G$142,2,FALSE))</f>
        <v>4.6967644694003831E-3</v>
      </c>
    </row>
    <row r="128" spans="2:4" x14ac:dyDescent="0.25">
      <c r="B128" t="s">
        <v>387</v>
      </c>
      <c r="C128">
        <f>IF(ISNA(VLOOKUP($B128,'2001'!$F$9:$G$142,2,FALSE)),"",VLOOKUP($B128,'2001'!$F$9:$G$142,2,FALSE))</f>
        <v>4.0557380944265906E-4</v>
      </c>
      <c r="D128">
        <f>IF(ISNA(VLOOKUP($B128,'2002'!$F$9:$G$142,2,FALSE)),"",VLOOKUP($B128,'2002'!$F$9:$G$142,2,FALSE))</f>
        <v>6.7870263486777911E-4</v>
      </c>
    </row>
    <row r="129" spans="2:4" x14ac:dyDescent="0.25">
      <c r="B129" t="s">
        <v>388</v>
      </c>
      <c r="C129" t="str">
        <f>IF(ISNA(VLOOKUP($B129,'2001'!$F$9:$G$142,2,FALSE)),"",VLOOKUP($B129,'2001'!$F$9:$G$142,2,FALSE))</f>
        <v/>
      </c>
      <c r="D129" t="str">
        <f>IF(ISNA(VLOOKUP($B129,'2002'!$F$9:$G$142,2,FALSE)),"",VLOOKUP($B129,'2002'!$F$9:$G$142,2,FALSE))</f>
        <v/>
      </c>
    </row>
    <row r="130" spans="2:4" x14ac:dyDescent="0.25">
      <c r="B130" t="s">
        <v>389</v>
      </c>
      <c r="C130">
        <f>IF(ISNA(VLOOKUP($B130,'2001'!$F$9:$G$142,2,FALSE)),"",VLOOKUP($B130,'2001'!$F$9:$G$142,2,FALSE))</f>
        <v>8.4658279030879417E-3</v>
      </c>
      <c r="D130">
        <f>IF(ISNA(VLOOKUP($B130,'2002'!$F$9:$G$142,2,FALSE)),"",VLOOKUP($B130,'2002'!$F$9:$G$142,2,FALSE))</f>
        <v>9.3299831826578299E-3</v>
      </c>
    </row>
    <row r="131" spans="2:4" x14ac:dyDescent="0.25">
      <c r="B131" t="s">
        <v>390</v>
      </c>
      <c r="C131">
        <f>IF(ISNA(VLOOKUP($B131,'2001'!$F$9:$G$142,2,FALSE)),"",VLOOKUP($B131,'2001'!$F$9:$G$142,2,FALSE))</f>
        <v>2.5092340329517942E-2</v>
      </c>
      <c r="D131">
        <f>IF(ISNA(VLOOKUP($B131,'2002'!$F$9:$G$142,2,FALSE)),"",VLOOKUP($B131,'2002'!$F$9:$G$142,2,FALSE))</f>
        <v>2.3832519723646323E-2</v>
      </c>
    </row>
    <row r="132" spans="2:4" x14ac:dyDescent="0.25">
      <c r="B132" t="s">
        <v>391</v>
      </c>
      <c r="C132">
        <f>IF(ISNA(VLOOKUP($B132,'2001'!$F$9:$G$142,2,FALSE)),"",VLOOKUP($B132,'2001'!$F$9:$G$142,2,FALSE))</f>
        <v>9.6229344890756373E-3</v>
      </c>
      <c r="D132">
        <f>IF(ISNA(VLOOKUP($B132,'2002'!$F$9:$G$142,2,FALSE)),"",VLOOKUP($B132,'2002'!$F$9:$G$142,2,FALSE))</f>
        <v>1.5142059394220092E-2</v>
      </c>
    </row>
    <row r="133" spans="2:4" x14ac:dyDescent="0.25">
      <c r="B133" t="s">
        <v>392</v>
      </c>
      <c r="C133">
        <f>IF(ISNA(VLOOKUP($B133,'2001'!$F$9:$G$142,2,FALSE)),"",VLOOKUP($B133,'2001'!$F$9:$G$142,2,FALSE))</f>
        <v>3.2817859563690648E-3</v>
      </c>
      <c r="D133">
        <f>IF(ISNA(VLOOKUP($B133,'2002'!$F$9:$G$142,2,FALSE)),"",VLOOKUP($B133,'2002'!$F$9:$G$142,2,FALSE))</f>
        <v>6.4553266051485649E-3</v>
      </c>
    </row>
    <row r="134" spans="2:4" x14ac:dyDescent="0.25">
      <c r="B134" t="s">
        <v>393</v>
      </c>
      <c r="C134">
        <f>IF(ISNA(VLOOKUP($B134,'2001'!$F$9:$G$142,2,FALSE)),"",VLOOKUP($B134,'2001'!$F$9:$G$142,2,FALSE))</f>
        <v>6.8447595266448603E-3</v>
      </c>
      <c r="D134">
        <f>IF(ISNA(VLOOKUP($B134,'2002'!$F$9:$G$142,2,FALSE)),"",VLOOKUP($B134,'2002'!$F$9:$G$142,2,FALSE))</f>
        <v>5.7092142230166345E-3</v>
      </c>
    </row>
    <row r="135" spans="2:4" x14ac:dyDescent="0.25">
      <c r="B135" t="s">
        <v>394</v>
      </c>
      <c r="C135">
        <f>IF(ISNA(VLOOKUP($B135,'2001'!$F$9:$G$142,2,FALSE)),"",VLOOKUP($B135,'2001'!$F$9:$G$142,2,FALSE))</f>
        <v>2.7905174412989642E-4</v>
      </c>
      <c r="D135">
        <f>IF(ISNA(VLOOKUP($B135,'2002'!$F$9:$G$142,2,FALSE)),"",VLOOKUP($B135,'2002'!$F$9:$G$142,2,FALSE))</f>
        <v>7.8665339825141189E-4</v>
      </c>
    </row>
    <row r="136" spans="2:4" x14ac:dyDescent="0.25">
      <c r="B136" t="s">
        <v>395</v>
      </c>
      <c r="C136">
        <f>IF(ISNA(VLOOKUP($B136,'2001'!$F$9:$G$142,2,FALSE)),"",VLOOKUP($B136,'2001'!$F$9:$G$142,2,FALSE))</f>
        <v>3.7439468113441868E-5</v>
      </c>
      <c r="D136">
        <f>IF(ISNA(VLOOKUP($B136,'2002'!$F$9:$G$142,2,FALSE)),"",VLOOKUP($B136,'2002'!$F$9:$G$142,2,FALSE))</f>
        <v>5.1812626813931127E-5</v>
      </c>
    </row>
    <row r="137" spans="2:4" x14ac:dyDescent="0.25">
      <c r="B137" t="s">
        <v>396</v>
      </c>
      <c r="C137">
        <f>IF(ISNA(VLOOKUP($B137,'2001'!$F$9:$G$142,2,FALSE)),"",VLOOKUP($B137,'2001'!$F$9:$G$142,2,FALSE))</f>
        <v>7.090512892448023E-4</v>
      </c>
      <c r="D137">
        <f>IF(ISNA(VLOOKUP($B137,'2002'!$F$9:$G$142,2,FALSE)),"",VLOOKUP($B137,'2002'!$F$9:$G$142,2,FALSE))</f>
        <v>7.3805237651011801E-4</v>
      </c>
    </row>
    <row r="138" spans="2:4" x14ac:dyDescent="0.25">
      <c r="B138" t="s">
        <v>397</v>
      </c>
      <c r="C138">
        <f>IF(ISNA(VLOOKUP($B138,'2001'!$F$9:$G$142,2,FALSE)),"",VLOOKUP($B138,'2001'!$F$9:$G$142,2,FALSE))</f>
        <v>6.3051240523519106E-3</v>
      </c>
      <c r="D138" t="str">
        <f>IF(ISNA(VLOOKUP($B138,'2002'!$F$9:$G$142,2,FALSE)),"",VLOOKUP($B138,'2002'!$F$9:$G$142,2,FALSE))</f>
        <v/>
      </c>
    </row>
    <row r="139" spans="2:4" x14ac:dyDescent="0.25">
      <c r="B139" t="s">
        <v>398</v>
      </c>
      <c r="C139" t="str">
        <f>IF(ISNA(VLOOKUP($B139,'2001'!$F$9:$G$142,2,FALSE)),"",VLOOKUP($B139,'2001'!$F$9:$G$142,2,FALSE))</f>
        <v/>
      </c>
      <c r="D139" t="str">
        <f>IF(ISNA(VLOOKUP($B139,'2002'!$F$9:$G$142,2,FALSE)),"",VLOOKUP($B139,'2002'!$F$9:$G$142,2,FALSE))</f>
        <v/>
      </c>
    </row>
    <row r="140" spans="2:4" x14ac:dyDescent="0.25">
      <c r="B140" t="s">
        <v>399</v>
      </c>
      <c r="C140" t="str">
        <f>IF(ISNA(VLOOKUP($B140,'2001'!$F$9:$G$142,2,FALSE)),"",VLOOKUP($B140,'2001'!$F$9:$G$142,2,FALSE))</f>
        <v/>
      </c>
      <c r="D140" t="str">
        <f>IF(ISNA(VLOOKUP($B140,'2002'!$F$9:$G$142,2,FALSE)),"",VLOOKUP($B140,'2002'!$F$9:$G$142,2,FALSE))</f>
        <v/>
      </c>
    </row>
    <row r="141" spans="2:4" x14ac:dyDescent="0.25">
      <c r="B141" t="s">
        <v>400</v>
      </c>
      <c r="C141">
        <f>IF(ISNA(VLOOKUP($B141,'2001'!$F$9:$G$142,2,FALSE)),"",VLOOKUP($B141,'2001'!$F$9:$G$142,2,FALSE))</f>
        <v>3.0156789265172517E-3</v>
      </c>
      <c r="D141">
        <f>IF(ISNA(VLOOKUP($B141,'2002'!$F$9:$G$142,2,FALSE)),"",VLOOKUP($B141,'2002'!$F$9:$G$142,2,FALSE))</f>
        <v>3.1457699303953186E-3</v>
      </c>
    </row>
    <row r="142" spans="2:4" x14ac:dyDescent="0.25">
      <c r="B142" t="s">
        <v>401</v>
      </c>
      <c r="C142">
        <f>IF(ISNA(VLOOKUP($B142,'2001'!$F$9:$G$142,2,FALSE)),"",VLOOKUP($B142,'2001'!$F$9:$G$142,2,FALSE))</f>
        <v>8.6489614819107246E-4</v>
      </c>
      <c r="D142">
        <f>IF(ISNA(VLOOKUP($B142,'2002'!$F$9:$G$142,2,FALSE)),"",VLOOKUP($B142,'2002'!$F$9:$G$142,2,FALSE))</f>
        <v>1.4040875932173282E-3</v>
      </c>
    </row>
    <row r="143" spans="2:4" x14ac:dyDescent="0.25">
      <c r="B143" t="s">
        <v>402</v>
      </c>
      <c r="C143" t="str">
        <f>IF(ISNA(VLOOKUP($B143,'2001'!$F$9:$G$142,2,FALSE)),"",VLOOKUP($B143,'2001'!$F$9:$G$142,2,FALSE))</f>
        <v/>
      </c>
      <c r="D143" t="str">
        <f>IF(ISNA(VLOOKUP($B143,'2002'!$F$9:$G$142,2,FALSE)),"",VLOOKUP($B143,'2002'!$F$9:$G$142,2,FALSE))</f>
        <v/>
      </c>
    </row>
    <row r="144" spans="2:4" x14ac:dyDescent="0.25">
      <c r="B144" t="s">
        <v>403</v>
      </c>
      <c r="C144" t="str">
        <f>IF(ISNA(VLOOKUP($B144,'2001'!$F$9:$G$142,2,FALSE)),"",VLOOKUP($B144,'2001'!$F$9:$G$142,2,FALSE))</f>
        <v/>
      </c>
      <c r="D144" t="str">
        <f>IF(ISNA(VLOOKUP($B144,'2002'!$F$9:$G$142,2,FALSE)),"",VLOOKUP($B144,'2002'!$F$9:$G$142,2,FALSE))</f>
        <v/>
      </c>
    </row>
    <row r="145" spans="2:4" x14ac:dyDescent="0.25">
      <c r="B145" t="s">
        <v>404</v>
      </c>
      <c r="C145">
        <f>IF(ISNA(VLOOKUP($B145,'2001'!$F$9:$G$142,2,FALSE)),"",VLOOKUP($B145,'2001'!$F$9:$G$142,2,FALSE))</f>
        <v>2.8588292646812634E-5</v>
      </c>
      <c r="D145">
        <f>IF(ISNA(VLOOKUP($B145,'2002'!$F$9:$G$142,2,FALSE)),"",VLOOKUP($B145,'2002'!$F$9:$G$142,2,FALSE))</f>
        <v>3.5518318639171229E-5</v>
      </c>
    </row>
    <row r="146" spans="2:4" x14ac:dyDescent="0.25">
      <c r="B146" t="s">
        <v>405</v>
      </c>
      <c r="C146">
        <f>IF(ISNA(VLOOKUP($B146,'2001'!$F$9:$G$142,2,FALSE)),"",VLOOKUP($B146,'2001'!$F$9:$G$142,2,FALSE))</f>
        <v>4.7781389737290683E-4</v>
      </c>
      <c r="D146">
        <f>IF(ISNA(VLOOKUP($B146,'2002'!$F$9:$G$142,2,FALSE)),"",VLOOKUP($B146,'2002'!$F$9:$G$142,2,FALSE))</f>
        <v>1.6489778500698168E-4</v>
      </c>
    </row>
    <row r="147" spans="2:4" x14ac:dyDescent="0.25">
      <c r="B147" t="s">
        <v>406</v>
      </c>
      <c r="C147" t="str">
        <f>IF(ISNA(VLOOKUP($B147,'2001'!$F$9:$G$142,2,FALSE)),"",VLOOKUP($B147,'2001'!$F$9:$G$142,2,FALSE))</f>
        <v/>
      </c>
      <c r="D147" t="str">
        <f>IF(ISNA(VLOOKUP($B147,'2002'!$F$9:$G$142,2,FALSE)),"",VLOOKUP($B147,'2002'!$F$9:$G$142,2,FALSE))</f>
        <v/>
      </c>
    </row>
    <row r="148" spans="2:4" x14ac:dyDescent="0.25">
      <c r="B148" t="s">
        <v>407</v>
      </c>
      <c r="C148">
        <f>IF(ISNA(VLOOKUP($B148,'2001'!$F$9:$G$142,2,FALSE)),"",VLOOKUP($B148,'2001'!$F$9:$G$142,2,FALSE))</f>
        <v>7.6243510718695582E-4</v>
      </c>
      <c r="D148" t="str">
        <f>IF(ISNA(VLOOKUP($B148,'2002'!$F$9:$G$142,2,FALSE)),"",VLOOKUP($B148,'2002'!$F$9:$G$142,2,FALSE))</f>
        <v/>
      </c>
    </row>
    <row r="149" spans="2:4" x14ac:dyDescent="0.25">
      <c r="B149" t="s">
        <v>408</v>
      </c>
      <c r="C149" t="str">
        <f>IF(ISNA(VLOOKUP($B149,'2001'!$F$9:$G$142,2,FALSE)),"",VLOOKUP($B149,'2001'!$F$9:$G$142,2,FALSE))</f>
        <v/>
      </c>
      <c r="D149" t="str">
        <f>IF(ISNA(VLOOKUP($B149,'2002'!$F$9:$G$142,2,FALSE)),"",VLOOKUP($B149,'2002'!$F$9:$G$142,2,FALSE))</f>
        <v/>
      </c>
    </row>
    <row r="150" spans="2:4" x14ac:dyDescent="0.25">
      <c r="B150" t="s">
        <v>409</v>
      </c>
      <c r="C150">
        <f>IF(ISNA(VLOOKUP($B150,'2001'!$F$9:$G$142,2,FALSE)),"",VLOOKUP($B150,'2001'!$F$9:$G$142,2,FALSE))</f>
        <v>2.5665513091163779E-2</v>
      </c>
      <c r="D150">
        <f>IF(ISNA(VLOOKUP($B150,'2002'!$F$9:$G$142,2,FALSE)),"",VLOOKUP($B150,'2002'!$F$9:$G$142,2,FALSE))</f>
        <v>2.1850537562523985E-2</v>
      </c>
    </row>
    <row r="151" spans="2:4" x14ac:dyDescent="0.25">
      <c r="B151" t="s">
        <v>410</v>
      </c>
      <c r="C151" t="str">
        <f>IF(ISNA(VLOOKUP($B151,'2001'!$F$9:$G$142,2,FALSE)),"",VLOOKUP($B151,'2001'!$F$9:$G$142,2,FALSE))</f>
        <v/>
      </c>
      <c r="D151" t="str">
        <f>IF(ISNA(VLOOKUP($B151,'2002'!$F$9:$G$142,2,FALSE)),"",VLOOKUP($B151,'2002'!$F$9:$G$142,2,FALSE))</f>
        <v/>
      </c>
    </row>
    <row r="152" spans="2:4" x14ac:dyDescent="0.25">
      <c r="B152" t="s">
        <v>411</v>
      </c>
      <c r="C152">
        <f>IF(ISNA(VLOOKUP($B152,'2001'!$F$9:$G$142,2,FALSE)),"",VLOOKUP($B152,'2001'!$F$9:$G$142,2,FALSE))</f>
        <v>6.1249655949362027E-2</v>
      </c>
      <c r="D152">
        <f>IF(ISNA(VLOOKUP($B152,'2002'!$F$9:$G$142,2,FALSE)),"",VLOOKUP($B152,'2002'!$F$9:$G$142,2,FALSE))</f>
        <v>6.260457992313051E-2</v>
      </c>
    </row>
    <row r="153" spans="2:4" x14ac:dyDescent="0.25">
      <c r="B153" t="s">
        <v>412</v>
      </c>
      <c r="C153">
        <f>IF(ISNA(VLOOKUP($B153,'2001'!$F$9:$G$142,2,FALSE)),"",VLOOKUP($B153,'2001'!$F$9:$G$142,2,FALSE))</f>
        <v>2.1616742599591803E-4</v>
      </c>
      <c r="D153">
        <f>IF(ISNA(VLOOKUP($B153,'2002'!$F$9:$G$142,2,FALSE)),"",VLOOKUP($B153,'2002'!$F$9:$G$142,2,FALSE))</f>
        <v>3.6135804386750576E-4</v>
      </c>
    </row>
    <row r="154" spans="2:4" x14ac:dyDescent="0.25">
      <c r="B154" t="s">
        <v>413</v>
      </c>
      <c r="C154">
        <f>IF(ISNA(VLOOKUP($B154,'2001'!$F$9:$G$142,2,FALSE)),"",VLOOKUP($B154,'2001'!$F$9:$G$142,2,FALSE))</f>
        <v>3.9418835165895792E-5</v>
      </c>
      <c r="D154">
        <f>IF(ISNA(VLOOKUP($B154,'2002'!$F$9:$G$142,2,FALSE)),"",VLOOKUP($B154,'2002'!$F$9:$G$142,2,FALSE))</f>
        <v>2.675314691216856E-5</v>
      </c>
    </row>
    <row r="155" spans="2:4" x14ac:dyDescent="0.25">
      <c r="B155" t="s">
        <v>414</v>
      </c>
      <c r="C155" t="str">
        <f>IF(ISNA(VLOOKUP($B155,'2001'!$F$9:$G$142,2,FALSE)),"",VLOOKUP($B155,'2001'!$F$9:$G$142,2,FALSE))</f>
        <v/>
      </c>
      <c r="D155" t="str">
        <f>IF(ISNA(VLOOKUP($B155,'2002'!$F$9:$G$142,2,FALSE)),"",VLOOKUP($B155,'2002'!$F$9:$G$142,2,FALSE))</f>
        <v/>
      </c>
    </row>
    <row r="156" spans="2:4" x14ac:dyDescent="0.25">
      <c r="B156" t="s">
        <v>415</v>
      </c>
      <c r="C156">
        <f>IF(ISNA(VLOOKUP($B156,'2001'!$F$9:$G$142,2,FALSE)),"",VLOOKUP($B156,'2001'!$F$9:$G$142,2,FALSE))</f>
        <v>1.3949747997778183E-5</v>
      </c>
      <c r="D156">
        <f>IF(ISNA(VLOOKUP($B156,'2002'!$F$9:$G$142,2,FALSE)),"",VLOOKUP($B156,'2002'!$F$9:$G$142,2,FALSE))</f>
        <v>2.3614574708563204E-5</v>
      </c>
    </row>
    <row r="157" spans="2:4" x14ac:dyDescent="0.25">
      <c r="B157" t="s">
        <v>416</v>
      </c>
      <c r="C157">
        <f>IF(ISNA(VLOOKUP($B157,'2001'!$F$9:$G$142,2,FALSE)),"",VLOOKUP($B157,'2001'!$F$9:$G$142,2,FALSE))</f>
        <v>2.41837796903947E-4</v>
      </c>
      <c r="D157">
        <f>IF(ISNA(VLOOKUP($B157,'2002'!$F$9:$G$142,2,FALSE)),"",VLOOKUP($B157,'2002'!$F$9:$G$142,2,FALSE))</f>
        <v>3.028601477900093E-4</v>
      </c>
    </row>
    <row r="158" spans="2:4" x14ac:dyDescent="0.25">
      <c r="B158" t="s">
        <v>417</v>
      </c>
      <c r="C158" t="str">
        <f>IF(ISNA(VLOOKUP($B158,'2001'!$F$9:$G$142,2,FALSE)),"",VLOOKUP($B158,'2001'!$F$9:$G$142,2,FALSE))</f>
        <v/>
      </c>
      <c r="D158">
        <f>IF(ISNA(VLOOKUP($B158,'2002'!$F$9:$G$142,2,FALSE)),"",VLOOKUP($B158,'2002'!$F$9:$G$142,2,FALSE))</f>
        <v>3.4347951569895631E-6</v>
      </c>
    </row>
    <row r="159" spans="2:4" x14ac:dyDescent="0.25">
      <c r="B159" t="s">
        <v>418</v>
      </c>
      <c r="C159">
        <f>IF(ISNA(VLOOKUP($B159,'2001'!$F$9:$G$142,2,FALSE)),"",VLOOKUP($B159,'2001'!$F$9:$G$142,2,FALSE))</f>
        <v>2.9749159683955026E-4</v>
      </c>
      <c r="D159">
        <f>IF(ISNA(VLOOKUP($B159,'2002'!$F$9:$G$142,2,FALSE)),"",VLOOKUP($B159,'2002'!$F$9:$G$142,2,FALSE))</f>
        <v>3.066781097920877E-4</v>
      </c>
    </row>
    <row r="160" spans="2:4" x14ac:dyDescent="0.25">
      <c r="B160" t="s">
        <v>419</v>
      </c>
      <c r="C160">
        <f>IF(ISNA(VLOOKUP($B160,'2001'!$F$9:$G$142,2,FALSE)),"",VLOOKUP($B160,'2001'!$F$9:$G$142,2,FALSE))</f>
        <v>1.7678252283663575E-4</v>
      </c>
      <c r="D160">
        <f>IF(ISNA(VLOOKUP($B160,'2002'!$F$9:$G$142,2,FALSE)),"",VLOOKUP($B160,'2002'!$F$9:$G$142,2,FALSE))</f>
        <v>1.4666145715233481E-4</v>
      </c>
    </row>
    <row r="161" spans="2:4" x14ac:dyDescent="0.25">
      <c r="B161" t="s">
        <v>420</v>
      </c>
      <c r="C161">
        <f>IF(ISNA(VLOOKUP($B161,'2001'!$F$9:$G$142,2,FALSE)),"",VLOOKUP($B161,'2001'!$F$9:$G$142,2,FALSE))</f>
        <v>9.7913838189139478E-3</v>
      </c>
      <c r="D161">
        <f>IF(ISNA(VLOOKUP($B161,'2002'!$F$9:$G$142,2,FALSE)),"",VLOOKUP($B161,'2002'!$F$9:$G$142,2,FALSE))</f>
        <v>7.5958962638591554E-3</v>
      </c>
    </row>
    <row r="162" spans="2:4" x14ac:dyDescent="0.25">
      <c r="B162" t="s">
        <v>421</v>
      </c>
      <c r="C162">
        <f>IF(ISNA(VLOOKUP($B162,'2001'!$F$9:$G$142,2,FALSE)),"",VLOOKUP($B162,'2001'!$F$9:$G$142,2,FALSE))</f>
        <v>8.0494983400387346E-4</v>
      </c>
      <c r="D162">
        <f>IF(ISNA(VLOOKUP($B162,'2002'!$F$9:$G$142,2,FALSE)),"",VLOOKUP($B162,'2002'!$F$9:$G$142,2,FALSE))</f>
        <v>1.7884250099492963E-3</v>
      </c>
    </row>
    <row r="163" spans="2:4" x14ac:dyDescent="0.25">
      <c r="B163" t="s">
        <v>422</v>
      </c>
      <c r="C163">
        <f>IF(ISNA(VLOOKUP($B163,'2001'!$F$9:$G$142,2,FALSE)),"",VLOOKUP($B163,'2001'!$F$9:$G$142,2,FALSE))</f>
        <v>4.4939134064955329E-5</v>
      </c>
      <c r="D163">
        <f>IF(ISNA(VLOOKUP($B163,'2002'!$F$9:$G$142,2,FALSE)),"",VLOOKUP($B163,'2002'!$F$9:$G$142,2,FALSE))</f>
        <v>1.5861450338388594E-4</v>
      </c>
    </row>
    <row r="164" spans="2:4" x14ac:dyDescent="0.25">
      <c r="B164" t="s">
        <v>423</v>
      </c>
      <c r="C164">
        <f>IF(ISNA(VLOOKUP($B164,'2001'!$F$9:$G$142,2,FALSE)),"",VLOOKUP($B164,'2001'!$F$9:$G$142,2,FALSE))</f>
        <v>2.6646618282956881E-2</v>
      </c>
      <c r="D164">
        <f>IF(ISNA(VLOOKUP($B164,'2002'!$F$9:$G$142,2,FALSE)),"",VLOOKUP($B164,'2002'!$F$9:$G$142,2,FALSE))</f>
        <v>2.7540489519763858E-2</v>
      </c>
    </row>
    <row r="165" spans="2:4" x14ac:dyDescent="0.25">
      <c r="B165" t="s">
        <v>424</v>
      </c>
      <c r="C165">
        <f>IF(ISNA(VLOOKUP($B165,'2001'!$F$9:$G$142,2,FALSE)),"",VLOOKUP($B165,'2001'!$F$9:$G$142,2,FALSE))</f>
        <v>3.6955879311705311E-5</v>
      </c>
      <c r="D165">
        <f>IF(ISNA(VLOOKUP($B165,'2002'!$F$9:$G$142,2,FALSE)),"",VLOOKUP($B165,'2002'!$F$9:$G$142,2,FALSE))</f>
        <v>3.579940312670569E-5</v>
      </c>
    </row>
    <row r="166" spans="2:4" x14ac:dyDescent="0.25">
      <c r="B166" t="s">
        <v>425</v>
      </c>
      <c r="C166">
        <f>IF(ISNA(VLOOKUP($B166,'2001'!$F$9:$G$142,2,FALSE)),"",VLOOKUP($B166,'2001'!$F$9:$G$142,2,FALSE))</f>
        <v>1.4899128610027483E-4</v>
      </c>
      <c r="D166">
        <f>IF(ISNA(VLOOKUP($B166,'2002'!$F$9:$G$142,2,FALSE)),"",VLOOKUP($B166,'2002'!$F$9:$G$142,2,FALSE))</f>
        <v>1.4241757236783519E-4</v>
      </c>
    </row>
    <row r="167" spans="2:4" x14ac:dyDescent="0.25">
      <c r="B167" t="s">
        <v>426</v>
      </c>
      <c r="C167">
        <f>IF(ISNA(VLOOKUP($B167,'2001'!$F$9:$G$142,2,FALSE)),"",VLOOKUP($B167,'2001'!$F$9:$G$142,2,FALSE))</f>
        <v>1.1426168112588142E-2</v>
      </c>
      <c r="D167">
        <f>IF(ISNA(VLOOKUP($B167,'2002'!$F$9:$G$142,2,FALSE)),"",VLOOKUP($B167,'2002'!$F$9:$G$142,2,FALSE))</f>
        <v>9.509540935249387E-3</v>
      </c>
    </row>
    <row r="168" spans="2:4" x14ac:dyDescent="0.25">
      <c r="B168" t="s">
        <v>427</v>
      </c>
      <c r="C168">
        <f>IF(ISNA(VLOOKUP($B168,'2001'!$F$9:$G$142,2,FALSE)),"",VLOOKUP($B168,'2001'!$F$9:$G$142,2,FALSE))</f>
        <v>2.2694203841158319E-3</v>
      </c>
      <c r="D168">
        <f>IF(ISNA(VLOOKUP($B168,'2002'!$F$9:$G$142,2,FALSE)),"",VLOOKUP($B168,'2002'!$F$9:$G$142,2,FALSE))</f>
        <v>4.3743789738460073E-3</v>
      </c>
    </row>
    <row r="169" spans="2:4" x14ac:dyDescent="0.25">
      <c r="B169" t="s">
        <v>428</v>
      </c>
      <c r="C169" t="str">
        <f>IF(ISNA(VLOOKUP($B169,'2001'!$F$9:$G$142,2,FALSE)),"",VLOOKUP($B169,'2001'!$F$9:$G$142,2,FALSE))</f>
        <v/>
      </c>
      <c r="D169" t="str">
        <f>IF(ISNA(VLOOKUP($B169,'2002'!$F$9:$G$142,2,FALSE)),"",VLOOKUP($B169,'2002'!$F$9:$G$142,2,FALSE))</f>
        <v/>
      </c>
    </row>
    <row r="170" spans="2:4" x14ac:dyDescent="0.25">
      <c r="B170" t="s">
        <v>429</v>
      </c>
      <c r="C170" t="str">
        <f>IF(ISNA(VLOOKUP($B170,'2001'!$F$9:$G$142,2,FALSE)),"",VLOOKUP($B170,'2001'!$F$9:$G$142,2,FALSE))</f>
        <v/>
      </c>
      <c r="D170" t="str">
        <f>IF(ISNA(VLOOKUP($B170,'2002'!$F$9:$G$142,2,FALSE)),"",VLOOKUP($B170,'2002'!$F$9:$G$142,2,FALSE))</f>
        <v/>
      </c>
    </row>
    <row r="171" spans="2:4" x14ac:dyDescent="0.25">
      <c r="B171" t="s">
        <v>430</v>
      </c>
      <c r="C171">
        <f>IF(ISNA(VLOOKUP($B171,'2001'!$F$9:$G$142,2,FALSE)),"",VLOOKUP($B171,'2001'!$F$9:$G$142,2,FALSE))</f>
        <v>4.2349584126499277E-3</v>
      </c>
      <c r="D171">
        <f>IF(ISNA(VLOOKUP($B171,'2002'!$F$9:$G$142,2,FALSE)),"",VLOOKUP($B171,'2002'!$F$9:$G$142,2,FALSE))</f>
        <v>5.3065619220666908E-3</v>
      </c>
    </row>
    <row r="172" spans="2:4" x14ac:dyDescent="0.25">
      <c r="B172" t="s">
        <v>431</v>
      </c>
      <c r="C172">
        <f>IF(ISNA(VLOOKUP($B172,'2001'!$F$9:$G$142,2,FALSE)),"",VLOOKUP($B172,'2001'!$F$9:$G$142,2,FALSE))</f>
        <v>6.5351740548223111E-3</v>
      </c>
      <c r="D172">
        <f>IF(ISNA(VLOOKUP($B172,'2002'!$F$9:$G$142,2,FALSE)),"",VLOOKUP($B172,'2002'!$F$9:$G$142,2,FALSE))</f>
        <v>9.0348369015137171E-3</v>
      </c>
    </row>
    <row r="173" spans="2:4" x14ac:dyDescent="0.25">
      <c r="B173" t="s">
        <v>432</v>
      </c>
      <c r="C173">
        <f>IF(ISNA(VLOOKUP($B173,'2001'!$F$9:$G$142,2,FALSE)),"",VLOOKUP($B173,'2001'!$F$9:$G$142,2,FALSE))</f>
        <v>4.9060323768519681E-2</v>
      </c>
      <c r="D173">
        <f>IF(ISNA(VLOOKUP($B173,'2002'!$F$9:$G$142,2,FALSE)),"",VLOOKUP($B173,'2002'!$F$9:$G$142,2,FALSE))</f>
        <v>4.7537381879128315E-2</v>
      </c>
    </row>
    <row r="174" spans="2:4" x14ac:dyDescent="0.25">
      <c r="B174" t="s">
        <v>433</v>
      </c>
      <c r="C174">
        <f>IF(ISNA(VLOOKUP($B174,'2001'!$F$9:$G$142,2,FALSE)),"",VLOOKUP($B174,'2001'!$F$9:$G$142,2,FALSE))</f>
        <v>9.5890624982561522E-3</v>
      </c>
      <c r="D174">
        <f>IF(ISNA(VLOOKUP($B174,'2002'!$F$9:$G$142,2,FALSE)),"",VLOOKUP($B174,'2002'!$F$9:$G$142,2,FALSE))</f>
        <v>6.4497795848578099E-3</v>
      </c>
    </row>
    <row r="175" spans="2:4" x14ac:dyDescent="0.25">
      <c r="B175" t="s">
        <v>434</v>
      </c>
      <c r="C175" t="str">
        <f>IF(ISNA(VLOOKUP($B175,'2001'!$F$9:$G$142,2,FALSE)),"",VLOOKUP($B175,'2001'!$F$9:$G$142,2,FALSE))</f>
        <v/>
      </c>
      <c r="D175" t="str">
        <f>IF(ISNA(VLOOKUP($B175,'2002'!$F$9:$G$142,2,FALSE)),"",VLOOKUP($B175,'2002'!$F$9:$G$142,2,FALSE))</f>
        <v/>
      </c>
    </row>
    <row r="176" spans="2:4" x14ac:dyDescent="0.25">
      <c r="B176" t="s">
        <v>435</v>
      </c>
      <c r="C176">
        <f>IF(ISNA(VLOOKUP($B176,'2001'!$F$9:$G$142,2,FALSE)),"",VLOOKUP($B176,'2001'!$F$9:$G$142,2,FALSE))</f>
        <v>4.7953316520731931E-3</v>
      </c>
      <c r="D176">
        <f>IF(ISNA(VLOOKUP($B176,'2002'!$F$9:$G$142,2,FALSE)),"",VLOOKUP($B176,'2002'!$F$9:$G$142,2,FALSE))</f>
        <v>2.5671953589702476E-3</v>
      </c>
    </row>
    <row r="177" spans="2:4" x14ac:dyDescent="0.25">
      <c r="B177" t="s">
        <v>436</v>
      </c>
      <c r="C177">
        <f>IF(ISNA(VLOOKUP($B177,'2001'!$F$9:$G$142,2,FALSE)),"",VLOOKUP($B177,'2001'!$F$9:$G$142,2,FALSE))</f>
        <v>8.9234007814409551E-3</v>
      </c>
      <c r="D177">
        <f>IF(ISNA(VLOOKUP($B177,'2002'!$F$9:$G$142,2,FALSE)),"",VLOOKUP($B177,'2002'!$F$9:$G$142,2,FALSE))</f>
        <v>1.0810951270119228E-2</v>
      </c>
    </row>
    <row r="178" spans="2:4" x14ac:dyDescent="0.25">
      <c r="B178" t="s">
        <v>437</v>
      </c>
      <c r="C178">
        <f>IF(ISNA(VLOOKUP($B178,'2001'!$F$9:$G$142,2,FALSE)),"",VLOOKUP($B178,'2001'!$F$9:$G$142,2,FALSE))</f>
        <v>2.7210616245508389E-3</v>
      </c>
      <c r="D178">
        <f>IF(ISNA(VLOOKUP($B178,'2002'!$F$9:$G$142,2,FALSE)),"",VLOOKUP($B178,'2002'!$F$9:$G$142,2,FALSE))</f>
        <v>2.0361126098021824E-3</v>
      </c>
    </row>
    <row r="179" spans="2:4" x14ac:dyDescent="0.25">
      <c r="B179" t="s">
        <v>438</v>
      </c>
      <c r="C179">
        <f>IF(ISNA(VLOOKUP($B179,'2001'!$F$9:$G$142,2,FALSE)),"",VLOOKUP($B179,'2001'!$F$9:$G$142,2,FALSE))</f>
        <v>2.8046765520858477E-5</v>
      </c>
      <c r="D179">
        <f>IF(ISNA(VLOOKUP($B179,'2002'!$F$9:$G$142,2,FALSE)),"",VLOOKUP($B179,'2002'!$F$9:$G$142,2,FALSE))</f>
        <v>2.0581358044317568E-5</v>
      </c>
    </row>
    <row r="180" spans="2:4" x14ac:dyDescent="0.25">
      <c r="B180" t="s">
        <v>439</v>
      </c>
      <c r="C180">
        <f>IF(ISNA(VLOOKUP($B180,'2001'!$F$9:$G$142,2,FALSE)),"",VLOOKUP($B180,'2001'!$F$9:$G$142,2,FALSE))</f>
        <v>5.6167627464321935E-5</v>
      </c>
      <c r="D180" t="str">
        <f>IF(ISNA(VLOOKUP($B180,'2002'!$F$9:$G$142,2,FALSE)),"",VLOOKUP($B180,'2002'!$F$9:$G$142,2,FALSE))</f>
        <v/>
      </c>
    </row>
    <row r="181" spans="2:4" x14ac:dyDescent="0.25">
      <c r="B181" t="s">
        <v>440</v>
      </c>
      <c r="C181">
        <f>IF(ISNA(VLOOKUP($B181,'2001'!$F$9:$G$142,2,FALSE)),"",VLOOKUP($B181,'2001'!$F$9:$G$142,2,FALSE))</f>
        <v>3.9268795680870132E-6</v>
      </c>
      <c r="D181" t="str">
        <f>IF(ISNA(VLOOKUP($B181,'2002'!$F$9:$G$142,2,FALSE)),"",VLOOKUP($B181,'2002'!$F$9:$G$142,2,FALSE))</f>
        <v/>
      </c>
    </row>
    <row r="182" spans="2:4" x14ac:dyDescent="0.25">
      <c r="B182" t="s">
        <v>441</v>
      </c>
      <c r="C182" t="str">
        <f>IF(ISNA(VLOOKUP($B182,'2001'!$F$9:$G$142,2,FALSE)),"",VLOOKUP($B182,'2001'!$F$9:$G$142,2,FALSE))</f>
        <v/>
      </c>
      <c r="D182" t="str">
        <f>IF(ISNA(VLOOKUP($B182,'2002'!$F$9:$G$142,2,FALSE)),"",VLOOKUP($B182,'2002'!$F$9:$G$142,2,FALSE))</f>
        <v/>
      </c>
    </row>
    <row r="183" spans="2:4" x14ac:dyDescent="0.25">
      <c r="B183" t="s">
        <v>442</v>
      </c>
      <c r="C183">
        <f>IF(ISNA(VLOOKUP($B183,'2001'!$F$9:$G$142,2,FALSE)),"",VLOOKUP($B183,'2001'!$F$9:$G$142,2,FALSE))</f>
        <v>3.5300715270195071E-3</v>
      </c>
      <c r="D183">
        <f>IF(ISNA(VLOOKUP($B183,'2002'!$F$9:$G$142,2,FALSE)),"",VLOOKUP($B183,'2002'!$F$9:$G$142,2,FALSE))</f>
        <v>4.1283987474523368E-4</v>
      </c>
    </row>
    <row r="184" spans="2:4" x14ac:dyDescent="0.25">
      <c r="B184" t="s">
        <v>443</v>
      </c>
      <c r="C184" t="str">
        <f>IF(ISNA(VLOOKUP($B184,'2001'!$F$9:$G$142,2,FALSE)),"",VLOOKUP($B184,'2001'!$F$9:$G$142,2,FALSE))</f>
        <v/>
      </c>
      <c r="D184" t="str">
        <f>IF(ISNA(VLOOKUP($B184,'2002'!$F$9:$G$142,2,FALSE)),"",VLOOKUP($B184,'2002'!$F$9:$G$142,2,FALSE))</f>
        <v/>
      </c>
    </row>
    <row r="185" spans="2:4" x14ac:dyDescent="0.25">
      <c r="B185" t="s">
        <v>444</v>
      </c>
      <c r="C185" t="str">
        <f>IF(ISNA(VLOOKUP($B185,'2001'!$F$9:$G$142,2,FALSE)),"",VLOOKUP($B185,'2001'!$F$9:$G$142,2,FALSE))</f>
        <v/>
      </c>
      <c r="D185" t="str">
        <f>IF(ISNA(VLOOKUP($B185,'2002'!$F$9:$G$142,2,FALSE)),"",VLOOKUP($B185,'2002'!$F$9:$G$142,2,FALSE))</f>
        <v/>
      </c>
    </row>
    <row r="186" spans="2:4" x14ac:dyDescent="0.25">
      <c r="B186" t="s">
        <v>445</v>
      </c>
      <c r="C186" t="str">
        <f>IF(ISNA(VLOOKUP($B186,'2001'!$F$9:$G$142,2,FALSE)),"",VLOOKUP($B186,'2001'!$F$9:$G$142,2,FALSE))</f>
        <v/>
      </c>
      <c r="D186" t="str">
        <f>IF(ISNA(VLOOKUP($B186,'2002'!$F$9:$G$142,2,FALSE)),"",VLOOKUP($B186,'2002'!$F$9:$G$142,2,FALSE))</f>
        <v/>
      </c>
    </row>
    <row r="187" spans="2:4" x14ac:dyDescent="0.25">
      <c r="B187" t="s">
        <v>446</v>
      </c>
      <c r="C187" t="str">
        <f>IF(ISNA(VLOOKUP($B187,'2001'!$F$9:$G$142,2,FALSE)),"",VLOOKUP($B187,'2001'!$F$9:$G$142,2,FALSE))</f>
        <v/>
      </c>
      <c r="D187" t="str">
        <f>IF(ISNA(VLOOKUP($B187,'2002'!$F$9:$G$142,2,FALSE)),"",VLOOKUP($B187,'2002'!$F$9:$G$142,2,FALSE))</f>
        <v/>
      </c>
    </row>
    <row r="188" spans="2:4" x14ac:dyDescent="0.25">
      <c r="B188" t="s">
        <v>159</v>
      </c>
      <c r="C188" t="str">
        <f>IF(ISNA(VLOOKUP($B188,'2001'!$F$9:$G$142,2,FALSE)),"",VLOOKUP($B188,'2001'!$F$9:$G$142,2,FALSE))</f>
        <v/>
      </c>
      <c r="D188" t="str">
        <f>IF(ISNA(VLOOKUP($B188,'2002'!$F$9:$G$142,2,FALSE)),"",VLOOKUP($B188,'2002'!$F$9:$G$142,2,FALSE))</f>
        <v/>
      </c>
    </row>
    <row r="189" spans="2:4" x14ac:dyDescent="0.25">
      <c r="B189" t="s">
        <v>447</v>
      </c>
      <c r="C189" t="str">
        <f>IF(ISNA(VLOOKUP($B189,'2001'!$F$9:$G$142,2,FALSE)),"",VLOOKUP($B189,'2001'!$F$9:$G$142,2,FALSE))</f>
        <v/>
      </c>
      <c r="D189" t="str">
        <f>IF(ISNA(VLOOKUP($B189,'2002'!$F$9:$G$142,2,FALSE)),"",VLOOKUP($B189,'2002'!$F$9:$G$142,2,FALSE))</f>
        <v/>
      </c>
    </row>
    <row r="190" spans="2:4" x14ac:dyDescent="0.25">
      <c r="B190" t="s">
        <v>66</v>
      </c>
      <c r="C190">
        <f>IF(ISNA(VLOOKUP($B190,'2001'!$F$9:$G$142,2,FALSE)),"",VLOOKUP($B190,'2001'!$F$9:$G$142,2,FALSE))</f>
        <v>1.436125783090841E-3</v>
      </c>
      <c r="D190">
        <f>IF(ISNA(VLOOKUP($B190,'2002'!$F$9:$G$142,2,FALSE)),"",VLOOKUP($B190,'2002'!$F$9:$G$142,2,FALSE))</f>
        <v>9.2160320633034019E-4</v>
      </c>
    </row>
    <row r="191" spans="2:4" x14ac:dyDescent="0.25">
      <c r="B191" t="s">
        <v>17</v>
      </c>
      <c r="C191" t="str">
        <f>IF(ISNA(VLOOKUP($B191,'2001'!$F$9:$G$142,2,FALSE)),"",VLOOKUP($B191,'2001'!$F$9:$G$142,2,FALSE))</f>
        <v/>
      </c>
      <c r="D191" t="str">
        <f>IF(ISNA(VLOOKUP($B191,'2002'!$F$9:$G$142,2,FALSE)),"",VLOOKUP($B191,'2002'!$F$9:$G$142,2,FALSE))</f>
        <v/>
      </c>
    </row>
    <row r="192" spans="2:4" x14ac:dyDescent="0.25">
      <c r="B192" t="s">
        <v>448</v>
      </c>
      <c r="C192">
        <f>IF(ISNA(VLOOKUP($B192,'2001'!$F$9:$G$142,2,FALSE)),"",VLOOKUP($B192,'2001'!$F$9:$G$142,2,FALSE))</f>
        <v>7.2365197777761491E-7</v>
      </c>
      <c r="D192" t="str">
        <f>IF(ISNA(VLOOKUP($B192,'2002'!$F$9:$G$142,2,FALSE)),"",VLOOKUP($B192,'2002'!$F$9:$G$142,2,FALSE))</f>
        <v/>
      </c>
    </row>
    <row r="193" spans="2:4" x14ac:dyDescent="0.25">
      <c r="B193" t="s">
        <v>449</v>
      </c>
      <c r="C193" t="str">
        <f>IF(ISNA(VLOOKUP($B193,'2001'!$F$9:$G$142,2,FALSE)),"",VLOOKUP($B193,'2001'!$F$9:$G$142,2,FALSE))</f>
        <v/>
      </c>
      <c r="D193" t="str">
        <f>IF(ISNA(VLOOKUP($B193,'2002'!$F$9:$G$142,2,FALSE)),"",VLOOKUP($B193,'2002'!$F$9:$G$142,2,FALSE))</f>
        <v/>
      </c>
    </row>
    <row r="194" spans="2:4" x14ac:dyDescent="0.25">
      <c r="B194" t="s">
        <v>450</v>
      </c>
      <c r="C194">
        <f>IF(ISNA(VLOOKUP($B194,'2001'!$F$9:$G$142,2,FALSE)),"",VLOOKUP($B194,'2001'!$F$9:$G$142,2,FALSE))</f>
        <v>4.1909490617321778E-6</v>
      </c>
      <c r="D194" t="str">
        <f>IF(ISNA(VLOOKUP($B194,'2002'!$F$9:$G$142,2,FALSE)),"",VLOOKUP($B194,'2002'!$F$9:$G$142,2,FALSE))</f>
        <v/>
      </c>
    </row>
    <row r="195" spans="2:4" x14ac:dyDescent="0.25">
      <c r="B195" t="s">
        <v>451</v>
      </c>
      <c r="C195" t="str">
        <f>IF(ISNA(VLOOKUP($B195,'2001'!$F$9:$G$142,2,FALSE)),"",VLOOKUP($B195,'2001'!$F$9:$G$142,2,FALSE))</f>
        <v/>
      </c>
      <c r="D195" t="str">
        <f>IF(ISNA(VLOOKUP($B195,'2002'!$F$9:$G$142,2,FALSE)),"",VLOOKUP($B195,'2002'!$F$9:$G$142,2,FALSE))</f>
        <v/>
      </c>
    </row>
    <row r="196" spans="2:4" x14ac:dyDescent="0.25">
      <c r="B196" t="s">
        <v>452</v>
      </c>
      <c r="C196" t="str">
        <f>IF(ISNA(VLOOKUP($B196,'2001'!$F$9:$G$142,2,FALSE)),"",VLOOKUP($B196,'2001'!$F$9:$G$142,2,FALSE))</f>
        <v/>
      </c>
      <c r="D196" t="str">
        <f>IF(ISNA(VLOOKUP($B196,'2002'!$F$9:$G$142,2,FALSE)),"",VLOOKUP($B196,'2002'!$F$9:$G$142,2,FALSE))</f>
        <v/>
      </c>
    </row>
    <row r="197" spans="2:4" x14ac:dyDescent="0.25">
      <c r="B197" t="s">
        <v>453</v>
      </c>
      <c r="C197" t="str">
        <f>IF(ISNA(VLOOKUP($B197,'2001'!$F$9:$G$142,2,FALSE)),"",VLOOKUP($B197,'2001'!$F$9:$G$142,2,FALSE))</f>
        <v/>
      </c>
      <c r="D197" t="str">
        <f>IF(ISNA(VLOOKUP($B197,'2002'!$F$9:$G$142,2,FALSE)),"",VLOOKUP($B197,'2002'!$F$9:$G$142,2,FALSE))</f>
        <v/>
      </c>
    </row>
    <row r="198" spans="2:4" x14ac:dyDescent="0.25">
      <c r="B198" t="s">
        <v>454</v>
      </c>
      <c r="C198" t="str">
        <f>IF(ISNA(VLOOKUP($B198,'2001'!$F$9:$G$142,2,FALSE)),"",VLOOKUP($B198,'2001'!$F$9:$G$142,2,FALSE))</f>
        <v/>
      </c>
      <c r="D198" t="str">
        <f>IF(ISNA(VLOOKUP($B198,'2002'!$F$9:$G$142,2,FALSE)),"",VLOOKUP($B198,'2002'!$F$9:$G$142,2,FALSE))</f>
        <v/>
      </c>
    </row>
    <row r="199" spans="2:4" x14ac:dyDescent="0.25">
      <c r="B199" t="s">
        <v>455</v>
      </c>
      <c r="C199" t="str">
        <f>IF(ISNA(VLOOKUP($B199,'2001'!$F$9:$G$142,2,FALSE)),"",VLOOKUP($B199,'2001'!$F$9:$G$142,2,FALSE))</f>
        <v/>
      </c>
      <c r="D199" t="str">
        <f>IF(ISNA(VLOOKUP($B199,'2002'!$F$9:$G$142,2,FALSE)),"",VLOOKUP($B199,'2002'!$F$9:$G$142,2,FALSE))</f>
        <v/>
      </c>
    </row>
    <row r="200" spans="2:4" x14ac:dyDescent="0.25">
      <c r="B200" t="s">
        <v>456</v>
      </c>
      <c r="C200" t="str">
        <f>IF(ISNA(VLOOKUP($B200,'2001'!$F$9:$G$142,2,FALSE)),"",VLOOKUP($B200,'2001'!$F$9:$G$142,2,FALSE))</f>
        <v/>
      </c>
      <c r="D200" t="str">
        <f>IF(ISNA(VLOOKUP($B200,'2002'!$F$9:$G$142,2,FALSE)),"",VLOOKUP($B200,'2002'!$F$9:$G$142,2,FALSE))</f>
        <v/>
      </c>
    </row>
    <row r="201" spans="2:4" x14ac:dyDescent="0.25">
      <c r="B201" t="s">
        <v>457</v>
      </c>
      <c r="C201">
        <f>IF(ISNA(VLOOKUP($B201,'2001'!$F$9:$G$142,2,FALSE)),"",VLOOKUP($B201,'2001'!$F$9:$G$142,2,FALSE))</f>
        <v>3.2384060787984916E-5</v>
      </c>
      <c r="D201">
        <f>IF(ISNA(VLOOKUP($B201,'2002'!$F$9:$G$142,2,FALSE)),"",VLOOKUP($B201,'2002'!$F$9:$G$142,2,FALSE))</f>
        <v>1.5084867497682929E-5</v>
      </c>
    </row>
    <row r="202" spans="2:4" x14ac:dyDescent="0.25">
      <c r="B202" t="s">
        <v>458</v>
      </c>
      <c r="C202" t="str">
        <f>IF(ISNA(VLOOKUP($B202,'2001'!$F$9:$G$142,2,FALSE)),"",VLOOKUP($B202,'2001'!$F$9:$G$142,2,FALSE))</f>
        <v/>
      </c>
      <c r="D202" t="str">
        <f>IF(ISNA(VLOOKUP($B202,'2002'!$F$9:$G$142,2,FALSE)),"",VLOOKUP($B202,'2002'!$F$9:$G$142,2,FALSE))</f>
        <v/>
      </c>
    </row>
    <row r="203" spans="2:4" x14ac:dyDescent="0.25">
      <c r="B203" t="s">
        <v>459</v>
      </c>
      <c r="C203" t="str">
        <f>IF(ISNA(VLOOKUP($B203,'2001'!$F$9:$G$142,2,FALSE)),"",VLOOKUP($B203,'2001'!$F$9:$G$142,2,FALSE))</f>
        <v/>
      </c>
      <c r="D203" t="str">
        <f>IF(ISNA(VLOOKUP($B203,'2002'!$F$9:$G$142,2,FALSE)),"",VLOOKUP($B203,'2002'!$F$9:$G$142,2,FALSE))</f>
        <v/>
      </c>
    </row>
    <row r="204" spans="2:4" x14ac:dyDescent="0.25">
      <c r="B204" t="s">
        <v>460</v>
      </c>
      <c r="C204">
        <f>IF(ISNA(VLOOKUP($B204,'2001'!$F$9:$G$142,2,FALSE)),"",VLOOKUP($B204,'2001'!$F$9:$G$142,2,FALSE))</f>
        <v>4.7722712757146803E-5</v>
      </c>
      <c r="D204">
        <f>IF(ISNA(VLOOKUP($B204,'2002'!$F$9:$G$142,2,FALSE)),"",VLOOKUP($B204,'2002'!$F$9:$G$142,2,FALSE))</f>
        <v>1.3081066511219989E-5</v>
      </c>
    </row>
    <row r="205" spans="2:4" x14ac:dyDescent="0.25">
      <c r="B205" t="s">
        <v>461</v>
      </c>
      <c r="C205" t="str">
        <f>IF(ISNA(VLOOKUP($B205,'2001'!$F$9:$G$142,2,FALSE)),"",VLOOKUP($B205,'2001'!$F$9:$G$142,2,FALSE))</f>
        <v/>
      </c>
      <c r="D205" t="str">
        <f>IF(ISNA(VLOOKUP($B205,'2002'!$F$9:$G$142,2,FALSE)),"",VLOOKUP($B205,'2002'!$F$9:$G$142,2,FALSE))</f>
        <v/>
      </c>
    </row>
    <row r="206" spans="2:4" x14ac:dyDescent="0.25">
      <c r="B206" t="s">
        <v>462</v>
      </c>
      <c r="C206">
        <f>IF(ISNA(VLOOKUP($B206,'2001'!$F$9:$G$142,2,FALSE)),"",VLOOKUP($B206,'2001'!$F$9:$G$142,2,FALSE))</f>
        <v>7.0189625244889393E-5</v>
      </c>
      <c r="D206" t="str">
        <f>IF(ISNA(VLOOKUP($B206,'2002'!$F$9:$G$142,2,FALSE)),"",VLOOKUP($B206,'2002'!$F$9:$G$142,2,FALSE))</f>
        <v/>
      </c>
    </row>
    <row r="207" spans="2:4" x14ac:dyDescent="0.25">
      <c r="B207" t="s">
        <v>463</v>
      </c>
      <c r="C207">
        <f>IF(ISNA(VLOOKUP($B207,'2001'!$F$9:$G$142,2,FALSE)),"",VLOOKUP($B207,'2001'!$F$9:$G$142,2,FALSE))</f>
        <v>2.4511835253653886E-6</v>
      </c>
      <c r="D207" t="str">
        <f>IF(ISNA(VLOOKUP($B207,'2002'!$F$9:$G$142,2,FALSE)),"",VLOOKUP($B207,'2002'!$F$9:$G$142,2,FALSE))</f>
        <v/>
      </c>
    </row>
    <row r="208" spans="2:4" x14ac:dyDescent="0.25">
      <c r="B208" t="s">
        <v>464</v>
      </c>
      <c r="C208" t="str">
        <f>IF(ISNA(VLOOKUP($B208,'2001'!$F$9:$G$142,2,FALSE)),"",VLOOKUP($B208,'2001'!$F$9:$G$142,2,FALSE))</f>
        <v/>
      </c>
      <c r="D208" t="str">
        <f>IF(ISNA(VLOOKUP($B208,'2002'!$F$9:$G$142,2,FALSE)),"",VLOOKUP($B208,'2002'!$F$9:$G$142,2,FALSE))</f>
        <v/>
      </c>
    </row>
    <row r="209" spans="2:4" x14ac:dyDescent="0.25">
      <c r="B209" s="12" t="s">
        <v>492</v>
      </c>
      <c r="C209">
        <f>IF(ISNA(VLOOKUP($B209,'2001'!$F$9:$G$142,2,FALSE)),"",VLOOKUP($B209,'2001'!$F$9:$G$142,2,FALSE))</f>
        <v>4.8710572726555761E-4</v>
      </c>
      <c r="D209">
        <f>IF(ISNA(VLOOKUP($B209,'2002'!$F$9:$G$142,2,FALSE)),"",VLOOKUP($B209,'2002'!$F$9:$G$142,2,FALSE))</f>
        <v>5.9419624073883128E-4</v>
      </c>
    </row>
  </sheetData>
  <sortState xmlns:xlrd2="http://schemas.microsoft.com/office/spreadsheetml/2017/richdata2" ref="F4:F137">
    <sortCondition ref="F4:F13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3"/>
  <sheetViews>
    <sheetView workbookViewId="0">
      <selection activeCell="A8" sqref="A8"/>
    </sheetView>
  </sheetViews>
  <sheetFormatPr baseColWidth="10" defaultRowHeight="15" x14ac:dyDescent="0.25"/>
  <cols>
    <col min="1" max="1" width="40.125" style="45" customWidth="1"/>
    <col min="2" max="2" width="16" style="45" bestFit="1" customWidth="1"/>
    <col min="3" max="3" width="14.875" style="45" customWidth="1"/>
    <col min="4" max="16384" width="11" style="45"/>
  </cols>
  <sheetData>
    <row r="1" spans="1:3" x14ac:dyDescent="0.25">
      <c r="A1" s="59" t="s">
        <v>260</v>
      </c>
      <c r="B1" s="59"/>
      <c r="C1" s="59"/>
    </row>
    <row r="2" spans="1:3" x14ac:dyDescent="0.25">
      <c r="A2" s="59"/>
      <c r="B2" s="59"/>
      <c r="C2" s="59"/>
    </row>
    <row r="3" spans="1:3" s="46" customFormat="1" ht="12.75" x14ac:dyDescent="0.2"/>
    <row r="4" spans="1:3" s="48" customFormat="1" ht="12.75" x14ac:dyDescent="0.2">
      <c r="A4" s="47"/>
      <c r="B4" s="60" t="s">
        <v>259</v>
      </c>
      <c r="C4" s="61"/>
    </row>
    <row r="5" spans="1:3" s="48" customFormat="1" ht="12.75" x14ac:dyDescent="0.2">
      <c r="A5" s="49" t="s">
        <v>233</v>
      </c>
      <c r="B5" s="50" t="s">
        <v>224</v>
      </c>
      <c r="C5" s="50" t="s">
        <v>225</v>
      </c>
    </row>
    <row r="6" spans="1:3" s="48" customFormat="1" ht="12.75" x14ac:dyDescent="0.2">
      <c r="A6" s="51"/>
      <c r="B6" s="52" t="s">
        <v>15</v>
      </c>
      <c r="C6" s="52" t="s">
        <v>14</v>
      </c>
    </row>
    <row r="7" spans="1:3" x14ac:dyDescent="0.25">
      <c r="C7" s="53"/>
    </row>
    <row r="8" spans="1:3" x14ac:dyDescent="0.25">
      <c r="A8" s="54" t="s">
        <v>0</v>
      </c>
      <c r="B8" s="55">
        <v>11632871228.190001</v>
      </c>
      <c r="C8" s="55">
        <v>17467878232.099998</v>
      </c>
    </row>
    <row r="9" spans="1:3" x14ac:dyDescent="0.25">
      <c r="A9" s="54" t="s">
        <v>1</v>
      </c>
      <c r="B9" s="55"/>
      <c r="C9" s="55"/>
    </row>
    <row r="10" spans="1:3" x14ac:dyDescent="0.25">
      <c r="A10" s="54" t="s">
        <v>2</v>
      </c>
      <c r="B10" s="55">
        <v>1060605845.17</v>
      </c>
      <c r="C10" s="55">
        <v>2053135754.4100001</v>
      </c>
    </row>
    <row r="11" spans="1:3" x14ac:dyDescent="0.25">
      <c r="A11" s="54" t="s">
        <v>288</v>
      </c>
      <c r="B11" s="55">
        <v>9852.18</v>
      </c>
      <c r="C11" s="55">
        <v>15304.5</v>
      </c>
    </row>
    <row r="12" spans="1:3" x14ac:dyDescent="0.25">
      <c r="A12" s="54" t="s">
        <v>265</v>
      </c>
      <c r="B12" s="55">
        <v>225556162.91999999</v>
      </c>
      <c r="C12" s="55">
        <v>460048725.19</v>
      </c>
    </row>
    <row r="13" spans="1:3" x14ac:dyDescent="0.25">
      <c r="A13" s="54" t="s">
        <v>292</v>
      </c>
      <c r="B13" s="55">
        <v>25269124.199999999</v>
      </c>
      <c r="C13" s="55">
        <v>43085773.689999998</v>
      </c>
    </row>
    <row r="14" spans="1:3" x14ac:dyDescent="0.25">
      <c r="A14" s="54" t="s">
        <v>301</v>
      </c>
      <c r="B14" s="55">
        <v>4140561.44</v>
      </c>
      <c r="C14" s="55">
        <v>6676966.9100000001</v>
      </c>
    </row>
    <row r="15" spans="1:3" x14ac:dyDescent="0.25">
      <c r="A15" s="54" t="s">
        <v>300</v>
      </c>
      <c r="B15" s="55">
        <v>7884983.6200000001</v>
      </c>
      <c r="C15" s="55">
        <v>5483325.5999999996</v>
      </c>
    </row>
    <row r="16" spans="1:3" x14ac:dyDescent="0.25">
      <c r="A16" s="54" t="s">
        <v>303</v>
      </c>
      <c r="B16" s="55">
        <v>22854539.239999998</v>
      </c>
      <c r="C16" s="55">
        <v>40964314.380000003</v>
      </c>
    </row>
    <row r="17" spans="1:3" x14ac:dyDescent="0.25">
      <c r="A17" s="54" t="s">
        <v>281</v>
      </c>
      <c r="B17" s="55">
        <v>39528.69</v>
      </c>
      <c r="C17" s="55">
        <v>51518.11</v>
      </c>
    </row>
    <row r="18" spans="1:3" x14ac:dyDescent="0.25">
      <c r="A18" s="54" t="s">
        <v>313</v>
      </c>
      <c r="B18" s="55">
        <v>351236303.83999997</v>
      </c>
      <c r="C18" s="55">
        <v>747215708.48000002</v>
      </c>
    </row>
    <row r="19" spans="1:3" x14ac:dyDescent="0.25">
      <c r="A19" s="54" t="s">
        <v>321</v>
      </c>
      <c r="B19" s="55">
        <v>4967264.55</v>
      </c>
      <c r="C19" s="55">
        <v>1154896.83</v>
      </c>
    </row>
    <row r="20" spans="1:3" x14ac:dyDescent="0.25">
      <c r="A20" s="54" t="s">
        <v>322</v>
      </c>
      <c r="B20" s="55" t="s">
        <v>30</v>
      </c>
      <c r="C20" s="55" t="s">
        <v>30</v>
      </c>
    </row>
    <row r="21" spans="1:3" x14ac:dyDescent="0.25">
      <c r="A21" s="54" t="s">
        <v>325</v>
      </c>
      <c r="B21" s="55">
        <v>14082020.720000001</v>
      </c>
      <c r="C21" s="55">
        <v>26544971.079999998</v>
      </c>
    </row>
    <row r="22" spans="1:3" x14ac:dyDescent="0.25">
      <c r="A22" s="54" t="s">
        <v>329</v>
      </c>
      <c r="B22" s="55">
        <v>73884.19</v>
      </c>
      <c r="C22" s="55">
        <v>94314.6</v>
      </c>
    </row>
    <row r="23" spans="1:3" x14ac:dyDescent="0.25">
      <c r="A23" s="54" t="s">
        <v>330</v>
      </c>
      <c r="B23" s="55" t="s">
        <v>30</v>
      </c>
      <c r="C23" s="55" t="s">
        <v>30</v>
      </c>
    </row>
    <row r="24" spans="1:3" x14ac:dyDescent="0.25">
      <c r="A24" s="54" t="s">
        <v>349</v>
      </c>
      <c r="B24" s="55">
        <v>101903.96</v>
      </c>
      <c r="C24" s="55">
        <v>14402.34</v>
      </c>
    </row>
    <row r="25" spans="1:3" x14ac:dyDescent="0.25">
      <c r="A25" s="54" t="s">
        <v>355</v>
      </c>
      <c r="B25" s="55">
        <v>228817.45</v>
      </c>
      <c r="C25" s="55">
        <v>617978.64</v>
      </c>
    </row>
    <row r="26" spans="1:3" x14ac:dyDescent="0.25">
      <c r="A26" s="54" t="s">
        <v>356</v>
      </c>
      <c r="B26" s="55">
        <v>96928387.200000003</v>
      </c>
      <c r="C26" s="55">
        <v>196221508.53999999</v>
      </c>
    </row>
    <row r="27" spans="1:3" x14ac:dyDescent="0.25">
      <c r="A27" s="54" t="s">
        <v>360</v>
      </c>
      <c r="B27" s="55" t="s">
        <v>30</v>
      </c>
      <c r="C27" s="55" t="s">
        <v>30</v>
      </c>
    </row>
    <row r="28" spans="1:3" x14ac:dyDescent="0.25">
      <c r="A28" s="54" t="s">
        <v>361</v>
      </c>
      <c r="B28" s="55" t="s">
        <v>30</v>
      </c>
      <c r="C28" s="55" t="s">
        <v>30</v>
      </c>
    </row>
    <row r="29" spans="1:3" x14ac:dyDescent="0.25">
      <c r="A29" s="54" t="s">
        <v>364</v>
      </c>
      <c r="B29" s="55">
        <v>23057.86</v>
      </c>
      <c r="C29" s="55">
        <v>32598.16</v>
      </c>
    </row>
    <row r="30" spans="1:3" x14ac:dyDescent="0.25">
      <c r="A30" s="54" t="s">
        <v>372</v>
      </c>
      <c r="B30" s="55">
        <v>128378732.45999999</v>
      </c>
      <c r="C30" s="55">
        <v>251957184.22999999</v>
      </c>
    </row>
    <row r="31" spans="1:3" x14ac:dyDescent="0.25">
      <c r="A31" s="54" t="s">
        <v>367</v>
      </c>
      <c r="B31" s="55">
        <v>19492683.260000002</v>
      </c>
      <c r="C31" s="55">
        <v>32178532.260000002</v>
      </c>
    </row>
    <row r="32" spans="1:3" x14ac:dyDescent="0.25">
      <c r="A32" s="54" t="s">
        <v>366</v>
      </c>
      <c r="B32" s="55" t="s">
        <v>30</v>
      </c>
      <c r="C32" s="55" t="s">
        <v>30</v>
      </c>
    </row>
    <row r="33" spans="1:3" x14ac:dyDescent="0.25">
      <c r="A33" s="54" t="s">
        <v>381</v>
      </c>
      <c r="B33" s="55">
        <v>18653.88</v>
      </c>
      <c r="C33" s="55">
        <v>25183.5</v>
      </c>
    </row>
    <row r="34" spans="1:3" x14ac:dyDescent="0.25">
      <c r="A34" s="54" t="s">
        <v>382</v>
      </c>
      <c r="B34" s="55">
        <v>4696656.34</v>
      </c>
      <c r="C34" s="55">
        <v>5142395.34</v>
      </c>
    </row>
    <row r="35" spans="1:3" x14ac:dyDescent="0.25">
      <c r="A35" s="54" t="s">
        <v>401</v>
      </c>
      <c r="B35" s="55">
        <v>35177239.719999999</v>
      </c>
      <c r="C35" s="55">
        <v>80346121.299999997</v>
      </c>
    </row>
    <row r="36" spans="1:3" x14ac:dyDescent="0.25">
      <c r="A36" s="54" t="s">
        <v>422</v>
      </c>
      <c r="B36" s="55">
        <v>15694.38</v>
      </c>
      <c r="C36" s="55">
        <v>22671.91</v>
      </c>
    </row>
    <row r="37" spans="1:3" x14ac:dyDescent="0.25">
      <c r="A37" s="54" t="s">
        <v>424</v>
      </c>
      <c r="B37" s="55">
        <v>47071.75</v>
      </c>
      <c r="C37" s="55">
        <v>64841.4</v>
      </c>
    </row>
    <row r="38" spans="1:3" x14ac:dyDescent="0.25">
      <c r="A38" s="54" t="s">
        <v>426</v>
      </c>
      <c r="B38" s="55">
        <v>801686.68</v>
      </c>
      <c r="C38" s="55">
        <v>3311104.18</v>
      </c>
    </row>
    <row r="39" spans="1:3" x14ac:dyDescent="0.25">
      <c r="A39" s="54" t="s">
        <v>428</v>
      </c>
      <c r="B39" s="55" t="s">
        <v>30</v>
      </c>
      <c r="C39" s="55" t="s">
        <v>30</v>
      </c>
    </row>
    <row r="40" spans="1:3" x14ac:dyDescent="0.25">
      <c r="A40" s="54" t="s">
        <v>267</v>
      </c>
      <c r="B40" s="55">
        <v>7101833.7400000002</v>
      </c>
      <c r="C40" s="55">
        <v>10266781.74</v>
      </c>
    </row>
    <row r="41" spans="1:3" x14ac:dyDescent="0.25">
      <c r="A41" s="54" t="s">
        <v>290</v>
      </c>
      <c r="B41" s="55">
        <v>697272.39</v>
      </c>
      <c r="C41" s="55">
        <v>2427984.7599999998</v>
      </c>
    </row>
    <row r="42" spans="1:3" x14ac:dyDescent="0.25">
      <c r="A42" s="54" t="s">
        <v>373</v>
      </c>
      <c r="B42" s="55">
        <v>52851943.920000002</v>
      </c>
      <c r="C42" s="55">
        <v>52939431.5</v>
      </c>
    </row>
    <row r="43" spans="1:3" x14ac:dyDescent="0.25">
      <c r="A43" s="54" t="s">
        <v>309</v>
      </c>
      <c r="B43" s="55">
        <v>80265.63</v>
      </c>
      <c r="C43" s="55">
        <v>106210.8</v>
      </c>
    </row>
    <row r="44" spans="1:3" x14ac:dyDescent="0.25">
      <c r="A44" s="54" t="s">
        <v>409</v>
      </c>
      <c r="B44" s="55">
        <v>57849718.960000001</v>
      </c>
      <c r="C44" s="55">
        <v>86125004.439999998</v>
      </c>
    </row>
    <row r="45" spans="1:3" x14ac:dyDescent="0.25">
      <c r="A45" s="54" t="s">
        <v>317</v>
      </c>
      <c r="B45" s="55" t="s">
        <v>30</v>
      </c>
      <c r="C45" s="55" t="s">
        <v>30</v>
      </c>
    </row>
    <row r="46" spans="1:3" x14ac:dyDescent="0.25">
      <c r="A46" s="54" t="s">
        <v>1</v>
      </c>
      <c r="B46" s="55"/>
      <c r="C46" s="55"/>
    </row>
    <row r="47" spans="1:3" x14ac:dyDescent="0.25">
      <c r="A47" s="54" t="s">
        <v>3</v>
      </c>
      <c r="B47" s="55">
        <v>3831327292.21</v>
      </c>
      <c r="C47" s="55">
        <v>4331263342.9899998</v>
      </c>
    </row>
    <row r="48" spans="1:3" x14ac:dyDescent="0.25">
      <c r="A48" s="54" t="s">
        <v>282</v>
      </c>
      <c r="B48" s="55">
        <v>53977947.439999998</v>
      </c>
      <c r="C48" s="55">
        <v>32238022.66</v>
      </c>
    </row>
    <row r="49" spans="1:3" x14ac:dyDescent="0.25">
      <c r="A49" s="54" t="s">
        <v>285</v>
      </c>
      <c r="B49" s="55">
        <v>1325912405.27</v>
      </c>
      <c r="C49" s="55">
        <v>1064332655.55</v>
      </c>
    </row>
    <row r="50" spans="1:3" x14ac:dyDescent="0.25">
      <c r="A50" s="54" t="s">
        <v>293</v>
      </c>
      <c r="B50" s="55">
        <v>40392440.630000003</v>
      </c>
      <c r="C50" s="55">
        <v>34412678.369999997</v>
      </c>
    </row>
    <row r="51" spans="1:3" x14ac:dyDescent="0.25">
      <c r="A51" s="54" t="s">
        <v>298</v>
      </c>
      <c r="B51" s="55">
        <v>144700957.96000001</v>
      </c>
      <c r="C51" s="55">
        <v>201892994.28</v>
      </c>
    </row>
    <row r="52" spans="1:3" x14ac:dyDescent="0.25">
      <c r="A52" s="54" t="s">
        <v>302</v>
      </c>
      <c r="B52" s="55">
        <v>7289754.96</v>
      </c>
      <c r="C52" s="55">
        <v>5853702.1299999999</v>
      </c>
    </row>
    <row r="53" spans="1:3" x14ac:dyDescent="0.25">
      <c r="A53" s="54" t="s">
        <v>442</v>
      </c>
      <c r="B53" s="55">
        <v>49100674.240000002</v>
      </c>
      <c r="C53" s="55">
        <v>95034156.510000005</v>
      </c>
    </row>
    <row r="54" spans="1:3" x14ac:dyDescent="0.25">
      <c r="A54" s="54" t="s">
        <v>296</v>
      </c>
      <c r="B54" s="55">
        <v>604213713.14999998</v>
      </c>
      <c r="C54" s="55">
        <v>735478214.63999999</v>
      </c>
    </row>
    <row r="55" spans="1:3" x14ac:dyDescent="0.25">
      <c r="A55" s="54" t="s">
        <v>311</v>
      </c>
      <c r="B55" s="55">
        <v>97984911.930000007</v>
      </c>
      <c r="C55" s="55">
        <v>99253494.620000005</v>
      </c>
    </row>
    <row r="56" spans="1:3" x14ac:dyDescent="0.25">
      <c r="A56" s="54" t="s">
        <v>312</v>
      </c>
      <c r="B56" s="55">
        <v>155417927.44</v>
      </c>
      <c r="C56" s="55">
        <v>283208253.29000002</v>
      </c>
    </row>
    <row r="57" spans="1:3" x14ac:dyDescent="0.25">
      <c r="A57" s="54" t="s">
        <v>314</v>
      </c>
      <c r="B57" s="55">
        <v>2122076.31</v>
      </c>
      <c r="C57" s="55">
        <v>1630280.21</v>
      </c>
    </row>
    <row r="58" spans="1:3" x14ac:dyDescent="0.25">
      <c r="A58" s="54" t="s">
        <v>432</v>
      </c>
      <c r="B58" s="55">
        <v>151947749.61000001</v>
      </c>
      <c r="C58" s="55">
        <v>59688713.560000002</v>
      </c>
    </row>
    <row r="59" spans="1:3" x14ac:dyDescent="0.25">
      <c r="A59" s="54" t="s">
        <v>328</v>
      </c>
      <c r="B59" s="55">
        <v>35242794.25</v>
      </c>
      <c r="C59" s="55">
        <v>30934954.140000001</v>
      </c>
    </row>
    <row r="60" spans="1:3" x14ac:dyDescent="0.25">
      <c r="A60" s="54" t="s">
        <v>332</v>
      </c>
      <c r="B60" s="55">
        <v>1925316.84</v>
      </c>
      <c r="C60" s="55">
        <v>1090055.7</v>
      </c>
    </row>
    <row r="61" spans="1:3" x14ac:dyDescent="0.25">
      <c r="A61" s="54" t="s">
        <v>333</v>
      </c>
      <c r="B61" s="55" t="s">
        <v>30</v>
      </c>
      <c r="C61" s="55" t="s">
        <v>30</v>
      </c>
    </row>
    <row r="62" spans="1:3" x14ac:dyDescent="0.25">
      <c r="A62" s="54" t="s">
        <v>334</v>
      </c>
      <c r="B62" s="55">
        <v>4630455.78</v>
      </c>
      <c r="C62" s="55">
        <v>3729074.23</v>
      </c>
    </row>
    <row r="63" spans="1:3" x14ac:dyDescent="0.25">
      <c r="A63" s="54" t="s">
        <v>345</v>
      </c>
      <c r="B63" s="55">
        <v>16086975.18</v>
      </c>
      <c r="C63" s="55">
        <v>19902666.039999999</v>
      </c>
    </row>
    <row r="64" spans="1:3" x14ac:dyDescent="0.25">
      <c r="A64" s="54" t="s">
        <v>368</v>
      </c>
      <c r="B64" s="55">
        <v>191672286.19</v>
      </c>
      <c r="C64" s="55">
        <v>148495906.90000001</v>
      </c>
    </row>
    <row r="65" spans="1:3" x14ac:dyDescent="0.25">
      <c r="A65" s="54" t="s">
        <v>380</v>
      </c>
      <c r="B65" s="55">
        <v>3466094.11</v>
      </c>
      <c r="C65" s="55">
        <v>682343.91</v>
      </c>
    </row>
    <row r="66" spans="1:3" x14ac:dyDescent="0.25">
      <c r="A66" s="54" t="s">
        <v>387</v>
      </c>
      <c r="B66" s="55">
        <v>8106835.0899999999</v>
      </c>
      <c r="C66" s="55">
        <v>7586783.2000000002</v>
      </c>
    </row>
    <row r="67" spans="1:3" x14ac:dyDescent="0.25">
      <c r="A67" s="54" t="s">
        <v>389</v>
      </c>
      <c r="B67" s="55">
        <v>150134447.08000001</v>
      </c>
      <c r="C67" s="55">
        <v>151702562.88</v>
      </c>
    </row>
    <row r="68" spans="1:3" x14ac:dyDescent="0.25">
      <c r="A68" s="54" t="s">
        <v>390</v>
      </c>
      <c r="B68" s="55">
        <v>477677868.27999997</v>
      </c>
      <c r="C68" s="55">
        <v>783683871.54999995</v>
      </c>
    </row>
    <row r="69" spans="1:3" x14ac:dyDescent="0.25">
      <c r="A69" s="54" t="s">
        <v>394</v>
      </c>
      <c r="B69" s="55">
        <v>17118149.940000001</v>
      </c>
      <c r="C69" s="55">
        <v>44863968.909999996</v>
      </c>
    </row>
    <row r="70" spans="1:3" x14ac:dyDescent="0.25">
      <c r="A70" s="54" t="s">
        <v>425</v>
      </c>
      <c r="B70" s="55">
        <v>52505.69</v>
      </c>
      <c r="C70" s="55">
        <v>70665.78</v>
      </c>
    </row>
    <row r="71" spans="1:3" x14ac:dyDescent="0.25">
      <c r="A71" s="54" t="s">
        <v>433</v>
      </c>
      <c r="B71" s="55">
        <v>193368976.25999999</v>
      </c>
      <c r="C71" s="55">
        <v>399886140.04000002</v>
      </c>
    </row>
    <row r="72" spans="1:3" x14ac:dyDescent="0.25">
      <c r="A72" s="54" t="s">
        <v>435</v>
      </c>
      <c r="B72" s="55">
        <v>98773545.109999999</v>
      </c>
      <c r="C72" s="55">
        <v>125592985.19</v>
      </c>
    </row>
    <row r="73" spans="1:3" x14ac:dyDescent="0.25">
      <c r="A73" s="54" t="s">
        <v>417</v>
      </c>
      <c r="B73" s="55">
        <v>10483.469999999999</v>
      </c>
      <c r="C73" s="55">
        <v>18198.7</v>
      </c>
    </row>
    <row r="74" spans="1:3" x14ac:dyDescent="0.25">
      <c r="A74" s="54" t="s">
        <v>1</v>
      </c>
      <c r="B74" s="55"/>
      <c r="C74" s="55"/>
    </row>
    <row r="75" spans="1:3" x14ac:dyDescent="0.25">
      <c r="A75" s="54" t="s">
        <v>4</v>
      </c>
      <c r="B75" s="55">
        <v>4876274224.6999998</v>
      </c>
      <c r="C75" s="55">
        <v>7947230061.96</v>
      </c>
    </row>
    <row r="76" spans="1:3" x14ac:dyDescent="0.25">
      <c r="A76" s="54" t="s">
        <v>400</v>
      </c>
      <c r="B76" s="55">
        <v>201942002.88999999</v>
      </c>
      <c r="C76" s="55">
        <v>430205618.23000002</v>
      </c>
    </row>
    <row r="77" spans="1:3" x14ac:dyDescent="0.25">
      <c r="A77" s="54" t="s">
        <v>275</v>
      </c>
      <c r="B77" s="55">
        <v>467878.83</v>
      </c>
      <c r="C77" s="55">
        <v>118832.58</v>
      </c>
    </row>
    <row r="78" spans="1:3" x14ac:dyDescent="0.25">
      <c r="A78" s="54" t="s">
        <v>374</v>
      </c>
      <c r="B78" s="55">
        <v>8848468.7599999998</v>
      </c>
      <c r="C78" s="55">
        <v>19087374</v>
      </c>
    </row>
    <row r="79" spans="1:3" x14ac:dyDescent="0.25">
      <c r="A79" s="54" t="s">
        <v>291</v>
      </c>
      <c r="B79" s="55">
        <v>1560855.86</v>
      </c>
      <c r="C79" s="55">
        <v>333697.58</v>
      </c>
    </row>
    <row r="80" spans="1:3" x14ac:dyDescent="0.25">
      <c r="A80" s="54" t="s">
        <v>350</v>
      </c>
      <c r="B80" s="55">
        <v>175278859.59</v>
      </c>
      <c r="C80" s="55">
        <v>357180656.27999997</v>
      </c>
    </row>
    <row r="81" spans="1:3" x14ac:dyDescent="0.25">
      <c r="A81" s="54" t="s">
        <v>297</v>
      </c>
      <c r="B81" s="55">
        <v>989758927.40999997</v>
      </c>
      <c r="C81" s="55">
        <v>942733544.63999999</v>
      </c>
    </row>
    <row r="82" spans="1:3" x14ac:dyDescent="0.25">
      <c r="A82" s="54" t="s">
        <v>391</v>
      </c>
      <c r="B82" s="55">
        <v>153640090.19</v>
      </c>
      <c r="C82" s="55">
        <v>326304938.14999998</v>
      </c>
    </row>
    <row r="83" spans="1:3" x14ac:dyDescent="0.25">
      <c r="A83" s="54" t="s">
        <v>421</v>
      </c>
      <c r="B83" s="55">
        <v>23651860.48</v>
      </c>
      <c r="C83" s="55">
        <v>26003020.829999998</v>
      </c>
    </row>
    <row r="84" spans="1:3" x14ac:dyDescent="0.25">
      <c r="A84" s="54" t="s">
        <v>338</v>
      </c>
      <c r="B84" s="55">
        <v>833671982.10000002</v>
      </c>
      <c r="C84" s="55">
        <v>791599758.90999997</v>
      </c>
    </row>
    <row r="85" spans="1:3" x14ac:dyDescent="0.25">
      <c r="A85" s="54" t="s">
        <v>339</v>
      </c>
      <c r="B85" s="55">
        <v>483733842.08999997</v>
      </c>
      <c r="C85" s="55">
        <v>982758976.58000004</v>
      </c>
    </row>
    <row r="86" spans="1:3" x14ac:dyDescent="0.25">
      <c r="A86" s="54" t="s">
        <v>341</v>
      </c>
      <c r="B86" s="55">
        <v>31003829.710000001</v>
      </c>
      <c r="C86" s="55">
        <v>65973442.149999999</v>
      </c>
    </row>
    <row r="87" spans="1:3" x14ac:dyDescent="0.25">
      <c r="A87" s="54" t="s">
        <v>340</v>
      </c>
      <c r="B87" s="55" t="s">
        <v>30</v>
      </c>
      <c r="C87" s="55" t="s">
        <v>30</v>
      </c>
    </row>
    <row r="88" spans="1:3" x14ac:dyDescent="0.25">
      <c r="A88" s="54" t="s">
        <v>343</v>
      </c>
      <c r="B88" s="55">
        <v>76507757.709999993</v>
      </c>
      <c r="C88" s="55">
        <v>69779995.459999993</v>
      </c>
    </row>
    <row r="89" spans="1:3" x14ac:dyDescent="0.25">
      <c r="A89" s="54" t="s">
        <v>346</v>
      </c>
      <c r="B89" s="55">
        <v>32622614.079999998</v>
      </c>
      <c r="C89" s="55">
        <v>94177433.450000003</v>
      </c>
    </row>
    <row r="90" spans="1:3" x14ac:dyDescent="0.25">
      <c r="A90" s="54" t="s">
        <v>347</v>
      </c>
      <c r="B90" s="55">
        <v>150554082.47</v>
      </c>
      <c r="C90" s="55">
        <v>322366610.19999999</v>
      </c>
    </row>
    <row r="91" spans="1:3" x14ac:dyDescent="0.25">
      <c r="A91" s="54" t="s">
        <v>395</v>
      </c>
      <c r="B91" s="55">
        <v>3649075.57</v>
      </c>
      <c r="C91" s="55">
        <v>7619698.04</v>
      </c>
    </row>
    <row r="92" spans="1:3" x14ac:dyDescent="0.25">
      <c r="A92" s="54" t="s">
        <v>351</v>
      </c>
      <c r="B92" s="55">
        <v>4608788.4800000004</v>
      </c>
      <c r="C92" s="55">
        <v>13153666.109999999</v>
      </c>
    </row>
    <row r="93" spans="1:3" x14ac:dyDescent="0.25">
      <c r="A93" s="54" t="s">
        <v>353</v>
      </c>
      <c r="B93" s="55">
        <v>51089566.920000002</v>
      </c>
      <c r="C93" s="55">
        <v>107170592.72</v>
      </c>
    </row>
    <row r="94" spans="1:3" x14ac:dyDescent="0.25">
      <c r="A94" s="54" t="s">
        <v>362</v>
      </c>
      <c r="B94" s="55">
        <v>456934830.27999997</v>
      </c>
      <c r="C94" s="55">
        <v>1024375917.8</v>
      </c>
    </row>
    <row r="95" spans="1:3" x14ac:dyDescent="0.25">
      <c r="A95" s="54" t="s">
        <v>385</v>
      </c>
      <c r="B95" s="55">
        <v>44568469.579999998</v>
      </c>
      <c r="C95" s="55">
        <v>95446411.579999998</v>
      </c>
    </row>
    <row r="96" spans="1:3" x14ac:dyDescent="0.25">
      <c r="A96" s="54" t="s">
        <v>370</v>
      </c>
      <c r="B96" s="55">
        <v>1685712.82</v>
      </c>
      <c r="C96" s="55">
        <v>366289.83</v>
      </c>
    </row>
    <row r="97" spans="1:3" x14ac:dyDescent="0.25">
      <c r="A97" s="54" t="s">
        <v>376</v>
      </c>
      <c r="B97" s="55">
        <v>255640.12</v>
      </c>
      <c r="C97" s="55">
        <v>418425.56</v>
      </c>
    </row>
    <row r="98" spans="1:3" x14ac:dyDescent="0.25">
      <c r="A98" s="54" t="s">
        <v>430</v>
      </c>
      <c r="B98" s="55">
        <v>29861602.690000001</v>
      </c>
      <c r="C98" s="55">
        <v>65563884.539999999</v>
      </c>
    </row>
    <row r="99" spans="1:3" x14ac:dyDescent="0.25">
      <c r="A99" s="54" t="s">
        <v>386</v>
      </c>
      <c r="B99" s="55">
        <v>9169724.3499999996</v>
      </c>
      <c r="C99" s="55">
        <v>8176631.2400000002</v>
      </c>
    </row>
    <row r="100" spans="1:3" x14ac:dyDescent="0.25">
      <c r="A100" s="54" t="s">
        <v>405</v>
      </c>
      <c r="B100" s="55">
        <v>1188469.6100000001</v>
      </c>
      <c r="C100" s="55">
        <v>1070312.93</v>
      </c>
    </row>
    <row r="101" spans="1:3" x14ac:dyDescent="0.25">
      <c r="A101" s="54" t="s">
        <v>420</v>
      </c>
      <c r="B101" s="55" t="s">
        <v>30</v>
      </c>
      <c r="C101" s="55" t="s">
        <v>30</v>
      </c>
    </row>
    <row r="102" spans="1:3" x14ac:dyDescent="0.25">
      <c r="A102" s="54" t="s">
        <v>423</v>
      </c>
      <c r="B102" s="55">
        <v>75585884.840000004</v>
      </c>
      <c r="C102" s="55">
        <v>56199361.920000002</v>
      </c>
    </row>
    <row r="103" spans="1:3" x14ac:dyDescent="0.25">
      <c r="A103" s="54" t="s">
        <v>436</v>
      </c>
      <c r="B103" s="55">
        <v>707072082.64999998</v>
      </c>
      <c r="C103" s="55">
        <v>1569328999.9000001</v>
      </c>
    </row>
    <row r="104" spans="1:3" x14ac:dyDescent="0.25">
      <c r="A104" s="54" t="s">
        <v>335</v>
      </c>
      <c r="B104" s="55">
        <v>7220988.6600000001</v>
      </c>
      <c r="C104" s="55">
        <v>2988974.95</v>
      </c>
    </row>
    <row r="105" spans="1:3" x14ac:dyDescent="0.25">
      <c r="A105" s="54" t="s">
        <v>276</v>
      </c>
      <c r="B105" s="55">
        <v>203125915.33000001</v>
      </c>
      <c r="C105" s="55">
        <v>298121418.48000002</v>
      </c>
    </row>
    <row r="106" spans="1:3" x14ac:dyDescent="0.25">
      <c r="A106" s="54" t="s">
        <v>286</v>
      </c>
      <c r="B106" s="55">
        <v>614654.11</v>
      </c>
      <c r="C106" s="55">
        <v>2513458.04</v>
      </c>
    </row>
    <row r="107" spans="1:3" x14ac:dyDescent="0.25">
      <c r="A107" s="54" t="s">
        <v>437</v>
      </c>
      <c r="B107" s="55">
        <v>90222111.090000004</v>
      </c>
      <c r="C107" s="55">
        <v>212618614.80000001</v>
      </c>
    </row>
    <row r="108" spans="1:3" x14ac:dyDescent="0.25">
      <c r="A108" s="54" t="s">
        <v>269</v>
      </c>
      <c r="B108" s="55" t="s">
        <v>30</v>
      </c>
      <c r="C108" s="55" t="s">
        <v>30</v>
      </c>
    </row>
    <row r="109" spans="1:3" x14ac:dyDescent="0.25">
      <c r="A109" s="54" t="s">
        <v>273</v>
      </c>
      <c r="B109" s="55">
        <v>15667.51</v>
      </c>
      <c r="C109" s="55">
        <v>9721.6200000000008</v>
      </c>
    </row>
    <row r="110" spans="1:3" x14ac:dyDescent="0.25">
      <c r="A110" s="54" t="s">
        <v>323</v>
      </c>
      <c r="B110" s="55">
        <v>26060590.420000002</v>
      </c>
      <c r="C110" s="55">
        <v>53403070.350000001</v>
      </c>
    </row>
    <row r="111" spans="1:3" x14ac:dyDescent="0.25">
      <c r="A111" s="54" t="s">
        <v>348</v>
      </c>
      <c r="B111" s="55">
        <v>101397.5</v>
      </c>
      <c r="C111" s="55">
        <v>60712.51</v>
      </c>
    </row>
    <row r="112" spans="1:3" x14ac:dyDescent="0.25">
      <c r="A112" s="54" t="s">
        <v>1</v>
      </c>
      <c r="B112" s="55"/>
      <c r="C112" s="55"/>
    </row>
    <row r="113" spans="1:3" x14ac:dyDescent="0.25">
      <c r="A113" s="54" t="s">
        <v>5</v>
      </c>
      <c r="B113" s="55">
        <v>1666063959.9300001</v>
      </c>
      <c r="C113" s="55">
        <v>2877132088.71</v>
      </c>
    </row>
    <row r="114" spans="1:3" x14ac:dyDescent="0.25">
      <c r="A114" s="54" t="s">
        <v>264</v>
      </c>
      <c r="B114" s="55">
        <v>25652.84</v>
      </c>
      <c r="C114" s="55">
        <v>29690.91</v>
      </c>
    </row>
    <row r="115" spans="1:3" x14ac:dyDescent="0.25">
      <c r="A115" s="54" t="s">
        <v>272</v>
      </c>
      <c r="B115" s="55">
        <v>1382520.03</v>
      </c>
      <c r="C115" s="55">
        <v>57074.14</v>
      </c>
    </row>
    <row r="116" spans="1:3" x14ac:dyDescent="0.25">
      <c r="A116" s="54" t="s">
        <v>279</v>
      </c>
      <c r="B116" s="55">
        <v>15714591.880000001</v>
      </c>
      <c r="C116" s="55">
        <v>17315174.219999999</v>
      </c>
    </row>
    <row r="117" spans="1:3" x14ac:dyDescent="0.25">
      <c r="A117" s="54" t="s">
        <v>287</v>
      </c>
      <c r="B117" s="55">
        <v>4528948.18</v>
      </c>
      <c r="C117" s="55">
        <v>689255.12</v>
      </c>
    </row>
    <row r="118" spans="1:3" x14ac:dyDescent="0.25">
      <c r="A118" s="54" t="s">
        <v>308</v>
      </c>
      <c r="B118" s="55">
        <v>247120.84</v>
      </c>
      <c r="C118" s="55">
        <v>322062.32</v>
      </c>
    </row>
    <row r="119" spans="1:3" x14ac:dyDescent="0.25">
      <c r="A119" s="54" t="s">
        <v>411</v>
      </c>
      <c r="B119" s="55">
        <v>224123568.50999999</v>
      </c>
      <c r="C119" s="55">
        <v>418837604.73000002</v>
      </c>
    </row>
    <row r="120" spans="1:3" x14ac:dyDescent="0.25">
      <c r="A120" s="54" t="s">
        <v>319</v>
      </c>
      <c r="B120" s="55">
        <v>773661.44</v>
      </c>
      <c r="C120" s="55">
        <v>520808.16</v>
      </c>
    </row>
    <row r="121" spans="1:3" x14ac:dyDescent="0.25">
      <c r="A121" s="54" t="s">
        <v>320</v>
      </c>
      <c r="B121" s="55">
        <v>27028100.66</v>
      </c>
      <c r="C121" s="55">
        <v>48522440.490000002</v>
      </c>
    </row>
    <row r="122" spans="1:3" x14ac:dyDescent="0.25">
      <c r="A122" s="54" t="s">
        <v>326</v>
      </c>
      <c r="B122" s="55">
        <v>119206023.51000001</v>
      </c>
      <c r="C122" s="55">
        <v>241345426.09999999</v>
      </c>
    </row>
    <row r="123" spans="1:3" x14ac:dyDescent="0.25">
      <c r="A123" s="54" t="s">
        <v>336</v>
      </c>
      <c r="B123" s="55">
        <v>375504.7</v>
      </c>
      <c r="C123" s="55">
        <v>329124.40999999997</v>
      </c>
    </row>
    <row r="124" spans="1:3" x14ac:dyDescent="0.25">
      <c r="A124" s="54" t="s">
        <v>342</v>
      </c>
      <c r="B124" s="55">
        <v>151629735.15000001</v>
      </c>
      <c r="C124" s="55">
        <v>428450394.42000002</v>
      </c>
    </row>
    <row r="125" spans="1:3" x14ac:dyDescent="0.25">
      <c r="A125" s="54" t="s">
        <v>344</v>
      </c>
      <c r="B125" s="55">
        <v>194763175.18000001</v>
      </c>
      <c r="C125" s="55">
        <v>370008156.12</v>
      </c>
    </row>
    <row r="126" spans="1:3" x14ac:dyDescent="0.25">
      <c r="A126" s="54" t="s">
        <v>384</v>
      </c>
      <c r="B126" s="55">
        <v>77585.070000000007</v>
      </c>
      <c r="C126" s="55">
        <v>67372.02</v>
      </c>
    </row>
    <row r="127" spans="1:3" x14ac:dyDescent="0.25">
      <c r="A127" s="54" t="s">
        <v>378</v>
      </c>
      <c r="B127" s="55">
        <v>380296259.63</v>
      </c>
      <c r="C127" s="55">
        <v>500641715.64999998</v>
      </c>
    </row>
    <row r="128" spans="1:3" x14ac:dyDescent="0.25">
      <c r="A128" s="54" t="s">
        <v>392</v>
      </c>
      <c r="B128" s="55">
        <v>68367397.349999994</v>
      </c>
      <c r="C128" s="55">
        <v>138024999.15000001</v>
      </c>
    </row>
    <row r="129" spans="1:3" x14ac:dyDescent="0.25">
      <c r="A129" s="54" t="s">
        <v>393</v>
      </c>
      <c r="B129" s="55">
        <v>6500454.1200000001</v>
      </c>
      <c r="C129" s="55">
        <v>13627947.810000001</v>
      </c>
    </row>
    <row r="130" spans="1:3" x14ac:dyDescent="0.25">
      <c r="A130" s="54" t="s">
        <v>431</v>
      </c>
      <c r="B130" s="55">
        <v>68444037.650000006</v>
      </c>
      <c r="C130" s="55">
        <v>161906191.88</v>
      </c>
    </row>
    <row r="131" spans="1:3" x14ac:dyDescent="0.25">
      <c r="A131" s="54" t="s">
        <v>396</v>
      </c>
      <c r="B131" s="55">
        <v>206245.36</v>
      </c>
      <c r="C131" s="55">
        <v>194511.93</v>
      </c>
    </row>
    <row r="132" spans="1:3" x14ac:dyDescent="0.25">
      <c r="A132" s="54" t="s">
        <v>418</v>
      </c>
      <c r="B132" s="55">
        <v>4411159.18</v>
      </c>
      <c r="C132" s="55">
        <v>131537.67000000001</v>
      </c>
    </row>
    <row r="133" spans="1:3" x14ac:dyDescent="0.25">
      <c r="A133" s="54" t="s">
        <v>419</v>
      </c>
      <c r="B133" s="55">
        <v>2855713.93</v>
      </c>
      <c r="C133" s="55">
        <v>388000.91</v>
      </c>
    </row>
    <row r="134" spans="1:3" x14ac:dyDescent="0.25">
      <c r="A134" s="54" t="s">
        <v>306</v>
      </c>
      <c r="B134" s="55">
        <v>28117335.91</v>
      </c>
      <c r="C134" s="55">
        <v>57070338.590000004</v>
      </c>
    </row>
    <row r="135" spans="1:3" x14ac:dyDescent="0.25">
      <c r="A135" s="54" t="s">
        <v>427</v>
      </c>
      <c r="B135" s="55">
        <v>227705448.61000001</v>
      </c>
      <c r="C135" s="55">
        <v>456550496.94</v>
      </c>
    </row>
    <row r="136" spans="1:3" x14ac:dyDescent="0.25">
      <c r="A136" s="54" t="s">
        <v>324</v>
      </c>
      <c r="B136" s="55">
        <v>110656862.29000001</v>
      </c>
      <c r="C136" s="55">
        <v>11867465.779999999</v>
      </c>
    </row>
    <row r="137" spans="1:3" x14ac:dyDescent="0.25">
      <c r="A137" s="54" t="s">
        <v>278</v>
      </c>
      <c r="B137" s="55">
        <v>150969.79999999999</v>
      </c>
      <c r="C137" s="55">
        <v>71752</v>
      </c>
    </row>
    <row r="138" spans="1:3" x14ac:dyDescent="0.25">
      <c r="A138" s="54" t="s">
        <v>316</v>
      </c>
      <c r="B138" s="55">
        <v>33859.870000000003</v>
      </c>
      <c r="C138" s="55">
        <v>25483.25</v>
      </c>
    </row>
    <row r="139" spans="1:3" x14ac:dyDescent="0.25">
      <c r="A139" s="54" t="s">
        <v>352</v>
      </c>
      <c r="B139" s="55">
        <v>18260.77</v>
      </c>
      <c r="C139" s="55">
        <v>11757.15</v>
      </c>
    </row>
    <row r="140" spans="1:3" x14ac:dyDescent="0.25">
      <c r="A140" s="54" t="s">
        <v>357</v>
      </c>
      <c r="B140" s="55">
        <v>200957.05</v>
      </c>
      <c r="C140" s="55">
        <v>113852.26</v>
      </c>
    </row>
    <row r="141" spans="1:3" x14ac:dyDescent="0.25">
      <c r="A141" s="54" t="s">
        <v>369</v>
      </c>
      <c r="B141" s="55">
        <v>17439.3</v>
      </c>
      <c r="C141" s="55">
        <v>11092.14</v>
      </c>
    </row>
    <row r="142" spans="1:3" x14ac:dyDescent="0.25">
      <c r="A142" s="54" t="s">
        <v>397</v>
      </c>
      <c r="B142" s="55">
        <v>26722035.539999999</v>
      </c>
      <c r="C142" s="55">
        <v>9314405.9399999995</v>
      </c>
    </row>
    <row r="143" spans="1:3" x14ac:dyDescent="0.25">
      <c r="A143" s="54" t="s">
        <v>429</v>
      </c>
      <c r="B143" s="55">
        <v>93458.1</v>
      </c>
      <c r="C143" s="55">
        <v>22942.79</v>
      </c>
    </row>
    <row r="144" spans="1:3" x14ac:dyDescent="0.25">
      <c r="A144" s="54" t="s">
        <v>283</v>
      </c>
      <c r="B144" s="55">
        <v>25086.47</v>
      </c>
      <c r="C144" s="55">
        <v>36213.599999999999</v>
      </c>
    </row>
    <row r="145" spans="1:3" x14ac:dyDescent="0.25">
      <c r="A145" s="54" t="s">
        <v>304</v>
      </c>
      <c r="B145" s="55">
        <v>142279.25</v>
      </c>
      <c r="C145" s="55">
        <v>123866.2</v>
      </c>
    </row>
    <row r="146" spans="1:3" x14ac:dyDescent="0.25">
      <c r="A146" s="54" t="s">
        <v>406</v>
      </c>
      <c r="B146" s="55">
        <v>14304.46</v>
      </c>
      <c r="C146" s="55">
        <v>7710.88</v>
      </c>
    </row>
    <row r="147" spans="1:3" x14ac:dyDescent="0.25">
      <c r="A147" s="54" t="s">
        <v>407</v>
      </c>
      <c r="B147" s="55">
        <v>8018.45</v>
      </c>
      <c r="C147" s="55">
        <v>5263.06</v>
      </c>
    </row>
    <row r="148" spans="1:3" x14ac:dyDescent="0.25">
      <c r="A148" s="54" t="s">
        <v>383</v>
      </c>
      <c r="B148" s="55">
        <v>64327.21</v>
      </c>
      <c r="C148" s="55">
        <v>76260.36</v>
      </c>
    </row>
    <row r="149" spans="1:3" x14ac:dyDescent="0.25">
      <c r="A149" s="54" t="s">
        <v>307</v>
      </c>
      <c r="B149" s="55">
        <v>1101841.1599999999</v>
      </c>
      <c r="C149" s="55">
        <v>389417.66</v>
      </c>
    </row>
    <row r="150" spans="1:3" x14ac:dyDescent="0.25">
      <c r="A150" s="54" t="s">
        <v>371</v>
      </c>
      <c r="B150" s="55">
        <v>10193.52</v>
      </c>
      <c r="C150" s="55">
        <v>10058.4</v>
      </c>
    </row>
    <row r="151" spans="1:3" x14ac:dyDescent="0.25">
      <c r="A151" s="54" t="s">
        <v>402</v>
      </c>
      <c r="B151" s="55">
        <v>23826.959999999999</v>
      </c>
      <c r="C151" s="55">
        <v>14223.55</v>
      </c>
    </row>
    <row r="152" spans="1:3" x14ac:dyDescent="0.25">
      <c r="A152" s="54" t="s">
        <v>1</v>
      </c>
      <c r="B152" s="55"/>
      <c r="C152" s="55"/>
    </row>
    <row r="153" spans="1:3" x14ac:dyDescent="0.25">
      <c r="A153" s="54" t="s">
        <v>6</v>
      </c>
      <c r="B153" s="55">
        <v>74538295.090000004</v>
      </c>
      <c r="C153" s="55">
        <v>141242792.40000001</v>
      </c>
    </row>
    <row r="154" spans="1:3" x14ac:dyDescent="0.25">
      <c r="A154" s="54" t="s">
        <v>271</v>
      </c>
      <c r="B154" s="55">
        <v>74184649.530000001</v>
      </c>
      <c r="C154" s="55">
        <v>141164513.19</v>
      </c>
    </row>
    <row r="155" spans="1:3" x14ac:dyDescent="0.25">
      <c r="A155" s="54" t="s">
        <v>379</v>
      </c>
      <c r="B155" s="55">
        <v>353645.56</v>
      </c>
      <c r="C155" s="55">
        <v>78279.210000000006</v>
      </c>
    </row>
    <row r="156" spans="1:3" x14ac:dyDescent="0.25">
      <c r="A156" s="54" t="s">
        <v>1</v>
      </c>
      <c r="B156" s="55"/>
      <c r="C156" s="55"/>
    </row>
    <row r="157" spans="1:3" x14ac:dyDescent="0.25">
      <c r="A157" s="54" t="s">
        <v>223</v>
      </c>
      <c r="B157" s="55">
        <v>124061611.09</v>
      </c>
      <c r="C157" s="55">
        <v>117874191.63</v>
      </c>
    </row>
    <row r="158" spans="1:3" x14ac:dyDescent="0.25">
      <c r="A158" s="54" t="s">
        <v>443</v>
      </c>
      <c r="B158" s="55">
        <v>24411292.960000001</v>
      </c>
      <c r="C158" s="55">
        <v>25585957.27</v>
      </c>
    </row>
    <row r="159" spans="1:3" x14ac:dyDescent="0.25">
      <c r="A159" s="54" t="s">
        <v>455</v>
      </c>
      <c r="B159" s="55">
        <v>99650318.129999995</v>
      </c>
      <c r="C159" s="55">
        <v>92288234.359999999</v>
      </c>
    </row>
    <row r="160" spans="1:3" ht="24" customHeight="1" x14ac:dyDescent="0.25">
      <c r="A160" s="62" t="s">
        <v>227</v>
      </c>
      <c r="B160" s="62"/>
      <c r="C160" s="62"/>
    </row>
    <row r="161" spans="1:3" x14ac:dyDescent="0.25">
      <c r="A161" s="56" t="s">
        <v>228</v>
      </c>
      <c r="B161" s="57"/>
      <c r="C161" s="57"/>
    </row>
    <row r="162" spans="1:3" x14ac:dyDescent="0.25">
      <c r="A162" s="58" t="s">
        <v>234</v>
      </c>
      <c r="B162" s="57"/>
      <c r="C162" s="57"/>
    </row>
    <row r="163" spans="1:3" x14ac:dyDescent="0.25">
      <c r="A163" s="56" t="s">
        <v>229</v>
      </c>
      <c r="B163" s="57"/>
      <c r="C163" s="57"/>
    </row>
  </sheetData>
  <mergeCells count="3">
    <mergeCell ref="A1:C2"/>
    <mergeCell ref="B4:C4"/>
    <mergeCell ref="A160:C16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9"/>
  <sheetViews>
    <sheetView workbookViewId="0">
      <selection activeCell="A3" sqref="A3"/>
    </sheetView>
  </sheetViews>
  <sheetFormatPr baseColWidth="10" defaultRowHeight="15" x14ac:dyDescent="0.25"/>
  <cols>
    <col min="1" max="1" width="40.125" style="45" customWidth="1"/>
    <col min="2" max="2" width="16" style="45" bestFit="1" customWidth="1"/>
    <col min="3" max="3" width="14.875" style="45" customWidth="1"/>
    <col min="4" max="16384" width="11" style="45"/>
  </cols>
  <sheetData>
    <row r="1" spans="1:3" x14ac:dyDescent="0.25">
      <c r="A1" s="59" t="s">
        <v>237</v>
      </c>
      <c r="B1" s="59"/>
      <c r="C1" s="59"/>
    </row>
    <row r="2" spans="1:3" x14ac:dyDescent="0.25">
      <c r="A2" s="59"/>
      <c r="B2" s="59"/>
      <c r="C2" s="59"/>
    </row>
    <row r="3" spans="1:3" s="46" customFormat="1" ht="12.75" x14ac:dyDescent="0.2"/>
    <row r="4" spans="1:3" s="48" customFormat="1" ht="12.75" x14ac:dyDescent="0.2">
      <c r="A4" s="47"/>
      <c r="B4" s="60" t="s">
        <v>236</v>
      </c>
      <c r="C4" s="61"/>
    </row>
    <row r="5" spans="1:3" s="48" customFormat="1" ht="12.75" x14ac:dyDescent="0.2">
      <c r="A5" s="49" t="s">
        <v>233</v>
      </c>
      <c r="B5" s="50" t="s">
        <v>224</v>
      </c>
      <c r="C5" s="50" t="s">
        <v>225</v>
      </c>
    </row>
    <row r="6" spans="1:3" s="48" customFormat="1" ht="12.75" x14ac:dyDescent="0.2">
      <c r="A6" s="51"/>
      <c r="B6" s="52" t="s">
        <v>15</v>
      </c>
      <c r="C6" s="52" t="s">
        <v>14</v>
      </c>
    </row>
    <row r="7" spans="1:3" x14ac:dyDescent="0.25">
      <c r="C7" s="53"/>
    </row>
    <row r="8" spans="1:3" x14ac:dyDescent="0.25">
      <c r="A8" s="54" t="s">
        <v>0</v>
      </c>
      <c r="B8" s="55">
        <v>19196644087.98</v>
      </c>
      <c r="C8" s="55">
        <v>28893068451.93</v>
      </c>
    </row>
    <row r="9" spans="1:3" x14ac:dyDescent="0.25">
      <c r="A9" s="54" t="s">
        <v>1</v>
      </c>
      <c r="B9" s="55"/>
      <c r="C9" s="55"/>
    </row>
    <row r="10" spans="1:3" x14ac:dyDescent="0.25">
      <c r="A10" s="54" t="s">
        <v>2</v>
      </c>
      <c r="B10" s="55">
        <v>1755525178.54</v>
      </c>
      <c r="C10" s="55">
        <v>3492081448.73</v>
      </c>
    </row>
    <row r="11" spans="1:3" x14ac:dyDescent="0.25">
      <c r="A11" s="54" t="s">
        <v>288</v>
      </c>
      <c r="B11" s="55">
        <v>2074022.81</v>
      </c>
      <c r="C11" s="55">
        <v>6556734.6200000001</v>
      </c>
    </row>
    <row r="12" spans="1:3" x14ac:dyDescent="0.25">
      <c r="A12" s="54" t="s">
        <v>265</v>
      </c>
      <c r="B12" s="55">
        <v>399033626.87</v>
      </c>
      <c r="C12" s="55">
        <v>691881831.27999997</v>
      </c>
    </row>
    <row r="13" spans="1:3" x14ac:dyDescent="0.25">
      <c r="A13" s="54" t="s">
        <v>289</v>
      </c>
      <c r="B13" s="55" t="s">
        <v>30</v>
      </c>
      <c r="C13" s="55" t="s">
        <v>30</v>
      </c>
    </row>
    <row r="14" spans="1:3" x14ac:dyDescent="0.25">
      <c r="A14" s="54" t="s">
        <v>292</v>
      </c>
      <c r="B14" s="55">
        <v>45463735.039999999</v>
      </c>
      <c r="C14" s="55">
        <v>102998610.48</v>
      </c>
    </row>
    <row r="15" spans="1:3" x14ac:dyDescent="0.25">
      <c r="A15" s="54" t="s">
        <v>301</v>
      </c>
      <c r="B15" s="55">
        <v>15263368.939999999</v>
      </c>
      <c r="C15" s="55">
        <v>41625419.579999998</v>
      </c>
    </row>
    <row r="16" spans="1:3" x14ac:dyDescent="0.25">
      <c r="A16" s="54" t="s">
        <v>300</v>
      </c>
      <c r="B16" s="55">
        <v>7594193.7800000003</v>
      </c>
      <c r="C16" s="55">
        <v>16955103.030000001</v>
      </c>
    </row>
    <row r="17" spans="1:3" x14ac:dyDescent="0.25">
      <c r="A17" s="54" t="s">
        <v>303</v>
      </c>
      <c r="B17" s="55">
        <v>53038316.490000002</v>
      </c>
      <c r="C17" s="55">
        <v>118696675.29000001</v>
      </c>
    </row>
    <row r="18" spans="1:3" x14ac:dyDescent="0.25">
      <c r="A18" s="54" t="s">
        <v>281</v>
      </c>
      <c r="B18" s="55">
        <v>191822.45</v>
      </c>
      <c r="C18" s="55">
        <v>304584.40999999997</v>
      </c>
    </row>
    <row r="19" spans="1:3" x14ac:dyDescent="0.25">
      <c r="A19" s="54" t="s">
        <v>313</v>
      </c>
      <c r="B19" s="55">
        <v>200019078.80000001</v>
      </c>
      <c r="C19" s="55">
        <v>448305443.93000001</v>
      </c>
    </row>
    <row r="20" spans="1:3" x14ac:dyDescent="0.25">
      <c r="A20" s="54" t="s">
        <v>321</v>
      </c>
      <c r="B20" s="55">
        <v>497293.48</v>
      </c>
      <c r="C20" s="55">
        <v>284645.48</v>
      </c>
    </row>
    <row r="21" spans="1:3" x14ac:dyDescent="0.25">
      <c r="A21" s="54" t="s">
        <v>322</v>
      </c>
      <c r="B21" s="55">
        <v>4038342.81</v>
      </c>
      <c r="C21" s="55">
        <v>14075863.25</v>
      </c>
    </row>
    <row r="22" spans="1:3" x14ac:dyDescent="0.25">
      <c r="A22" s="54" t="s">
        <v>325</v>
      </c>
      <c r="B22" s="55">
        <v>44306002.07</v>
      </c>
      <c r="C22" s="55">
        <v>99523046.370000005</v>
      </c>
    </row>
    <row r="23" spans="1:3" x14ac:dyDescent="0.25">
      <c r="A23" s="54" t="s">
        <v>329</v>
      </c>
      <c r="B23" s="55">
        <v>1191080.0900000001</v>
      </c>
      <c r="C23" s="55">
        <v>4052978.4</v>
      </c>
    </row>
    <row r="24" spans="1:3" x14ac:dyDescent="0.25">
      <c r="A24" s="54" t="s">
        <v>330</v>
      </c>
      <c r="B24" s="55">
        <v>123457</v>
      </c>
      <c r="C24" s="55">
        <v>57137.74</v>
      </c>
    </row>
    <row r="25" spans="1:3" x14ac:dyDescent="0.25">
      <c r="A25" s="54" t="s">
        <v>349</v>
      </c>
      <c r="B25" s="55">
        <v>31180683.649999999</v>
      </c>
      <c r="C25" s="55">
        <v>102716870.94</v>
      </c>
    </row>
    <row r="26" spans="1:3" x14ac:dyDescent="0.25">
      <c r="A26" s="54" t="s">
        <v>355</v>
      </c>
      <c r="B26" s="55">
        <v>268489.52</v>
      </c>
      <c r="C26" s="55">
        <v>886154.4</v>
      </c>
    </row>
    <row r="27" spans="1:3" x14ac:dyDescent="0.25">
      <c r="A27" s="54" t="s">
        <v>356</v>
      </c>
      <c r="B27" s="55">
        <v>56977583.119999997</v>
      </c>
      <c r="C27" s="55">
        <v>120087410.40000001</v>
      </c>
    </row>
    <row r="28" spans="1:3" x14ac:dyDescent="0.25">
      <c r="A28" s="54" t="s">
        <v>360</v>
      </c>
      <c r="B28" s="55">
        <v>13081450</v>
      </c>
      <c r="C28" s="55">
        <v>8065000</v>
      </c>
    </row>
    <row r="29" spans="1:3" x14ac:dyDescent="0.25">
      <c r="A29" s="54" t="s">
        <v>361</v>
      </c>
      <c r="B29" s="55">
        <v>2619280.56</v>
      </c>
      <c r="C29" s="55">
        <v>9038580</v>
      </c>
    </row>
    <row r="30" spans="1:3" x14ac:dyDescent="0.25">
      <c r="A30" s="54" t="s">
        <v>364</v>
      </c>
      <c r="B30" s="55">
        <v>6072972.8200000003</v>
      </c>
      <c r="C30" s="55">
        <v>10524066.039999999</v>
      </c>
    </row>
    <row r="31" spans="1:3" x14ac:dyDescent="0.25">
      <c r="A31" s="54" t="s">
        <v>372</v>
      </c>
      <c r="B31" s="55">
        <v>287978623.07999998</v>
      </c>
      <c r="C31" s="55">
        <v>509490668.38</v>
      </c>
    </row>
    <row r="32" spans="1:3" x14ac:dyDescent="0.25">
      <c r="A32" s="54" t="s">
        <v>367</v>
      </c>
      <c r="B32" s="55">
        <v>33424194.25</v>
      </c>
      <c r="C32" s="55">
        <v>43313179.979999997</v>
      </c>
    </row>
    <row r="33" spans="1:3" x14ac:dyDescent="0.25">
      <c r="A33" s="54" t="s">
        <v>366</v>
      </c>
      <c r="B33" s="55">
        <v>24112752.670000002</v>
      </c>
      <c r="C33" s="55">
        <v>83179302.299999997</v>
      </c>
    </row>
    <row r="34" spans="1:3" x14ac:dyDescent="0.25">
      <c r="A34" s="54" t="s">
        <v>381</v>
      </c>
      <c r="B34" s="55">
        <v>32585.1</v>
      </c>
      <c r="C34" s="55">
        <v>52029.599999999999</v>
      </c>
    </row>
    <row r="35" spans="1:3" x14ac:dyDescent="0.25">
      <c r="A35" s="54" t="s">
        <v>382</v>
      </c>
      <c r="B35" s="55">
        <v>65804167.100000001</v>
      </c>
      <c r="C35" s="55">
        <v>176752263.94999999</v>
      </c>
    </row>
    <row r="36" spans="1:3" x14ac:dyDescent="0.25">
      <c r="A36" s="54" t="s">
        <v>398</v>
      </c>
      <c r="B36" s="55" t="s">
        <v>30</v>
      </c>
      <c r="C36" s="55" t="s">
        <v>30</v>
      </c>
    </row>
    <row r="37" spans="1:3" x14ac:dyDescent="0.25">
      <c r="A37" s="54" t="s">
        <v>401</v>
      </c>
      <c r="B37" s="55">
        <v>59949928.25</v>
      </c>
      <c r="C37" s="55">
        <v>132610354.62</v>
      </c>
    </row>
    <row r="38" spans="1:3" x14ac:dyDescent="0.25">
      <c r="A38" s="54" t="s">
        <v>404</v>
      </c>
      <c r="B38" s="55" t="s">
        <v>30</v>
      </c>
      <c r="C38" s="55" t="s">
        <v>30</v>
      </c>
    </row>
    <row r="39" spans="1:3" x14ac:dyDescent="0.25">
      <c r="A39" s="54" t="s">
        <v>422</v>
      </c>
      <c r="B39" s="55">
        <v>12673929.99</v>
      </c>
      <c r="C39" s="55">
        <v>41578065.950000003</v>
      </c>
    </row>
    <row r="40" spans="1:3" x14ac:dyDescent="0.25">
      <c r="A40" s="54" t="s">
        <v>424</v>
      </c>
      <c r="B40" s="55">
        <v>2096692.18</v>
      </c>
      <c r="C40" s="55">
        <v>6974028.5999999996</v>
      </c>
    </row>
    <row r="41" spans="1:3" x14ac:dyDescent="0.25">
      <c r="A41" s="54" t="s">
        <v>426</v>
      </c>
      <c r="B41" s="55">
        <v>71213346.680000007</v>
      </c>
      <c r="C41" s="55">
        <v>154481453.75</v>
      </c>
    </row>
    <row r="42" spans="1:3" x14ac:dyDescent="0.25">
      <c r="A42" s="54" t="s">
        <v>428</v>
      </c>
      <c r="B42" s="55">
        <v>9521993.9900000002</v>
      </c>
      <c r="C42" s="55">
        <v>31628898.300000001</v>
      </c>
    </row>
    <row r="43" spans="1:3" x14ac:dyDescent="0.25">
      <c r="A43" s="54" t="s">
        <v>267</v>
      </c>
      <c r="B43" s="55">
        <v>36248584.469999999</v>
      </c>
      <c r="C43" s="55">
        <v>80453553.310000002</v>
      </c>
    </row>
    <row r="44" spans="1:3" x14ac:dyDescent="0.25">
      <c r="A44" s="54" t="s">
        <v>290</v>
      </c>
      <c r="B44" s="55">
        <v>1787984.7</v>
      </c>
      <c r="C44" s="55">
        <v>6882564.5999999996</v>
      </c>
    </row>
    <row r="45" spans="1:3" x14ac:dyDescent="0.25">
      <c r="A45" s="54" t="s">
        <v>373</v>
      </c>
      <c r="B45" s="55">
        <v>87159866.629999995</v>
      </c>
      <c r="C45" s="55">
        <v>68054905.719999999</v>
      </c>
    </row>
    <row r="46" spans="1:3" x14ac:dyDescent="0.25">
      <c r="A46" s="54" t="s">
        <v>309</v>
      </c>
      <c r="B46" s="55">
        <v>144283.79</v>
      </c>
      <c r="C46" s="55">
        <v>253106.4</v>
      </c>
    </row>
    <row r="47" spans="1:3" x14ac:dyDescent="0.25">
      <c r="A47" s="54" t="s">
        <v>409</v>
      </c>
      <c r="B47" s="55">
        <v>169753917.03999999</v>
      </c>
      <c r="C47" s="55">
        <v>325013284.82999998</v>
      </c>
    </row>
    <row r="48" spans="1:3" x14ac:dyDescent="0.25">
      <c r="A48" s="54" t="s">
        <v>317</v>
      </c>
      <c r="B48" s="55">
        <v>10587528.32</v>
      </c>
      <c r="C48" s="55">
        <v>34727632.799999997</v>
      </c>
    </row>
    <row r="49" spans="1:3" x14ac:dyDescent="0.25">
      <c r="A49" s="54" t="s">
        <v>416</v>
      </c>
      <c r="B49" s="55" t="s">
        <v>30</v>
      </c>
      <c r="C49" s="55" t="s">
        <v>30</v>
      </c>
    </row>
    <row r="50" spans="1:3" x14ac:dyDescent="0.25">
      <c r="A50" s="54" t="s">
        <v>1</v>
      </c>
      <c r="B50" s="55"/>
      <c r="C50" s="55"/>
    </row>
    <row r="51" spans="1:3" x14ac:dyDescent="0.25">
      <c r="A51" s="54" t="s">
        <v>3</v>
      </c>
      <c r="B51" s="55">
        <v>4784253600.6199999</v>
      </c>
      <c r="C51" s="55">
        <v>5754428647.7200003</v>
      </c>
    </row>
    <row r="52" spans="1:3" x14ac:dyDescent="0.25">
      <c r="A52" s="54" t="s">
        <v>282</v>
      </c>
      <c r="B52" s="55">
        <v>75572704.239999995</v>
      </c>
      <c r="C52" s="55">
        <v>64407880.329999998</v>
      </c>
    </row>
    <row r="53" spans="1:3" x14ac:dyDescent="0.25">
      <c r="A53" s="54" t="s">
        <v>285</v>
      </c>
      <c r="B53" s="55">
        <v>1550733126.9400001</v>
      </c>
      <c r="C53" s="55">
        <v>1599344172.55</v>
      </c>
    </row>
    <row r="54" spans="1:3" x14ac:dyDescent="0.25">
      <c r="A54" s="54" t="s">
        <v>293</v>
      </c>
      <c r="B54" s="55">
        <v>36573759.939999998</v>
      </c>
      <c r="C54" s="55">
        <v>26177898</v>
      </c>
    </row>
    <row r="55" spans="1:3" x14ac:dyDescent="0.25">
      <c r="A55" s="54" t="s">
        <v>298</v>
      </c>
      <c r="B55" s="55">
        <v>201210940.75</v>
      </c>
      <c r="C55" s="55">
        <v>298399061.63999999</v>
      </c>
    </row>
    <row r="56" spans="1:3" x14ac:dyDescent="0.25">
      <c r="A56" s="54" t="s">
        <v>302</v>
      </c>
      <c r="B56" s="55">
        <v>14914236.390000001</v>
      </c>
      <c r="C56" s="55">
        <v>10104945.279999999</v>
      </c>
    </row>
    <row r="57" spans="1:3" x14ac:dyDescent="0.25">
      <c r="A57" s="54" t="s">
        <v>442</v>
      </c>
      <c r="B57" s="55">
        <v>48617367.060000002</v>
      </c>
      <c r="C57" s="55">
        <v>111707839.95</v>
      </c>
    </row>
    <row r="58" spans="1:3" x14ac:dyDescent="0.25">
      <c r="A58" s="54" t="s">
        <v>296</v>
      </c>
      <c r="B58" s="55">
        <v>732695075.26999998</v>
      </c>
      <c r="C58" s="55">
        <v>882205493.84000003</v>
      </c>
    </row>
    <row r="59" spans="1:3" x14ac:dyDescent="0.25">
      <c r="A59" s="54" t="s">
        <v>311</v>
      </c>
      <c r="B59" s="55">
        <v>190746543.78999999</v>
      </c>
      <c r="C59" s="55">
        <v>166935450.16999999</v>
      </c>
    </row>
    <row r="60" spans="1:3" x14ac:dyDescent="0.25">
      <c r="A60" s="54" t="s">
        <v>312</v>
      </c>
      <c r="B60" s="55">
        <v>334586512.5</v>
      </c>
      <c r="C60" s="55">
        <v>699453049.79999995</v>
      </c>
    </row>
    <row r="61" spans="1:3" x14ac:dyDescent="0.25">
      <c r="A61" s="54" t="s">
        <v>314</v>
      </c>
      <c r="B61" s="55">
        <v>3696472.46</v>
      </c>
      <c r="C61" s="55">
        <v>2642005.64</v>
      </c>
    </row>
    <row r="62" spans="1:3" x14ac:dyDescent="0.25">
      <c r="A62" s="54" t="s">
        <v>432</v>
      </c>
      <c r="B62" s="55">
        <v>247573861.94</v>
      </c>
      <c r="C62" s="55">
        <v>115856745.13</v>
      </c>
    </row>
    <row r="63" spans="1:3" x14ac:dyDescent="0.25">
      <c r="A63" s="54" t="s">
        <v>328</v>
      </c>
      <c r="B63" s="55">
        <v>48135981.229999997</v>
      </c>
      <c r="C63" s="55">
        <v>33740124.600000001</v>
      </c>
    </row>
    <row r="64" spans="1:3" x14ac:dyDescent="0.25">
      <c r="A64" s="54" t="s">
        <v>332</v>
      </c>
      <c r="B64" s="55">
        <v>2299361.85</v>
      </c>
      <c r="C64" s="55">
        <v>1204037.3600000001</v>
      </c>
    </row>
    <row r="65" spans="1:3" x14ac:dyDescent="0.25">
      <c r="A65" s="54" t="s">
        <v>333</v>
      </c>
      <c r="B65" s="55">
        <v>3767316.48</v>
      </c>
      <c r="C65" s="55">
        <v>12376950</v>
      </c>
    </row>
    <row r="66" spans="1:3" x14ac:dyDescent="0.25">
      <c r="A66" s="54" t="s">
        <v>334</v>
      </c>
      <c r="B66" s="55">
        <v>8036737.1699999999</v>
      </c>
      <c r="C66" s="55">
        <v>11433920.640000001</v>
      </c>
    </row>
    <row r="67" spans="1:3" x14ac:dyDescent="0.25">
      <c r="A67" s="54" t="s">
        <v>345</v>
      </c>
      <c r="B67" s="55">
        <v>19291059.82</v>
      </c>
      <c r="C67" s="55">
        <v>27466798.559999999</v>
      </c>
    </row>
    <row r="68" spans="1:3" x14ac:dyDescent="0.25">
      <c r="A68" s="54" t="s">
        <v>368</v>
      </c>
      <c r="B68" s="55">
        <v>208455831.34999999</v>
      </c>
      <c r="C68" s="55">
        <v>158681686.87</v>
      </c>
    </row>
    <row r="69" spans="1:3" x14ac:dyDescent="0.25">
      <c r="A69" s="54" t="s">
        <v>380</v>
      </c>
      <c r="B69" s="55">
        <v>6325419.8899999997</v>
      </c>
      <c r="C69" s="55">
        <v>3172168.09</v>
      </c>
    </row>
    <row r="70" spans="1:3" x14ac:dyDescent="0.25">
      <c r="A70" s="54" t="s">
        <v>387</v>
      </c>
      <c r="B70" s="55">
        <v>7043385.9299999997</v>
      </c>
      <c r="C70" s="55">
        <v>3630829.59</v>
      </c>
    </row>
    <row r="71" spans="1:3" x14ac:dyDescent="0.25">
      <c r="A71" s="54" t="s">
        <v>389</v>
      </c>
      <c r="B71" s="55">
        <v>171873177.44</v>
      </c>
      <c r="C71" s="55">
        <v>140423061.97</v>
      </c>
    </row>
    <row r="72" spans="1:3" x14ac:dyDescent="0.25">
      <c r="A72" s="54" t="s">
        <v>390</v>
      </c>
      <c r="B72" s="55">
        <v>548575522.28999996</v>
      </c>
      <c r="C72" s="55">
        <v>830182758.74000001</v>
      </c>
    </row>
    <row r="73" spans="1:3" x14ac:dyDescent="0.25">
      <c r="A73" s="54" t="s">
        <v>394</v>
      </c>
      <c r="B73" s="55">
        <v>36987637.960000001</v>
      </c>
      <c r="C73" s="55">
        <v>104277772.06</v>
      </c>
    </row>
    <row r="74" spans="1:3" x14ac:dyDescent="0.25">
      <c r="A74" s="54" t="s">
        <v>425</v>
      </c>
      <c r="B74" s="55">
        <v>109668.71</v>
      </c>
      <c r="C74" s="55">
        <v>101119.41</v>
      </c>
    </row>
    <row r="75" spans="1:3" x14ac:dyDescent="0.25">
      <c r="A75" s="54" t="s">
        <v>433</v>
      </c>
      <c r="B75" s="55">
        <v>200105411.03999999</v>
      </c>
      <c r="C75" s="55">
        <v>350886206.81999999</v>
      </c>
    </row>
    <row r="76" spans="1:3" x14ac:dyDescent="0.25">
      <c r="A76" s="54" t="s">
        <v>435</v>
      </c>
      <c r="B76" s="55">
        <v>85617159.489999995</v>
      </c>
      <c r="C76" s="55">
        <v>99319151.599999994</v>
      </c>
    </row>
    <row r="77" spans="1:3" x14ac:dyDescent="0.25">
      <c r="A77" s="54" t="s">
        <v>417</v>
      </c>
      <c r="B77" s="55">
        <v>709328.69</v>
      </c>
      <c r="C77" s="55">
        <v>297519.08</v>
      </c>
    </row>
    <row r="78" spans="1:3" x14ac:dyDescent="0.25">
      <c r="A78" s="54" t="s">
        <v>305</v>
      </c>
      <c r="B78" s="55" t="s">
        <v>30</v>
      </c>
      <c r="C78" s="55" t="s">
        <v>30</v>
      </c>
    </row>
    <row r="79" spans="1:3" x14ac:dyDescent="0.25">
      <c r="A79" s="54" t="s">
        <v>1</v>
      </c>
      <c r="B79" s="55"/>
      <c r="C79" s="55"/>
    </row>
    <row r="80" spans="1:3" x14ac:dyDescent="0.25">
      <c r="A80" s="54" t="s">
        <v>4</v>
      </c>
      <c r="B80" s="55">
        <v>8096770438.2600002</v>
      </c>
      <c r="C80" s="55">
        <v>12514914087.389999</v>
      </c>
    </row>
    <row r="81" spans="1:3" x14ac:dyDescent="0.25">
      <c r="A81" s="54" t="s">
        <v>400</v>
      </c>
      <c r="B81" s="55">
        <v>274362733.12</v>
      </c>
      <c r="C81" s="55">
        <v>690991071.21000004</v>
      </c>
    </row>
    <row r="82" spans="1:3" x14ac:dyDescent="0.25">
      <c r="A82" s="54" t="s">
        <v>275</v>
      </c>
      <c r="B82" s="55">
        <v>364712.83</v>
      </c>
      <c r="C82" s="55">
        <v>105236.68</v>
      </c>
    </row>
    <row r="83" spans="1:3" x14ac:dyDescent="0.25">
      <c r="A83" s="54" t="s">
        <v>374</v>
      </c>
      <c r="B83" s="55">
        <v>27921121.969999999</v>
      </c>
      <c r="C83" s="55">
        <v>56196294.399999999</v>
      </c>
    </row>
    <row r="84" spans="1:3" x14ac:dyDescent="0.25">
      <c r="A84" s="54" t="s">
        <v>412</v>
      </c>
      <c r="B84" s="55" t="s">
        <v>30</v>
      </c>
      <c r="C84" s="55" t="s">
        <v>30</v>
      </c>
    </row>
    <row r="85" spans="1:3" x14ac:dyDescent="0.25">
      <c r="A85" s="54" t="s">
        <v>350</v>
      </c>
      <c r="B85" s="55">
        <v>275136898.86000001</v>
      </c>
      <c r="C85" s="55">
        <v>656334944.47000003</v>
      </c>
    </row>
    <row r="86" spans="1:3" x14ac:dyDescent="0.25">
      <c r="A86" s="54" t="s">
        <v>297</v>
      </c>
      <c r="B86" s="55">
        <v>1423096991.1300001</v>
      </c>
      <c r="C86" s="55">
        <v>1588131621.54</v>
      </c>
    </row>
    <row r="87" spans="1:3" x14ac:dyDescent="0.25">
      <c r="A87" s="54" t="s">
        <v>391</v>
      </c>
      <c r="B87" s="55">
        <v>298400375.93000001</v>
      </c>
      <c r="C87" s="55">
        <v>620317477.14999998</v>
      </c>
    </row>
    <row r="88" spans="1:3" x14ac:dyDescent="0.25">
      <c r="A88" s="54" t="s">
        <v>421</v>
      </c>
      <c r="B88" s="55">
        <v>61695928.920000002</v>
      </c>
      <c r="C88" s="55">
        <v>145423908.16</v>
      </c>
    </row>
    <row r="89" spans="1:3" x14ac:dyDescent="0.25">
      <c r="A89" s="54" t="s">
        <v>338</v>
      </c>
      <c r="B89" s="55">
        <v>1894903728.51</v>
      </c>
      <c r="C89" s="55">
        <v>1383777196.9400001</v>
      </c>
    </row>
    <row r="90" spans="1:3" x14ac:dyDescent="0.25">
      <c r="A90" s="54" t="s">
        <v>339</v>
      </c>
      <c r="B90" s="55">
        <v>835796416.54999995</v>
      </c>
      <c r="C90" s="55">
        <v>1840107542.98</v>
      </c>
    </row>
    <row r="91" spans="1:3" x14ac:dyDescent="0.25">
      <c r="A91" s="54" t="s">
        <v>341</v>
      </c>
      <c r="B91" s="55">
        <v>95113333.689999998</v>
      </c>
      <c r="C91" s="55">
        <v>120151268.25</v>
      </c>
    </row>
    <row r="92" spans="1:3" x14ac:dyDescent="0.25">
      <c r="A92" s="54" t="s">
        <v>340</v>
      </c>
      <c r="B92" s="55">
        <v>240175397.19</v>
      </c>
      <c r="C92" s="55">
        <v>210531191.77000001</v>
      </c>
    </row>
    <row r="93" spans="1:3" x14ac:dyDescent="0.25">
      <c r="A93" s="54" t="s">
        <v>343</v>
      </c>
      <c r="B93" s="55">
        <v>99882239.329999998</v>
      </c>
      <c r="C93" s="55">
        <v>118899737.93000001</v>
      </c>
    </row>
    <row r="94" spans="1:3" x14ac:dyDescent="0.25">
      <c r="A94" s="54" t="s">
        <v>346</v>
      </c>
      <c r="B94" s="55">
        <v>83800702.689999998</v>
      </c>
      <c r="C94" s="55">
        <v>177425063.03</v>
      </c>
    </row>
    <row r="95" spans="1:3" x14ac:dyDescent="0.25">
      <c r="A95" s="54" t="s">
        <v>347</v>
      </c>
      <c r="B95" s="55">
        <v>119907650.51000001</v>
      </c>
      <c r="C95" s="55">
        <v>267936751.46000001</v>
      </c>
    </row>
    <row r="96" spans="1:3" x14ac:dyDescent="0.25">
      <c r="A96" s="54" t="s">
        <v>395</v>
      </c>
      <c r="B96" s="55">
        <v>2332051.5299999998</v>
      </c>
      <c r="C96" s="55">
        <v>4677119.99</v>
      </c>
    </row>
    <row r="97" spans="1:3" x14ac:dyDescent="0.25">
      <c r="A97" s="54" t="s">
        <v>351</v>
      </c>
      <c r="B97" s="55">
        <v>5888622.3600000003</v>
      </c>
      <c r="C97" s="55">
        <v>17914381.34</v>
      </c>
    </row>
    <row r="98" spans="1:3" x14ac:dyDescent="0.25">
      <c r="A98" s="54" t="s">
        <v>353</v>
      </c>
      <c r="B98" s="55">
        <v>18727125.739999998</v>
      </c>
      <c r="C98" s="55">
        <v>40862640.520000003</v>
      </c>
    </row>
    <row r="99" spans="1:3" x14ac:dyDescent="0.25">
      <c r="A99" s="54" t="s">
        <v>362</v>
      </c>
      <c r="B99" s="55">
        <v>504039371.88</v>
      </c>
      <c r="C99" s="55">
        <v>1160885896.78</v>
      </c>
    </row>
    <row r="100" spans="1:3" x14ac:dyDescent="0.25">
      <c r="A100" s="54" t="s">
        <v>385</v>
      </c>
      <c r="B100" s="55">
        <v>61260125.890000001</v>
      </c>
      <c r="C100" s="55">
        <v>105534842.98</v>
      </c>
    </row>
    <row r="101" spans="1:3" x14ac:dyDescent="0.25">
      <c r="A101" s="54" t="s">
        <v>376</v>
      </c>
      <c r="B101" s="55">
        <v>78511.539999999994</v>
      </c>
      <c r="C101" s="55">
        <v>166963.18</v>
      </c>
    </row>
    <row r="102" spans="1:3" x14ac:dyDescent="0.25">
      <c r="A102" s="54" t="s">
        <v>430</v>
      </c>
      <c r="B102" s="55">
        <v>52013874.18</v>
      </c>
      <c r="C102" s="55">
        <v>101118426.66</v>
      </c>
    </row>
    <row r="103" spans="1:3" x14ac:dyDescent="0.25">
      <c r="A103" s="54" t="s">
        <v>386</v>
      </c>
      <c r="B103" s="55">
        <v>95247198.849999994</v>
      </c>
      <c r="C103" s="55">
        <v>59899373.369999997</v>
      </c>
    </row>
    <row r="104" spans="1:3" x14ac:dyDescent="0.25">
      <c r="A104" s="54" t="s">
        <v>405</v>
      </c>
      <c r="B104" s="55">
        <v>2823589.4</v>
      </c>
      <c r="C104" s="55">
        <v>1515973.53</v>
      </c>
    </row>
    <row r="105" spans="1:3" x14ac:dyDescent="0.25">
      <c r="A105" s="54" t="s">
        <v>420</v>
      </c>
      <c r="B105" s="55">
        <v>3218.54</v>
      </c>
      <c r="C105" s="55">
        <v>2418.0100000000002</v>
      </c>
    </row>
    <row r="106" spans="1:3" x14ac:dyDescent="0.25">
      <c r="A106" s="54" t="s">
        <v>423</v>
      </c>
      <c r="B106" s="55">
        <v>99287848.409999996</v>
      </c>
      <c r="C106" s="55">
        <v>65038767.009999998</v>
      </c>
    </row>
    <row r="107" spans="1:3" x14ac:dyDescent="0.25">
      <c r="A107" s="54" t="s">
        <v>436</v>
      </c>
      <c r="B107" s="55">
        <v>1082515554.76</v>
      </c>
      <c r="C107" s="55">
        <v>2463525278.6799998</v>
      </c>
    </row>
    <row r="108" spans="1:3" x14ac:dyDescent="0.25">
      <c r="A108" s="54" t="s">
        <v>335</v>
      </c>
      <c r="B108" s="55">
        <v>7383830.3799999999</v>
      </c>
      <c r="C108" s="55">
        <v>2134959.62</v>
      </c>
    </row>
    <row r="109" spans="1:3" x14ac:dyDescent="0.25">
      <c r="A109" s="54" t="s">
        <v>276</v>
      </c>
      <c r="B109" s="55">
        <v>373371608.80000001</v>
      </c>
      <c r="C109" s="55">
        <v>470352026</v>
      </c>
    </row>
    <row r="110" spans="1:3" x14ac:dyDescent="0.25">
      <c r="A110" s="54" t="s">
        <v>286</v>
      </c>
      <c r="B110" s="55" t="s">
        <v>30</v>
      </c>
      <c r="C110" s="55" t="s">
        <v>30</v>
      </c>
    </row>
    <row r="111" spans="1:3" x14ac:dyDescent="0.25">
      <c r="A111" s="54" t="s">
        <v>437</v>
      </c>
      <c r="B111" s="55">
        <v>54994354.840000004</v>
      </c>
      <c r="C111" s="55">
        <v>143716166.55000001</v>
      </c>
    </row>
    <row r="112" spans="1:3" x14ac:dyDescent="0.25">
      <c r="A112" s="54" t="s">
        <v>269</v>
      </c>
      <c r="B112" s="55">
        <v>5524476.0300000003</v>
      </c>
      <c r="C112" s="55">
        <v>1078806.6200000001</v>
      </c>
    </row>
    <row r="113" spans="1:3" x14ac:dyDescent="0.25">
      <c r="A113" s="54" t="s">
        <v>273</v>
      </c>
      <c r="B113" s="55" t="s">
        <v>30</v>
      </c>
      <c r="C113" s="55" t="s">
        <v>30</v>
      </c>
    </row>
    <row r="114" spans="1:3" x14ac:dyDescent="0.25">
      <c r="A114" s="54" t="s">
        <v>323</v>
      </c>
      <c r="B114" s="55">
        <v>4500.71</v>
      </c>
      <c r="C114" s="55">
        <v>6298.98</v>
      </c>
    </row>
    <row r="115" spans="1:3" x14ac:dyDescent="0.25">
      <c r="A115" s="54" t="s">
        <v>348</v>
      </c>
      <c r="B115" s="55">
        <v>716343.19</v>
      </c>
      <c r="C115" s="55">
        <v>154441.60000000001</v>
      </c>
    </row>
    <row r="116" spans="1:3" x14ac:dyDescent="0.25">
      <c r="A116" s="54" t="s">
        <v>159</v>
      </c>
      <c r="B116" s="55" t="s">
        <v>30</v>
      </c>
      <c r="C116" s="55" t="s">
        <v>30</v>
      </c>
    </row>
    <row r="117" spans="1:3" x14ac:dyDescent="0.25">
      <c r="A117" s="54" t="s">
        <v>1</v>
      </c>
      <c r="B117" s="55"/>
      <c r="C117" s="55"/>
    </row>
    <row r="118" spans="1:3" x14ac:dyDescent="0.25">
      <c r="A118" s="54" t="s">
        <v>5</v>
      </c>
      <c r="B118" s="55">
        <v>4372858412.04</v>
      </c>
      <c r="C118" s="55">
        <v>6860070768.9099998</v>
      </c>
    </row>
    <row r="119" spans="1:3" x14ac:dyDescent="0.25">
      <c r="A119" s="54" t="s">
        <v>264</v>
      </c>
      <c r="B119" s="55">
        <v>18728.8</v>
      </c>
      <c r="C119" s="55">
        <v>24600.16</v>
      </c>
    </row>
    <row r="120" spans="1:3" x14ac:dyDescent="0.25">
      <c r="A120" s="54" t="s">
        <v>272</v>
      </c>
      <c r="B120" s="55">
        <v>2563079.89</v>
      </c>
      <c r="C120" s="55">
        <v>118283.53</v>
      </c>
    </row>
    <row r="121" spans="1:3" x14ac:dyDescent="0.25">
      <c r="A121" s="54" t="s">
        <v>279</v>
      </c>
      <c r="B121" s="55">
        <v>38328187.07</v>
      </c>
      <c r="C121" s="55">
        <v>49896834.030000001</v>
      </c>
    </row>
    <row r="122" spans="1:3" x14ac:dyDescent="0.25">
      <c r="A122" s="54" t="s">
        <v>287</v>
      </c>
      <c r="B122" s="55">
        <v>2868786.9</v>
      </c>
      <c r="C122" s="55">
        <v>642865.6</v>
      </c>
    </row>
    <row r="123" spans="1:3" x14ac:dyDescent="0.25">
      <c r="A123" s="54" t="s">
        <v>308</v>
      </c>
      <c r="B123" s="55">
        <v>73289537.909999996</v>
      </c>
      <c r="C123" s="55">
        <v>145608316.03</v>
      </c>
    </row>
    <row r="124" spans="1:3" x14ac:dyDescent="0.25">
      <c r="A124" s="54" t="s">
        <v>411</v>
      </c>
      <c r="B124" s="55">
        <v>592370487.67999995</v>
      </c>
      <c r="C124" s="55">
        <v>1173651400.4300001</v>
      </c>
    </row>
    <row r="125" spans="1:3" x14ac:dyDescent="0.25">
      <c r="A125" s="54" t="s">
        <v>319</v>
      </c>
      <c r="B125" s="55">
        <v>31695.25</v>
      </c>
      <c r="C125" s="55">
        <v>33908.559999999998</v>
      </c>
    </row>
    <row r="126" spans="1:3" x14ac:dyDescent="0.25">
      <c r="A126" s="54" t="s">
        <v>320</v>
      </c>
      <c r="B126" s="55">
        <v>126946797.06</v>
      </c>
      <c r="C126" s="55">
        <v>250279540.31999999</v>
      </c>
    </row>
    <row r="127" spans="1:3" x14ac:dyDescent="0.25">
      <c r="A127" s="54" t="s">
        <v>326</v>
      </c>
      <c r="B127" s="55">
        <v>103323065.58</v>
      </c>
      <c r="C127" s="55">
        <v>208516891.19</v>
      </c>
    </row>
    <row r="128" spans="1:3" x14ac:dyDescent="0.25">
      <c r="A128" s="54" t="s">
        <v>336</v>
      </c>
      <c r="B128" s="55">
        <v>218130.47</v>
      </c>
      <c r="C128" s="55">
        <v>271910.49</v>
      </c>
    </row>
    <row r="129" spans="1:3" x14ac:dyDescent="0.25">
      <c r="A129" s="54" t="s">
        <v>342</v>
      </c>
      <c r="B129" s="55">
        <v>194241466.13999999</v>
      </c>
      <c r="C129" s="55">
        <v>500277141.30000001</v>
      </c>
    </row>
    <row r="130" spans="1:3" x14ac:dyDescent="0.25">
      <c r="A130" s="54" t="s">
        <v>344</v>
      </c>
      <c r="B130" s="55">
        <v>434004282.29000002</v>
      </c>
      <c r="C130" s="55">
        <v>886260611.14999998</v>
      </c>
    </row>
    <row r="131" spans="1:3" x14ac:dyDescent="0.25">
      <c r="A131" s="54" t="s">
        <v>365</v>
      </c>
      <c r="B131" s="55" t="s">
        <v>30</v>
      </c>
      <c r="C131" s="55" t="s">
        <v>30</v>
      </c>
    </row>
    <row r="132" spans="1:3" x14ac:dyDescent="0.25">
      <c r="A132" s="54" t="s">
        <v>384</v>
      </c>
      <c r="B132" s="55">
        <v>68643.27</v>
      </c>
      <c r="C132" s="55">
        <v>50360.68</v>
      </c>
    </row>
    <row r="133" spans="1:3" x14ac:dyDescent="0.25">
      <c r="A133" s="54" t="s">
        <v>378</v>
      </c>
      <c r="B133" s="55">
        <v>1508322819.72</v>
      </c>
      <c r="C133" s="55">
        <v>1320119235.4000001</v>
      </c>
    </row>
    <row r="134" spans="1:3" x14ac:dyDescent="0.25">
      <c r="A134" s="54" t="s">
        <v>392</v>
      </c>
      <c r="B134" s="55">
        <v>457875574.48000002</v>
      </c>
      <c r="C134" s="55">
        <v>947151190.34000003</v>
      </c>
    </row>
    <row r="135" spans="1:3" x14ac:dyDescent="0.25">
      <c r="A135" s="54" t="s">
        <v>393</v>
      </c>
      <c r="B135" s="55">
        <v>32909396.300000001</v>
      </c>
      <c r="C135" s="55">
        <v>64572952.100000001</v>
      </c>
    </row>
    <row r="136" spans="1:3" x14ac:dyDescent="0.25">
      <c r="A136" s="54" t="s">
        <v>431</v>
      </c>
      <c r="B136" s="55">
        <v>125961547.91</v>
      </c>
      <c r="C136" s="55">
        <v>272747073.63</v>
      </c>
    </row>
    <row r="137" spans="1:3" x14ac:dyDescent="0.25">
      <c r="A137" s="54" t="s">
        <v>396</v>
      </c>
      <c r="B137" s="55">
        <v>42791982.469999999</v>
      </c>
      <c r="C137" s="55">
        <v>87643069.049999997</v>
      </c>
    </row>
    <row r="138" spans="1:3" x14ac:dyDescent="0.25">
      <c r="A138" s="54" t="s">
        <v>418</v>
      </c>
      <c r="B138" s="55">
        <v>27766.55</v>
      </c>
      <c r="C138" s="55">
        <v>20036.38</v>
      </c>
    </row>
    <row r="139" spans="1:3" x14ac:dyDescent="0.25">
      <c r="A139" s="54" t="s">
        <v>419</v>
      </c>
      <c r="B139" s="55">
        <v>3801910.56</v>
      </c>
      <c r="C139" s="55">
        <v>370454.26</v>
      </c>
    </row>
    <row r="140" spans="1:3" x14ac:dyDescent="0.25">
      <c r="A140" s="54" t="s">
        <v>306</v>
      </c>
      <c r="B140" s="55">
        <v>26965.89</v>
      </c>
      <c r="C140" s="55">
        <v>32932.120000000003</v>
      </c>
    </row>
    <row r="141" spans="1:3" x14ac:dyDescent="0.25">
      <c r="A141" s="54" t="s">
        <v>427</v>
      </c>
      <c r="B141" s="55">
        <v>354937055.94999999</v>
      </c>
      <c r="C141" s="55">
        <v>725349356.15999997</v>
      </c>
    </row>
    <row r="142" spans="1:3" x14ac:dyDescent="0.25">
      <c r="A142" s="54" t="s">
        <v>324</v>
      </c>
      <c r="B142" s="55">
        <v>141540299.19</v>
      </c>
      <c r="C142" s="55">
        <v>56001631.159999996</v>
      </c>
    </row>
    <row r="143" spans="1:3" x14ac:dyDescent="0.25">
      <c r="A143" s="54" t="s">
        <v>278</v>
      </c>
      <c r="B143" s="55">
        <v>6958.23</v>
      </c>
      <c r="C143" s="55">
        <v>5662.06</v>
      </c>
    </row>
    <row r="144" spans="1:3" x14ac:dyDescent="0.25">
      <c r="A144" s="54" t="s">
        <v>316</v>
      </c>
      <c r="B144" s="55">
        <v>1153006.6100000001</v>
      </c>
      <c r="C144" s="55">
        <v>107617.04</v>
      </c>
    </row>
    <row r="145" spans="1:3" x14ac:dyDescent="0.25">
      <c r="A145" s="54" t="s">
        <v>352</v>
      </c>
      <c r="B145" s="55">
        <v>60422582.359999999</v>
      </c>
      <c r="C145" s="55">
        <v>123785101.59999999</v>
      </c>
    </row>
    <row r="146" spans="1:3" x14ac:dyDescent="0.25">
      <c r="A146" s="54" t="s">
        <v>357</v>
      </c>
      <c r="B146" s="55">
        <v>362048.49</v>
      </c>
      <c r="C146" s="55">
        <v>208954.66</v>
      </c>
    </row>
    <row r="147" spans="1:3" x14ac:dyDescent="0.25">
      <c r="A147" s="54" t="s">
        <v>369</v>
      </c>
      <c r="B147" s="55">
        <v>18553.61</v>
      </c>
      <c r="C147" s="55">
        <v>16509.189999999999</v>
      </c>
    </row>
    <row r="148" spans="1:3" x14ac:dyDescent="0.25">
      <c r="A148" s="54" t="s">
        <v>397</v>
      </c>
      <c r="B148" s="55">
        <v>66155342.649999999</v>
      </c>
      <c r="C148" s="55">
        <v>31800508.059999999</v>
      </c>
    </row>
    <row r="149" spans="1:3" x14ac:dyDescent="0.25">
      <c r="A149" s="54" t="s">
        <v>429</v>
      </c>
      <c r="B149" s="55">
        <v>486679.26</v>
      </c>
      <c r="C149" s="55">
        <v>63131.13</v>
      </c>
    </row>
    <row r="150" spans="1:3" x14ac:dyDescent="0.25">
      <c r="A150" s="54" t="s">
        <v>283</v>
      </c>
      <c r="B150" s="55">
        <v>31827.27</v>
      </c>
      <c r="C150" s="55">
        <v>46903.34</v>
      </c>
    </row>
    <row r="151" spans="1:3" x14ac:dyDescent="0.25">
      <c r="A151" s="54" t="s">
        <v>304</v>
      </c>
      <c r="B151" s="55">
        <v>123279.41</v>
      </c>
      <c r="C151" s="55">
        <v>135496.09</v>
      </c>
    </row>
    <row r="152" spans="1:3" x14ac:dyDescent="0.25">
      <c r="A152" s="54" t="s">
        <v>406</v>
      </c>
      <c r="B152" s="55" t="s">
        <v>30</v>
      </c>
      <c r="C152" s="55" t="s">
        <v>30</v>
      </c>
    </row>
    <row r="153" spans="1:3" x14ac:dyDescent="0.25">
      <c r="A153" s="54" t="s">
        <v>407</v>
      </c>
      <c r="B153" s="55">
        <v>6352617.1900000004</v>
      </c>
      <c r="C153" s="55">
        <v>13907193.74</v>
      </c>
    </row>
    <row r="154" spans="1:3" x14ac:dyDescent="0.25">
      <c r="A154" s="54" t="s">
        <v>383</v>
      </c>
      <c r="B154" s="55">
        <v>59616.639999999999</v>
      </c>
      <c r="C154" s="55">
        <v>76372.52</v>
      </c>
    </row>
    <row r="155" spans="1:3" x14ac:dyDescent="0.25">
      <c r="A155" s="54" t="s">
        <v>307</v>
      </c>
      <c r="B155" s="55">
        <v>1084058.08</v>
      </c>
      <c r="C155" s="55">
        <v>198369.4</v>
      </c>
    </row>
    <row r="156" spans="1:3" x14ac:dyDescent="0.25">
      <c r="A156" s="54" t="s">
        <v>371</v>
      </c>
      <c r="B156" s="55">
        <v>19280.38</v>
      </c>
      <c r="C156" s="55">
        <v>20665.240000000002</v>
      </c>
    </row>
    <row r="157" spans="1:3" x14ac:dyDescent="0.25">
      <c r="A157" s="54" t="s">
        <v>402</v>
      </c>
      <c r="B157" s="55">
        <v>114354.53</v>
      </c>
      <c r="C157" s="55">
        <v>57690.77</v>
      </c>
    </row>
    <row r="158" spans="1:3" x14ac:dyDescent="0.25">
      <c r="A158" s="54" t="s">
        <v>1</v>
      </c>
      <c r="B158" s="55"/>
      <c r="C158" s="55"/>
    </row>
    <row r="159" spans="1:3" x14ac:dyDescent="0.25">
      <c r="A159" s="54" t="s">
        <v>6</v>
      </c>
      <c r="B159" s="55">
        <v>79355365.670000002</v>
      </c>
      <c r="C159" s="55">
        <v>123481275.39</v>
      </c>
    </row>
    <row r="160" spans="1:3" x14ac:dyDescent="0.25">
      <c r="A160" s="54" t="s">
        <v>271</v>
      </c>
      <c r="B160" s="55">
        <v>77783785.459999993</v>
      </c>
      <c r="C160" s="55">
        <v>118174514.58</v>
      </c>
    </row>
    <row r="161" spans="1:3" x14ac:dyDescent="0.25">
      <c r="A161" s="54" t="s">
        <v>379</v>
      </c>
      <c r="B161" s="55">
        <v>1571580.21</v>
      </c>
      <c r="C161" s="55">
        <v>5306760.8099999996</v>
      </c>
    </row>
    <row r="162" spans="1:3" x14ac:dyDescent="0.25">
      <c r="A162" s="54" t="s">
        <v>1</v>
      </c>
      <c r="B162" s="55"/>
      <c r="C162" s="55"/>
    </row>
    <row r="163" spans="1:3" x14ac:dyDescent="0.25">
      <c r="A163" s="54" t="s">
        <v>223</v>
      </c>
      <c r="B163" s="55">
        <v>107881092.84999999</v>
      </c>
      <c r="C163" s="55">
        <v>148092223.78999999</v>
      </c>
    </row>
    <row r="164" spans="1:3" x14ac:dyDescent="0.25">
      <c r="A164" s="54" t="s">
        <v>443</v>
      </c>
      <c r="B164" s="55">
        <v>26767127.420000002</v>
      </c>
      <c r="C164" s="55">
        <v>25738662.34</v>
      </c>
    </row>
    <row r="165" spans="1:3" x14ac:dyDescent="0.25">
      <c r="A165" s="54" t="s">
        <v>455</v>
      </c>
      <c r="B165" s="55">
        <v>81113965.430000007</v>
      </c>
      <c r="C165" s="55">
        <v>122353561.45</v>
      </c>
    </row>
    <row r="166" spans="1:3" ht="24" customHeight="1" x14ac:dyDescent="0.25">
      <c r="A166" s="62" t="s">
        <v>227</v>
      </c>
      <c r="B166" s="62"/>
      <c r="C166" s="62"/>
    </row>
    <row r="167" spans="1:3" x14ac:dyDescent="0.25">
      <c r="A167" s="56" t="s">
        <v>228</v>
      </c>
      <c r="B167" s="57"/>
      <c r="C167" s="57"/>
    </row>
    <row r="168" spans="1:3" x14ac:dyDescent="0.25">
      <c r="A168" s="58" t="s">
        <v>234</v>
      </c>
      <c r="B168" s="57"/>
      <c r="C168" s="57"/>
    </row>
    <row r="169" spans="1:3" x14ac:dyDescent="0.25">
      <c r="A169" s="56" t="s">
        <v>229</v>
      </c>
      <c r="B169" s="57"/>
      <c r="C169" s="57"/>
    </row>
  </sheetData>
  <mergeCells count="3">
    <mergeCell ref="A1:C2"/>
    <mergeCell ref="B4:C4"/>
    <mergeCell ref="A166:C16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9"/>
  <sheetViews>
    <sheetView workbookViewId="0">
      <selection activeCell="A3" sqref="A3"/>
    </sheetView>
  </sheetViews>
  <sheetFormatPr baseColWidth="10" defaultRowHeight="15" x14ac:dyDescent="0.25"/>
  <cols>
    <col min="1" max="1" width="40.125" style="45" customWidth="1"/>
    <col min="2" max="2" width="16" style="45" bestFit="1" customWidth="1"/>
    <col min="3" max="3" width="14.875" style="45" customWidth="1"/>
    <col min="4" max="16384" width="11" style="45"/>
  </cols>
  <sheetData>
    <row r="1" spans="1:3" x14ac:dyDescent="0.25">
      <c r="A1" s="59" t="s">
        <v>238</v>
      </c>
      <c r="B1" s="59"/>
      <c r="C1" s="59"/>
    </row>
    <row r="2" spans="1:3" x14ac:dyDescent="0.25">
      <c r="A2" s="59"/>
      <c r="B2" s="59"/>
      <c r="C2" s="59"/>
    </row>
    <row r="3" spans="1:3" s="46" customFormat="1" ht="12.75" x14ac:dyDescent="0.2"/>
    <row r="4" spans="1:3" s="48" customFormat="1" ht="12.75" x14ac:dyDescent="0.2">
      <c r="A4" s="47"/>
      <c r="B4" s="60" t="s">
        <v>231</v>
      </c>
      <c r="C4" s="61"/>
    </row>
    <row r="5" spans="1:3" s="48" customFormat="1" ht="12.75" x14ac:dyDescent="0.2">
      <c r="A5" s="49" t="s">
        <v>233</v>
      </c>
      <c r="B5" s="50" t="s">
        <v>224</v>
      </c>
      <c r="C5" s="50" t="s">
        <v>225</v>
      </c>
    </row>
    <row r="6" spans="1:3" s="48" customFormat="1" ht="12.75" x14ac:dyDescent="0.2">
      <c r="A6" s="51"/>
      <c r="B6" s="52" t="s">
        <v>15</v>
      </c>
      <c r="C6" s="52" t="s">
        <v>14</v>
      </c>
    </row>
    <row r="7" spans="1:3" x14ac:dyDescent="0.25">
      <c r="C7" s="53"/>
    </row>
    <row r="8" spans="1:3" x14ac:dyDescent="0.25">
      <c r="A8" s="54" t="s">
        <v>0</v>
      </c>
      <c r="B8" s="55">
        <v>17920340707</v>
      </c>
      <c r="C8" s="55">
        <v>31828253608</v>
      </c>
    </row>
    <row r="9" spans="1:3" x14ac:dyDescent="0.25">
      <c r="A9" s="54" t="s">
        <v>1</v>
      </c>
      <c r="B9" s="55"/>
      <c r="C9" s="55"/>
    </row>
    <row r="10" spans="1:3" x14ac:dyDescent="0.25">
      <c r="A10" s="54" t="s">
        <v>2</v>
      </c>
      <c r="B10" s="55">
        <v>1720665398</v>
      </c>
      <c r="C10" s="55">
        <v>3725660852</v>
      </c>
    </row>
    <row r="11" spans="1:3" x14ac:dyDescent="0.25">
      <c r="A11" s="54" t="s">
        <v>288</v>
      </c>
      <c r="B11" s="55">
        <v>102224</v>
      </c>
      <c r="C11" s="55">
        <v>349775</v>
      </c>
    </row>
    <row r="12" spans="1:3" x14ac:dyDescent="0.25">
      <c r="A12" s="54" t="s">
        <v>265</v>
      </c>
      <c r="B12" s="55">
        <v>453526780</v>
      </c>
      <c r="C12" s="55">
        <v>865103592</v>
      </c>
    </row>
    <row r="13" spans="1:3" x14ac:dyDescent="0.25">
      <c r="A13" s="54" t="s">
        <v>289</v>
      </c>
      <c r="B13" s="55">
        <v>295071</v>
      </c>
      <c r="C13" s="55">
        <v>1175460</v>
      </c>
    </row>
    <row r="14" spans="1:3" x14ac:dyDescent="0.25">
      <c r="A14" s="54" t="s">
        <v>292</v>
      </c>
      <c r="B14" s="55">
        <v>6067502</v>
      </c>
      <c r="C14" s="55">
        <v>14246651</v>
      </c>
    </row>
    <row r="15" spans="1:3" x14ac:dyDescent="0.25">
      <c r="A15" s="54" t="s">
        <v>301</v>
      </c>
      <c r="B15" s="55">
        <v>5175469</v>
      </c>
      <c r="C15" s="55">
        <v>15241637</v>
      </c>
    </row>
    <row r="16" spans="1:3" x14ac:dyDescent="0.25">
      <c r="A16" s="54" t="s">
        <v>300</v>
      </c>
      <c r="B16" s="55" t="s">
        <v>30</v>
      </c>
      <c r="C16" s="55" t="s">
        <v>30</v>
      </c>
    </row>
    <row r="17" spans="1:3" x14ac:dyDescent="0.25">
      <c r="A17" s="54" t="s">
        <v>303</v>
      </c>
      <c r="B17" s="55">
        <v>40163416</v>
      </c>
      <c r="C17" s="55">
        <v>109521817</v>
      </c>
    </row>
    <row r="18" spans="1:3" x14ac:dyDescent="0.25">
      <c r="A18" s="54" t="s">
        <v>281</v>
      </c>
      <c r="B18" s="55">
        <v>168087</v>
      </c>
      <c r="C18" s="55">
        <v>280185</v>
      </c>
    </row>
    <row r="19" spans="1:3" x14ac:dyDescent="0.25">
      <c r="A19" s="54" t="s">
        <v>313</v>
      </c>
      <c r="B19" s="55">
        <v>407588137</v>
      </c>
      <c r="C19" s="55">
        <v>845564195</v>
      </c>
    </row>
    <row r="20" spans="1:3" x14ac:dyDescent="0.25">
      <c r="A20" s="54" t="s">
        <v>321</v>
      </c>
      <c r="B20" s="55">
        <v>42428</v>
      </c>
      <c r="C20" s="55">
        <v>70173</v>
      </c>
    </row>
    <row r="21" spans="1:3" x14ac:dyDescent="0.25">
      <c r="A21" s="54" t="s">
        <v>322</v>
      </c>
      <c r="B21" s="55">
        <v>1948075</v>
      </c>
      <c r="C21" s="55">
        <v>7968785</v>
      </c>
    </row>
    <row r="22" spans="1:3" x14ac:dyDescent="0.25">
      <c r="A22" s="54" t="s">
        <v>325</v>
      </c>
      <c r="B22" s="55">
        <v>25783529</v>
      </c>
      <c r="C22" s="55">
        <v>67596153</v>
      </c>
    </row>
    <row r="23" spans="1:3" x14ac:dyDescent="0.25">
      <c r="A23" s="54" t="s">
        <v>329</v>
      </c>
      <c r="B23" s="55">
        <v>2599797</v>
      </c>
      <c r="C23" s="55">
        <v>11513877</v>
      </c>
    </row>
    <row r="24" spans="1:3" x14ac:dyDescent="0.25">
      <c r="A24" s="54" t="s">
        <v>349</v>
      </c>
      <c r="B24" s="55">
        <v>20384761</v>
      </c>
      <c r="C24" s="55">
        <v>77224803</v>
      </c>
    </row>
    <row r="25" spans="1:3" x14ac:dyDescent="0.25">
      <c r="A25" s="54" t="s">
        <v>355</v>
      </c>
      <c r="B25" s="55">
        <v>580687</v>
      </c>
      <c r="C25" s="55">
        <v>2067808</v>
      </c>
    </row>
    <row r="26" spans="1:3" x14ac:dyDescent="0.25">
      <c r="A26" s="54" t="s">
        <v>356</v>
      </c>
      <c r="B26" s="55">
        <v>56825741</v>
      </c>
      <c r="C26" s="55">
        <v>130617387</v>
      </c>
    </row>
    <row r="27" spans="1:3" x14ac:dyDescent="0.25">
      <c r="A27" s="54" t="s">
        <v>360</v>
      </c>
      <c r="B27" s="55" t="s">
        <v>30</v>
      </c>
      <c r="C27" s="55" t="s">
        <v>30</v>
      </c>
    </row>
    <row r="28" spans="1:3" x14ac:dyDescent="0.25">
      <c r="A28" s="54" t="s">
        <v>364</v>
      </c>
      <c r="B28" s="55">
        <v>1797707</v>
      </c>
      <c r="C28" s="55">
        <v>7313391</v>
      </c>
    </row>
    <row r="29" spans="1:3" x14ac:dyDescent="0.25">
      <c r="A29" s="54" t="s">
        <v>372</v>
      </c>
      <c r="B29" s="55">
        <v>175143996</v>
      </c>
      <c r="C29" s="55">
        <v>489320145</v>
      </c>
    </row>
    <row r="30" spans="1:3" x14ac:dyDescent="0.25">
      <c r="A30" s="54" t="s">
        <v>367</v>
      </c>
      <c r="B30" s="55">
        <v>24715131</v>
      </c>
      <c r="C30" s="55">
        <v>51365531</v>
      </c>
    </row>
    <row r="31" spans="1:3" x14ac:dyDescent="0.25">
      <c r="A31" s="54" t="s">
        <v>366</v>
      </c>
      <c r="B31" s="55">
        <v>8624364</v>
      </c>
      <c r="C31" s="55">
        <v>33498401</v>
      </c>
    </row>
    <row r="32" spans="1:3" x14ac:dyDescent="0.25">
      <c r="A32" s="54" t="s">
        <v>381</v>
      </c>
      <c r="B32" s="55">
        <v>39172</v>
      </c>
      <c r="C32" s="55">
        <v>66912</v>
      </c>
    </row>
    <row r="33" spans="1:3" x14ac:dyDescent="0.25">
      <c r="A33" s="54" t="s">
        <v>382</v>
      </c>
      <c r="B33" s="55">
        <v>40206135</v>
      </c>
      <c r="C33" s="55">
        <v>80350802</v>
      </c>
    </row>
    <row r="34" spans="1:3" x14ac:dyDescent="0.25">
      <c r="A34" s="54" t="s">
        <v>398</v>
      </c>
      <c r="B34" s="55">
        <v>1228959</v>
      </c>
      <c r="C34" s="55">
        <v>4973100</v>
      </c>
    </row>
    <row r="35" spans="1:3" x14ac:dyDescent="0.25">
      <c r="A35" s="54" t="s">
        <v>401</v>
      </c>
      <c r="B35" s="55">
        <v>31951692</v>
      </c>
      <c r="C35" s="55">
        <v>100187595</v>
      </c>
    </row>
    <row r="36" spans="1:3" x14ac:dyDescent="0.25">
      <c r="A36" s="54" t="s">
        <v>404</v>
      </c>
      <c r="B36" s="55">
        <v>58767</v>
      </c>
      <c r="C36" s="55">
        <v>100975</v>
      </c>
    </row>
    <row r="37" spans="1:3" x14ac:dyDescent="0.25">
      <c r="A37" s="54" t="s">
        <v>422</v>
      </c>
      <c r="B37" s="55">
        <v>5254086</v>
      </c>
      <c r="C37" s="55">
        <v>21475716</v>
      </c>
    </row>
    <row r="38" spans="1:3" x14ac:dyDescent="0.25">
      <c r="A38" s="54" t="s">
        <v>424</v>
      </c>
      <c r="B38" s="55">
        <v>154883</v>
      </c>
      <c r="C38" s="55">
        <v>684744</v>
      </c>
    </row>
    <row r="39" spans="1:3" x14ac:dyDescent="0.25">
      <c r="A39" s="54" t="s">
        <v>426</v>
      </c>
      <c r="B39" s="55">
        <v>49078528</v>
      </c>
      <c r="C39" s="55">
        <v>112670615</v>
      </c>
    </row>
    <row r="40" spans="1:3" x14ac:dyDescent="0.25">
      <c r="A40" s="54" t="s">
        <v>428</v>
      </c>
      <c r="B40" s="55">
        <v>10119931</v>
      </c>
      <c r="C40" s="55">
        <v>38883973</v>
      </c>
    </row>
    <row r="41" spans="1:3" x14ac:dyDescent="0.25">
      <c r="A41" s="54" t="s">
        <v>267</v>
      </c>
      <c r="B41" s="55">
        <v>13029340</v>
      </c>
      <c r="C41" s="55">
        <v>44797759</v>
      </c>
    </row>
    <row r="42" spans="1:3" x14ac:dyDescent="0.25">
      <c r="A42" s="54" t="s">
        <v>290</v>
      </c>
      <c r="B42" s="55">
        <v>671913</v>
      </c>
      <c r="C42" s="55">
        <v>3666825</v>
      </c>
    </row>
    <row r="43" spans="1:3" x14ac:dyDescent="0.25">
      <c r="A43" s="54" t="s">
        <v>373</v>
      </c>
      <c r="B43" s="55">
        <v>104082432</v>
      </c>
      <c r="C43" s="55">
        <v>95631390</v>
      </c>
    </row>
    <row r="44" spans="1:3" x14ac:dyDescent="0.25">
      <c r="A44" s="54" t="s">
        <v>309</v>
      </c>
      <c r="B44" s="55">
        <v>136227</v>
      </c>
      <c r="C44" s="55">
        <v>234223</v>
      </c>
    </row>
    <row r="45" spans="1:3" x14ac:dyDescent="0.25">
      <c r="A45" s="54" t="s">
        <v>409</v>
      </c>
      <c r="B45" s="55">
        <v>231934443</v>
      </c>
      <c r="C45" s="55">
        <v>491775475</v>
      </c>
    </row>
    <row r="46" spans="1:3" x14ac:dyDescent="0.25">
      <c r="A46" s="54" t="s">
        <v>317</v>
      </c>
      <c r="B46" s="55" t="s">
        <v>30</v>
      </c>
      <c r="C46" s="55" t="s">
        <v>30</v>
      </c>
    </row>
    <row r="47" spans="1:3" x14ac:dyDescent="0.25">
      <c r="A47" s="54" t="s">
        <v>416</v>
      </c>
      <c r="B47" s="55">
        <v>1185988</v>
      </c>
      <c r="C47" s="55">
        <v>120982</v>
      </c>
    </row>
    <row r="48" spans="1:3" x14ac:dyDescent="0.25">
      <c r="A48" s="54" t="s">
        <v>1</v>
      </c>
      <c r="B48" s="55"/>
      <c r="C48" s="55"/>
    </row>
    <row r="49" spans="1:3" x14ac:dyDescent="0.25">
      <c r="A49" s="54" t="s">
        <v>3</v>
      </c>
      <c r="B49" s="55">
        <v>3916572756</v>
      </c>
      <c r="C49" s="55">
        <v>5813369497</v>
      </c>
    </row>
    <row r="50" spans="1:3" x14ac:dyDescent="0.25">
      <c r="A50" s="54" t="s">
        <v>282</v>
      </c>
      <c r="B50" s="55">
        <v>84202736</v>
      </c>
      <c r="C50" s="55">
        <v>119605427</v>
      </c>
    </row>
    <row r="51" spans="1:3" x14ac:dyDescent="0.25">
      <c r="A51" s="54" t="s">
        <v>285</v>
      </c>
      <c r="B51" s="55">
        <v>1221730592</v>
      </c>
      <c r="C51" s="55">
        <v>1612246597</v>
      </c>
    </row>
    <row r="52" spans="1:3" x14ac:dyDescent="0.25">
      <c r="A52" s="54" t="s">
        <v>293</v>
      </c>
      <c r="B52" s="55">
        <v>3367150</v>
      </c>
      <c r="C52" s="55">
        <v>2434507</v>
      </c>
    </row>
    <row r="53" spans="1:3" x14ac:dyDescent="0.25">
      <c r="A53" s="54" t="s">
        <v>298</v>
      </c>
      <c r="B53" s="55">
        <v>202009456</v>
      </c>
      <c r="C53" s="55">
        <v>450589449</v>
      </c>
    </row>
    <row r="54" spans="1:3" x14ac:dyDescent="0.25">
      <c r="A54" s="54" t="s">
        <v>302</v>
      </c>
      <c r="B54" s="55">
        <v>4846413</v>
      </c>
      <c r="C54" s="55">
        <v>3955716</v>
      </c>
    </row>
    <row r="55" spans="1:3" x14ac:dyDescent="0.25">
      <c r="A55" s="54" t="s">
        <v>442</v>
      </c>
      <c r="B55" s="55">
        <v>59920187</v>
      </c>
      <c r="C55" s="55">
        <v>162081015</v>
      </c>
    </row>
    <row r="56" spans="1:3" x14ac:dyDescent="0.25">
      <c r="A56" s="54" t="s">
        <v>296</v>
      </c>
      <c r="B56" s="55">
        <v>709739399</v>
      </c>
      <c r="C56" s="55">
        <v>1148312832</v>
      </c>
    </row>
    <row r="57" spans="1:3" x14ac:dyDescent="0.25">
      <c r="A57" s="54" t="s">
        <v>311</v>
      </c>
      <c r="B57" s="55">
        <v>119291748</v>
      </c>
      <c r="C57" s="55">
        <v>131866417</v>
      </c>
    </row>
    <row r="58" spans="1:3" x14ac:dyDescent="0.25">
      <c r="A58" s="54" t="s">
        <v>312</v>
      </c>
      <c r="B58" s="55">
        <v>229402685</v>
      </c>
      <c r="C58" s="55">
        <v>532774090</v>
      </c>
    </row>
    <row r="59" spans="1:3" x14ac:dyDescent="0.25">
      <c r="A59" s="54" t="s">
        <v>314</v>
      </c>
      <c r="B59" s="55">
        <v>3210067</v>
      </c>
      <c r="C59" s="55">
        <v>2534486</v>
      </c>
    </row>
    <row r="60" spans="1:3" x14ac:dyDescent="0.25">
      <c r="A60" s="54" t="s">
        <v>432</v>
      </c>
      <c r="B60" s="55">
        <v>201363760</v>
      </c>
      <c r="C60" s="55">
        <v>99865543</v>
      </c>
    </row>
    <row r="61" spans="1:3" x14ac:dyDescent="0.25">
      <c r="A61" s="54" t="s">
        <v>328</v>
      </c>
      <c r="B61" s="55">
        <v>55535965</v>
      </c>
      <c r="C61" s="55">
        <v>49223773</v>
      </c>
    </row>
    <row r="62" spans="1:3" x14ac:dyDescent="0.25">
      <c r="A62" s="54" t="s">
        <v>332</v>
      </c>
      <c r="B62" s="55">
        <v>1699237</v>
      </c>
      <c r="C62" s="55">
        <v>1219225</v>
      </c>
    </row>
    <row r="63" spans="1:3" x14ac:dyDescent="0.25">
      <c r="A63" s="54" t="s">
        <v>333</v>
      </c>
      <c r="B63" s="55">
        <v>179183</v>
      </c>
      <c r="C63" s="55">
        <v>407478</v>
      </c>
    </row>
    <row r="64" spans="1:3" x14ac:dyDescent="0.25">
      <c r="A64" s="54" t="s">
        <v>334</v>
      </c>
      <c r="B64" s="55">
        <v>1519195</v>
      </c>
      <c r="C64" s="55">
        <v>982685</v>
      </c>
    </row>
    <row r="65" spans="1:3" x14ac:dyDescent="0.25">
      <c r="A65" s="54" t="s">
        <v>345</v>
      </c>
      <c r="B65" s="55">
        <v>4653278</v>
      </c>
      <c r="C65" s="55">
        <v>3501804</v>
      </c>
    </row>
    <row r="66" spans="1:3" x14ac:dyDescent="0.25">
      <c r="A66" s="54" t="s">
        <v>368</v>
      </c>
      <c r="B66" s="55">
        <v>89876726</v>
      </c>
      <c r="C66" s="55">
        <v>61685575</v>
      </c>
    </row>
    <row r="67" spans="1:3" x14ac:dyDescent="0.25">
      <c r="A67" s="54" t="s">
        <v>380</v>
      </c>
      <c r="B67" s="55">
        <v>6147887</v>
      </c>
      <c r="C67" s="55">
        <v>1936934</v>
      </c>
    </row>
    <row r="68" spans="1:3" x14ac:dyDescent="0.25">
      <c r="A68" s="54" t="s">
        <v>387</v>
      </c>
      <c r="B68" s="55">
        <v>8496107</v>
      </c>
      <c r="C68" s="55">
        <v>9124910</v>
      </c>
    </row>
    <row r="69" spans="1:3" x14ac:dyDescent="0.25">
      <c r="A69" s="54" t="s">
        <v>389</v>
      </c>
      <c r="B69" s="55">
        <v>183211558</v>
      </c>
      <c r="C69" s="55">
        <v>242229855</v>
      </c>
    </row>
    <row r="70" spans="1:3" x14ac:dyDescent="0.25">
      <c r="A70" s="54" t="s">
        <v>390</v>
      </c>
      <c r="B70" s="55">
        <v>467780999</v>
      </c>
      <c r="C70" s="55">
        <v>722507308</v>
      </c>
    </row>
    <row r="71" spans="1:3" x14ac:dyDescent="0.25">
      <c r="A71" s="54" t="s">
        <v>394</v>
      </c>
      <c r="B71" s="55">
        <v>16720965</v>
      </c>
      <c r="C71" s="55">
        <v>49807195</v>
      </c>
    </row>
    <row r="72" spans="1:3" x14ac:dyDescent="0.25">
      <c r="A72" s="54" t="s">
        <v>425</v>
      </c>
      <c r="B72" s="55">
        <v>1491699</v>
      </c>
      <c r="C72" s="55">
        <v>1193001</v>
      </c>
    </row>
    <row r="73" spans="1:3" x14ac:dyDescent="0.25">
      <c r="A73" s="54" t="s">
        <v>433</v>
      </c>
      <c r="B73" s="55">
        <v>164103690</v>
      </c>
      <c r="C73" s="55">
        <v>287782765</v>
      </c>
    </row>
    <row r="74" spans="1:3" x14ac:dyDescent="0.25">
      <c r="A74" s="54" t="s">
        <v>435</v>
      </c>
      <c r="B74" s="55">
        <v>74575686</v>
      </c>
      <c r="C74" s="55">
        <v>115227380</v>
      </c>
    </row>
    <row r="75" spans="1:3" x14ac:dyDescent="0.25">
      <c r="A75" s="54" t="s">
        <v>417</v>
      </c>
      <c r="B75" s="55">
        <v>14587</v>
      </c>
      <c r="C75" s="55">
        <v>23087</v>
      </c>
    </row>
    <row r="76" spans="1:3" x14ac:dyDescent="0.25">
      <c r="A76" s="54" t="s">
        <v>270</v>
      </c>
      <c r="B76" s="55" t="s">
        <v>30</v>
      </c>
      <c r="C76" s="55" t="s">
        <v>30</v>
      </c>
    </row>
    <row r="77" spans="1:3" x14ac:dyDescent="0.25">
      <c r="A77" s="54" t="s">
        <v>305</v>
      </c>
      <c r="B77" s="55">
        <v>1481801</v>
      </c>
      <c r="C77" s="55">
        <v>250443</v>
      </c>
    </row>
    <row r="78" spans="1:3" x14ac:dyDescent="0.25">
      <c r="A78" s="54" t="s">
        <v>1</v>
      </c>
      <c r="B78" s="55"/>
      <c r="C78" s="55"/>
    </row>
    <row r="79" spans="1:3" x14ac:dyDescent="0.25">
      <c r="A79" s="54" t="s">
        <v>4</v>
      </c>
      <c r="B79" s="55">
        <v>8230084744</v>
      </c>
      <c r="C79" s="55">
        <v>15020831374</v>
      </c>
    </row>
    <row r="80" spans="1:3" x14ac:dyDescent="0.25">
      <c r="A80" s="54" t="s">
        <v>400</v>
      </c>
      <c r="B80" s="55">
        <v>257853432</v>
      </c>
      <c r="C80" s="55">
        <v>712084946</v>
      </c>
    </row>
    <row r="81" spans="1:3" x14ac:dyDescent="0.25">
      <c r="A81" s="54" t="s">
        <v>275</v>
      </c>
      <c r="B81" s="55">
        <v>153625</v>
      </c>
      <c r="C81" s="55">
        <v>47424</v>
      </c>
    </row>
    <row r="82" spans="1:3" x14ac:dyDescent="0.25">
      <c r="A82" s="54" t="s">
        <v>374</v>
      </c>
      <c r="B82" s="55">
        <v>15767148</v>
      </c>
      <c r="C82" s="55">
        <v>37834988</v>
      </c>
    </row>
    <row r="83" spans="1:3" x14ac:dyDescent="0.25">
      <c r="A83" s="54" t="s">
        <v>291</v>
      </c>
      <c r="B83" s="55" t="s">
        <v>30</v>
      </c>
      <c r="C83" s="55" t="s">
        <v>30</v>
      </c>
    </row>
    <row r="84" spans="1:3" x14ac:dyDescent="0.25">
      <c r="A84" s="54" t="s">
        <v>412</v>
      </c>
      <c r="B84" s="55">
        <v>85281</v>
      </c>
      <c r="C84" s="55">
        <v>160680</v>
      </c>
    </row>
    <row r="85" spans="1:3" x14ac:dyDescent="0.25">
      <c r="A85" s="54" t="s">
        <v>350</v>
      </c>
      <c r="B85" s="55">
        <v>288255857</v>
      </c>
      <c r="C85" s="55">
        <v>800194178</v>
      </c>
    </row>
    <row r="86" spans="1:3" x14ac:dyDescent="0.25">
      <c r="A86" s="54" t="s">
        <v>297</v>
      </c>
      <c r="B86" s="55">
        <v>1388752951</v>
      </c>
      <c r="C86" s="55">
        <v>1708276638</v>
      </c>
    </row>
    <row r="87" spans="1:3" x14ac:dyDescent="0.25">
      <c r="A87" s="54" t="s">
        <v>391</v>
      </c>
      <c r="B87" s="55">
        <v>203721025</v>
      </c>
      <c r="C87" s="55">
        <v>482490585</v>
      </c>
    </row>
    <row r="88" spans="1:3" x14ac:dyDescent="0.25">
      <c r="A88" s="54" t="s">
        <v>421</v>
      </c>
      <c r="B88" s="55">
        <v>49379928</v>
      </c>
      <c r="C88" s="55">
        <v>143654338</v>
      </c>
    </row>
    <row r="89" spans="1:3" x14ac:dyDescent="0.25">
      <c r="A89" s="54" t="s">
        <v>338</v>
      </c>
      <c r="B89" s="55">
        <v>1951591549</v>
      </c>
      <c r="C89" s="55">
        <v>1788588661</v>
      </c>
    </row>
    <row r="90" spans="1:3" x14ac:dyDescent="0.25">
      <c r="A90" s="54" t="s">
        <v>339</v>
      </c>
      <c r="B90" s="55">
        <v>866520279</v>
      </c>
      <c r="C90" s="55">
        <v>2085732210</v>
      </c>
    </row>
    <row r="91" spans="1:3" x14ac:dyDescent="0.25">
      <c r="A91" s="54" t="s">
        <v>341</v>
      </c>
      <c r="B91" s="55">
        <v>170042779</v>
      </c>
      <c r="C91" s="55">
        <v>311109021</v>
      </c>
    </row>
    <row r="92" spans="1:3" x14ac:dyDescent="0.25">
      <c r="A92" s="54" t="s">
        <v>340</v>
      </c>
      <c r="B92" s="55">
        <v>227645680</v>
      </c>
      <c r="C92" s="55">
        <v>324906040</v>
      </c>
    </row>
    <row r="93" spans="1:3" x14ac:dyDescent="0.25">
      <c r="A93" s="54" t="s">
        <v>343</v>
      </c>
      <c r="B93" s="55">
        <v>106463309</v>
      </c>
      <c r="C93" s="55">
        <v>158065035</v>
      </c>
    </row>
    <row r="94" spans="1:3" x14ac:dyDescent="0.25">
      <c r="A94" s="54" t="s">
        <v>346</v>
      </c>
      <c r="B94" s="55">
        <v>131189344</v>
      </c>
      <c r="C94" s="55">
        <v>366811136</v>
      </c>
    </row>
    <row r="95" spans="1:3" x14ac:dyDescent="0.25">
      <c r="A95" s="54" t="s">
        <v>347</v>
      </c>
      <c r="B95" s="55">
        <v>118383624</v>
      </c>
      <c r="C95" s="55">
        <v>309157850</v>
      </c>
    </row>
    <row r="96" spans="1:3" x14ac:dyDescent="0.25">
      <c r="A96" s="54" t="s">
        <v>395</v>
      </c>
      <c r="B96" s="55">
        <v>1755931</v>
      </c>
      <c r="C96" s="55">
        <v>3019907</v>
      </c>
    </row>
    <row r="97" spans="1:3" x14ac:dyDescent="0.25">
      <c r="A97" s="54" t="s">
        <v>351</v>
      </c>
      <c r="B97" s="55">
        <v>3548265</v>
      </c>
      <c r="C97" s="55">
        <v>14446594</v>
      </c>
    </row>
    <row r="98" spans="1:3" x14ac:dyDescent="0.25">
      <c r="A98" s="54" t="s">
        <v>353</v>
      </c>
      <c r="B98" s="55">
        <v>10396438</v>
      </c>
      <c r="C98" s="55">
        <v>21546013</v>
      </c>
    </row>
    <row r="99" spans="1:3" x14ac:dyDescent="0.25">
      <c r="A99" s="54" t="s">
        <v>362</v>
      </c>
      <c r="B99" s="55">
        <v>476597071</v>
      </c>
      <c r="C99" s="55">
        <v>1285348340</v>
      </c>
    </row>
    <row r="100" spans="1:3" x14ac:dyDescent="0.25">
      <c r="A100" s="54" t="s">
        <v>385</v>
      </c>
      <c r="B100" s="55">
        <v>30994927</v>
      </c>
      <c r="C100" s="55">
        <v>67802535</v>
      </c>
    </row>
    <row r="101" spans="1:3" x14ac:dyDescent="0.25">
      <c r="A101" s="54" t="s">
        <v>376</v>
      </c>
      <c r="B101" s="55">
        <v>846266</v>
      </c>
      <c r="C101" s="55">
        <v>1490437</v>
      </c>
    </row>
    <row r="102" spans="1:3" x14ac:dyDescent="0.25">
      <c r="A102" s="54" t="s">
        <v>430</v>
      </c>
      <c r="B102" s="55">
        <v>48973663</v>
      </c>
      <c r="C102" s="55">
        <v>128036816</v>
      </c>
    </row>
    <row r="103" spans="1:3" x14ac:dyDescent="0.25">
      <c r="A103" s="54" t="s">
        <v>386</v>
      </c>
      <c r="B103" s="55">
        <v>16701798</v>
      </c>
      <c r="C103" s="55">
        <v>27616597</v>
      </c>
    </row>
    <row r="104" spans="1:3" x14ac:dyDescent="0.25">
      <c r="A104" s="54" t="s">
        <v>405</v>
      </c>
      <c r="B104" s="55">
        <v>901241</v>
      </c>
      <c r="C104" s="55">
        <v>657142</v>
      </c>
    </row>
    <row r="105" spans="1:3" x14ac:dyDescent="0.25">
      <c r="A105" s="54" t="s">
        <v>420</v>
      </c>
      <c r="B105" s="55">
        <v>400020</v>
      </c>
      <c r="C105" s="55">
        <v>1747910</v>
      </c>
    </row>
    <row r="106" spans="1:3" x14ac:dyDescent="0.25">
      <c r="A106" s="54" t="s">
        <v>423</v>
      </c>
      <c r="B106" s="55">
        <v>158587342</v>
      </c>
      <c r="C106" s="55">
        <v>243213534</v>
      </c>
    </row>
    <row r="107" spans="1:3" x14ac:dyDescent="0.25">
      <c r="A107" s="54" t="s">
        <v>436</v>
      </c>
      <c r="B107" s="55">
        <v>1216589211</v>
      </c>
      <c r="C107" s="55">
        <v>3212202360</v>
      </c>
    </row>
    <row r="108" spans="1:3" x14ac:dyDescent="0.25">
      <c r="A108" s="54" t="s">
        <v>335</v>
      </c>
      <c r="B108" s="55">
        <v>14631453</v>
      </c>
      <c r="C108" s="55">
        <v>6127667</v>
      </c>
    </row>
    <row r="109" spans="1:3" x14ac:dyDescent="0.25">
      <c r="A109" s="54" t="s">
        <v>276</v>
      </c>
      <c r="B109" s="55">
        <v>387919571</v>
      </c>
      <c r="C109" s="55">
        <v>537573724</v>
      </c>
    </row>
    <row r="110" spans="1:3" x14ac:dyDescent="0.25">
      <c r="A110" s="54" t="s">
        <v>286</v>
      </c>
      <c r="B110" s="55">
        <v>1093413</v>
      </c>
      <c r="C110" s="55">
        <v>4896132</v>
      </c>
    </row>
    <row r="111" spans="1:3" x14ac:dyDescent="0.25">
      <c r="A111" s="54" t="s">
        <v>437</v>
      </c>
      <c r="B111" s="55">
        <v>79811552</v>
      </c>
      <c r="C111" s="55">
        <v>228068117</v>
      </c>
    </row>
    <row r="112" spans="1:3" x14ac:dyDescent="0.25">
      <c r="A112" s="54" t="s">
        <v>269</v>
      </c>
      <c r="B112" s="55">
        <v>3620</v>
      </c>
      <c r="C112" s="55">
        <v>5993</v>
      </c>
    </row>
    <row r="113" spans="1:3" x14ac:dyDescent="0.25">
      <c r="A113" s="54" t="s">
        <v>273</v>
      </c>
      <c r="B113" s="55">
        <v>39457</v>
      </c>
      <c r="C113" s="55">
        <v>47082</v>
      </c>
    </row>
    <row r="114" spans="1:3" x14ac:dyDescent="0.25">
      <c r="A114" s="54" t="s">
        <v>323</v>
      </c>
      <c r="B114" s="55">
        <v>3520404</v>
      </c>
      <c r="C114" s="55">
        <v>7741921</v>
      </c>
    </row>
    <row r="115" spans="1:3" x14ac:dyDescent="0.25">
      <c r="A115" s="54" t="s">
        <v>348</v>
      </c>
      <c r="B115" s="55">
        <v>417454</v>
      </c>
      <c r="C115" s="55">
        <v>87291</v>
      </c>
    </row>
    <row r="116" spans="1:3" x14ac:dyDescent="0.25">
      <c r="A116" s="54" t="s">
        <v>159</v>
      </c>
      <c r="B116" s="55">
        <v>549836</v>
      </c>
      <c r="C116" s="55">
        <v>41532</v>
      </c>
    </row>
    <row r="117" spans="1:3" x14ac:dyDescent="0.25">
      <c r="A117" s="54" t="s">
        <v>1</v>
      </c>
      <c r="B117" s="55"/>
      <c r="C117" s="55"/>
    </row>
    <row r="118" spans="1:3" x14ac:dyDescent="0.25">
      <c r="A118" s="54" t="s">
        <v>5</v>
      </c>
      <c r="B118" s="55">
        <v>3921046374</v>
      </c>
      <c r="C118" s="55">
        <v>7019941705</v>
      </c>
    </row>
    <row r="119" spans="1:3" x14ac:dyDescent="0.25">
      <c r="A119" s="54" t="s">
        <v>264</v>
      </c>
      <c r="B119" s="55">
        <v>33191</v>
      </c>
      <c r="C119" s="55">
        <v>40285</v>
      </c>
    </row>
    <row r="120" spans="1:3" x14ac:dyDescent="0.25">
      <c r="A120" s="54" t="s">
        <v>272</v>
      </c>
      <c r="B120" s="55">
        <v>1635857</v>
      </c>
      <c r="C120" s="55">
        <v>67451</v>
      </c>
    </row>
    <row r="121" spans="1:3" x14ac:dyDescent="0.25">
      <c r="A121" s="54" t="s">
        <v>279</v>
      </c>
      <c r="B121" s="55">
        <v>21999047</v>
      </c>
      <c r="C121" s="55">
        <v>31607083</v>
      </c>
    </row>
    <row r="122" spans="1:3" x14ac:dyDescent="0.25">
      <c r="A122" s="54" t="s">
        <v>287</v>
      </c>
      <c r="B122" s="55">
        <v>1528044</v>
      </c>
      <c r="C122" s="55">
        <v>753257</v>
      </c>
    </row>
    <row r="123" spans="1:3" x14ac:dyDescent="0.25">
      <c r="A123" s="54" t="s">
        <v>308</v>
      </c>
      <c r="B123" s="55">
        <v>120765729</v>
      </c>
      <c r="C123" s="55">
        <v>288387162</v>
      </c>
    </row>
    <row r="124" spans="1:3" x14ac:dyDescent="0.25">
      <c r="A124" s="54" t="s">
        <v>411</v>
      </c>
      <c r="B124" s="55">
        <v>636892949</v>
      </c>
      <c r="C124" s="55">
        <v>1358481787</v>
      </c>
    </row>
    <row r="125" spans="1:3" x14ac:dyDescent="0.25">
      <c r="A125" s="54" t="s">
        <v>319</v>
      </c>
      <c r="B125" s="55">
        <v>21559</v>
      </c>
      <c r="C125" s="55">
        <v>22139</v>
      </c>
    </row>
    <row r="126" spans="1:3" x14ac:dyDescent="0.25">
      <c r="A126" s="54" t="s">
        <v>320</v>
      </c>
      <c r="B126" s="55">
        <v>147427150</v>
      </c>
      <c r="C126" s="55">
        <v>334812616</v>
      </c>
    </row>
    <row r="127" spans="1:3" x14ac:dyDescent="0.25">
      <c r="A127" s="54" t="s">
        <v>326</v>
      </c>
      <c r="B127" s="55">
        <v>82722764</v>
      </c>
      <c r="C127" s="55">
        <v>191398767</v>
      </c>
    </row>
    <row r="128" spans="1:3" x14ac:dyDescent="0.25">
      <c r="A128" s="54" t="s">
        <v>336</v>
      </c>
      <c r="B128" s="55">
        <v>95450</v>
      </c>
      <c r="C128" s="55">
        <v>78583</v>
      </c>
    </row>
    <row r="129" spans="1:3" x14ac:dyDescent="0.25">
      <c r="A129" s="54" t="s">
        <v>342</v>
      </c>
      <c r="B129" s="55">
        <v>121777830</v>
      </c>
      <c r="C129" s="55">
        <v>400538231</v>
      </c>
    </row>
    <row r="130" spans="1:3" x14ac:dyDescent="0.25">
      <c r="A130" s="54" t="s">
        <v>344</v>
      </c>
      <c r="B130" s="55">
        <v>307379726</v>
      </c>
      <c r="C130" s="55">
        <v>692796583</v>
      </c>
    </row>
    <row r="131" spans="1:3" x14ac:dyDescent="0.25">
      <c r="A131" s="54" t="s">
        <v>365</v>
      </c>
      <c r="B131" s="55">
        <v>1489</v>
      </c>
      <c r="C131" s="55">
        <v>1010</v>
      </c>
    </row>
    <row r="132" spans="1:3" x14ac:dyDescent="0.25">
      <c r="A132" s="54" t="s">
        <v>384</v>
      </c>
      <c r="B132" s="55">
        <v>124469</v>
      </c>
      <c r="C132" s="55">
        <v>68958</v>
      </c>
    </row>
    <row r="133" spans="1:3" x14ac:dyDescent="0.25">
      <c r="A133" s="54" t="s">
        <v>378</v>
      </c>
      <c r="B133" s="55">
        <v>1220058318</v>
      </c>
      <c r="C133" s="55">
        <v>1206834550</v>
      </c>
    </row>
    <row r="134" spans="1:3" x14ac:dyDescent="0.25">
      <c r="A134" s="54" t="s">
        <v>392</v>
      </c>
      <c r="B134" s="55">
        <v>354585332</v>
      </c>
      <c r="C134" s="55">
        <v>817299760</v>
      </c>
    </row>
    <row r="135" spans="1:3" x14ac:dyDescent="0.25">
      <c r="A135" s="54" t="s">
        <v>393</v>
      </c>
      <c r="B135" s="55">
        <v>26487169</v>
      </c>
      <c r="C135" s="55">
        <v>63930624</v>
      </c>
    </row>
    <row r="136" spans="1:3" x14ac:dyDescent="0.25">
      <c r="A136" s="54" t="s">
        <v>431</v>
      </c>
      <c r="B136" s="55">
        <v>219167162</v>
      </c>
      <c r="C136" s="55">
        <v>536110026</v>
      </c>
    </row>
    <row r="137" spans="1:3" x14ac:dyDescent="0.25">
      <c r="A137" s="54" t="s">
        <v>396</v>
      </c>
      <c r="B137" s="55">
        <v>38480280</v>
      </c>
      <c r="C137" s="55">
        <v>91542248</v>
      </c>
    </row>
    <row r="138" spans="1:3" x14ac:dyDescent="0.25">
      <c r="A138" s="54" t="s">
        <v>418</v>
      </c>
      <c r="B138" s="55">
        <v>24402</v>
      </c>
      <c r="C138" s="55">
        <v>21230</v>
      </c>
    </row>
    <row r="139" spans="1:3" x14ac:dyDescent="0.25">
      <c r="A139" s="54" t="s">
        <v>419</v>
      </c>
      <c r="B139" s="55">
        <v>3545111</v>
      </c>
      <c r="C139" s="55">
        <v>412406</v>
      </c>
    </row>
    <row r="140" spans="1:3" x14ac:dyDescent="0.25">
      <c r="A140" s="54" t="s">
        <v>306</v>
      </c>
      <c r="B140" s="55">
        <v>20730058</v>
      </c>
      <c r="C140" s="55">
        <v>47250011</v>
      </c>
    </row>
    <row r="141" spans="1:3" x14ac:dyDescent="0.25">
      <c r="A141" s="54" t="s">
        <v>427</v>
      </c>
      <c r="B141" s="55">
        <v>224373240</v>
      </c>
      <c r="C141" s="55">
        <v>497331561</v>
      </c>
    </row>
    <row r="142" spans="1:3" x14ac:dyDescent="0.25">
      <c r="A142" s="54" t="s">
        <v>324</v>
      </c>
      <c r="B142" s="55">
        <v>102204265</v>
      </c>
      <c r="C142" s="55">
        <v>15222899</v>
      </c>
    </row>
    <row r="143" spans="1:3" x14ac:dyDescent="0.25">
      <c r="A143" s="54" t="s">
        <v>278</v>
      </c>
      <c r="B143" s="55">
        <v>73704140</v>
      </c>
      <c r="C143" s="55">
        <v>183551890</v>
      </c>
    </row>
    <row r="144" spans="1:3" x14ac:dyDescent="0.25">
      <c r="A144" s="54" t="s">
        <v>316</v>
      </c>
      <c r="B144" s="55" t="s">
        <v>30</v>
      </c>
      <c r="C144" s="55" t="s">
        <v>30</v>
      </c>
    </row>
    <row r="145" spans="1:3" x14ac:dyDescent="0.25">
      <c r="A145" s="54" t="s">
        <v>352</v>
      </c>
      <c r="B145" s="55">
        <v>36744491</v>
      </c>
      <c r="C145" s="55">
        <v>93782374</v>
      </c>
    </row>
    <row r="146" spans="1:3" x14ac:dyDescent="0.25">
      <c r="A146" s="54" t="s">
        <v>357</v>
      </c>
      <c r="B146" s="55">
        <v>13694162</v>
      </c>
      <c r="C146" s="55">
        <v>33119626</v>
      </c>
    </row>
    <row r="147" spans="1:3" x14ac:dyDescent="0.25">
      <c r="A147" s="54" t="s">
        <v>369</v>
      </c>
      <c r="B147" s="55">
        <v>16365</v>
      </c>
      <c r="C147" s="55">
        <v>11936</v>
      </c>
    </row>
    <row r="148" spans="1:3" x14ac:dyDescent="0.25">
      <c r="A148" s="54" t="s">
        <v>397</v>
      </c>
      <c r="B148" s="55">
        <v>99978045</v>
      </c>
      <c r="C148" s="55">
        <v>51209111</v>
      </c>
    </row>
    <row r="149" spans="1:3" x14ac:dyDescent="0.25">
      <c r="A149" s="54" t="s">
        <v>429</v>
      </c>
      <c r="B149" s="55">
        <v>393731</v>
      </c>
      <c r="C149" s="55">
        <v>110485</v>
      </c>
    </row>
    <row r="150" spans="1:3" x14ac:dyDescent="0.25">
      <c r="A150" s="54" t="s">
        <v>283</v>
      </c>
      <c r="B150" s="55">
        <v>15391</v>
      </c>
      <c r="C150" s="55">
        <v>23095</v>
      </c>
    </row>
    <row r="151" spans="1:3" x14ac:dyDescent="0.25">
      <c r="A151" s="54" t="s">
        <v>304</v>
      </c>
      <c r="B151" s="55">
        <v>127170</v>
      </c>
      <c r="C151" s="55">
        <v>126289</v>
      </c>
    </row>
    <row r="152" spans="1:3" x14ac:dyDescent="0.25">
      <c r="A152" s="54" t="s">
        <v>406</v>
      </c>
      <c r="B152" s="55">
        <v>8634500</v>
      </c>
      <c r="C152" s="55">
        <v>932564</v>
      </c>
    </row>
    <row r="153" spans="1:3" x14ac:dyDescent="0.25">
      <c r="A153" s="54" t="s">
        <v>407</v>
      </c>
      <c r="B153" s="55">
        <v>33347432</v>
      </c>
      <c r="C153" s="55">
        <v>81565013</v>
      </c>
    </row>
    <row r="154" spans="1:3" x14ac:dyDescent="0.25">
      <c r="A154" s="54" t="s">
        <v>383</v>
      </c>
      <c r="B154" s="55">
        <v>87289</v>
      </c>
      <c r="C154" s="55">
        <v>109243</v>
      </c>
    </row>
    <row r="155" spans="1:3" x14ac:dyDescent="0.25">
      <c r="A155" s="54" t="s">
        <v>307</v>
      </c>
      <c r="B155" s="55">
        <v>2177149</v>
      </c>
      <c r="C155" s="55">
        <v>336100</v>
      </c>
    </row>
    <row r="156" spans="1:3" x14ac:dyDescent="0.25">
      <c r="A156" s="54" t="s">
        <v>371</v>
      </c>
      <c r="B156" s="55">
        <v>19350</v>
      </c>
      <c r="C156" s="55">
        <v>21155</v>
      </c>
    </row>
    <row r="157" spans="1:3" x14ac:dyDescent="0.25">
      <c r="A157" s="54" t="s">
        <v>402</v>
      </c>
      <c r="B157" s="55">
        <v>46568</v>
      </c>
      <c r="C157" s="55">
        <v>33597</v>
      </c>
    </row>
    <row r="158" spans="1:3" x14ac:dyDescent="0.25">
      <c r="A158" s="54" t="s">
        <v>1</v>
      </c>
      <c r="B158" s="55"/>
      <c r="C158" s="55"/>
    </row>
    <row r="159" spans="1:3" x14ac:dyDescent="0.25">
      <c r="A159" s="54" t="s">
        <v>6</v>
      </c>
      <c r="B159" s="55">
        <v>82418679</v>
      </c>
      <c r="C159" s="55">
        <v>171182417</v>
      </c>
    </row>
    <row r="160" spans="1:3" x14ac:dyDescent="0.25">
      <c r="A160" s="54" t="s">
        <v>271</v>
      </c>
      <c r="B160" s="55">
        <v>68008771</v>
      </c>
      <c r="C160" s="55">
        <v>134224225</v>
      </c>
    </row>
    <row r="161" spans="1:3" x14ac:dyDescent="0.25">
      <c r="A161" s="54" t="s">
        <v>379</v>
      </c>
      <c r="B161" s="55">
        <v>14409908</v>
      </c>
      <c r="C161" s="55">
        <v>36958192</v>
      </c>
    </row>
    <row r="162" spans="1:3" x14ac:dyDescent="0.25">
      <c r="A162" s="54" t="s">
        <v>1</v>
      </c>
      <c r="B162" s="55"/>
      <c r="C162" s="55"/>
    </row>
    <row r="163" spans="1:3" x14ac:dyDescent="0.25">
      <c r="A163" s="54" t="s">
        <v>223</v>
      </c>
      <c r="B163" s="55">
        <v>49552756</v>
      </c>
      <c r="C163" s="55">
        <v>77267763</v>
      </c>
    </row>
    <row r="164" spans="1:3" x14ac:dyDescent="0.25">
      <c r="A164" s="54" t="s">
        <v>443</v>
      </c>
      <c r="B164" s="55">
        <v>16477316</v>
      </c>
      <c r="C164" s="55">
        <v>23175809</v>
      </c>
    </row>
    <row r="165" spans="1:3" x14ac:dyDescent="0.25">
      <c r="A165" s="54" t="s">
        <v>455</v>
      </c>
      <c r="B165" s="55">
        <v>33075440</v>
      </c>
      <c r="C165" s="55">
        <v>54091954</v>
      </c>
    </row>
    <row r="166" spans="1:3" ht="24" customHeight="1" x14ac:dyDescent="0.25">
      <c r="A166" s="62" t="s">
        <v>227</v>
      </c>
      <c r="B166" s="62"/>
      <c r="C166" s="62"/>
    </row>
    <row r="167" spans="1:3" x14ac:dyDescent="0.25">
      <c r="A167" s="56" t="s">
        <v>228</v>
      </c>
      <c r="B167" s="57"/>
      <c r="C167" s="57"/>
    </row>
    <row r="168" spans="1:3" x14ac:dyDescent="0.25">
      <c r="A168" s="58" t="s">
        <v>234</v>
      </c>
      <c r="B168" s="57"/>
      <c r="C168" s="57"/>
    </row>
    <row r="169" spans="1:3" x14ac:dyDescent="0.25">
      <c r="A169" s="56" t="s">
        <v>229</v>
      </c>
      <c r="B169" s="57"/>
      <c r="C169" s="57"/>
    </row>
  </sheetData>
  <mergeCells count="3">
    <mergeCell ref="A1:C2"/>
    <mergeCell ref="B4:C4"/>
    <mergeCell ref="A166:C166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7"/>
  <sheetViews>
    <sheetView workbookViewId="0">
      <selection activeCell="A3" sqref="A3"/>
    </sheetView>
  </sheetViews>
  <sheetFormatPr baseColWidth="10" defaultRowHeight="15" x14ac:dyDescent="0.25"/>
  <cols>
    <col min="1" max="1" width="40.125" style="45" customWidth="1"/>
    <col min="2" max="2" width="16" style="45" bestFit="1" customWidth="1"/>
    <col min="3" max="3" width="14.875" style="45" customWidth="1"/>
    <col min="4" max="16384" width="11" style="45"/>
  </cols>
  <sheetData>
    <row r="1" spans="1:3" x14ac:dyDescent="0.25">
      <c r="A1" s="59" t="s">
        <v>239</v>
      </c>
      <c r="B1" s="59"/>
      <c r="C1" s="59"/>
    </row>
    <row r="2" spans="1:3" x14ac:dyDescent="0.25">
      <c r="A2" s="59"/>
      <c r="B2" s="59"/>
      <c r="C2" s="59"/>
    </row>
    <row r="3" spans="1:3" s="46" customFormat="1" ht="12.75" x14ac:dyDescent="0.2"/>
    <row r="4" spans="1:3" s="48" customFormat="1" ht="12.75" x14ac:dyDescent="0.2">
      <c r="A4" s="47"/>
      <c r="B4" s="60" t="s">
        <v>230</v>
      </c>
      <c r="C4" s="61"/>
    </row>
    <row r="5" spans="1:3" s="48" customFormat="1" ht="12.75" x14ac:dyDescent="0.2">
      <c r="A5" s="49" t="s">
        <v>233</v>
      </c>
      <c r="B5" s="50" t="s">
        <v>224</v>
      </c>
      <c r="C5" s="50" t="s">
        <v>225</v>
      </c>
    </row>
    <row r="6" spans="1:3" s="48" customFormat="1" ht="12.75" x14ac:dyDescent="0.2">
      <c r="A6" s="51"/>
      <c r="B6" s="52" t="s">
        <v>15</v>
      </c>
      <c r="C6" s="52" t="s">
        <v>14</v>
      </c>
    </row>
    <row r="7" spans="1:3" x14ac:dyDescent="0.25">
      <c r="C7" s="53"/>
    </row>
    <row r="8" spans="1:3" x14ac:dyDescent="0.25">
      <c r="A8" s="54" t="s">
        <v>0</v>
      </c>
      <c r="B8" s="55">
        <v>11378190324</v>
      </c>
      <c r="C8" s="55">
        <v>27336662291</v>
      </c>
    </row>
    <row r="9" spans="1:3" x14ac:dyDescent="0.25">
      <c r="A9" s="54" t="s">
        <v>1</v>
      </c>
      <c r="B9" s="55"/>
      <c r="C9" s="55"/>
    </row>
    <row r="10" spans="1:3" x14ac:dyDescent="0.25">
      <c r="A10" s="54" t="s">
        <v>2</v>
      </c>
      <c r="B10" s="55">
        <v>1157908995</v>
      </c>
      <c r="C10" s="55">
        <v>3577642443</v>
      </c>
    </row>
    <row r="11" spans="1:3" x14ac:dyDescent="0.25">
      <c r="A11" s="54" t="s">
        <v>288</v>
      </c>
      <c r="B11" s="55">
        <v>8691</v>
      </c>
      <c r="C11" s="55">
        <v>16280</v>
      </c>
    </row>
    <row r="12" spans="1:3" x14ac:dyDescent="0.25">
      <c r="A12" s="54" t="s">
        <v>265</v>
      </c>
      <c r="B12" s="55">
        <v>329641439</v>
      </c>
      <c r="C12" s="55">
        <v>972058346</v>
      </c>
    </row>
    <row r="13" spans="1:3" x14ac:dyDescent="0.25">
      <c r="A13" s="54" t="s">
        <v>292</v>
      </c>
      <c r="B13" s="55">
        <v>8045153</v>
      </c>
      <c r="C13" s="55">
        <v>24442841</v>
      </c>
    </row>
    <row r="14" spans="1:3" x14ac:dyDescent="0.25">
      <c r="A14" s="54" t="s">
        <v>301</v>
      </c>
      <c r="B14" s="55">
        <v>1240847</v>
      </c>
      <c r="C14" s="55">
        <v>5676401</v>
      </c>
    </row>
    <row r="15" spans="1:3" x14ac:dyDescent="0.25">
      <c r="A15" s="54" t="s">
        <v>300</v>
      </c>
      <c r="B15" s="55">
        <v>2711144</v>
      </c>
      <c r="C15" s="55">
        <v>9612601</v>
      </c>
    </row>
    <row r="16" spans="1:3" x14ac:dyDescent="0.25">
      <c r="A16" s="54" t="s">
        <v>303</v>
      </c>
      <c r="B16" s="55">
        <v>18727371</v>
      </c>
      <c r="C16" s="55">
        <v>54726399</v>
      </c>
    </row>
    <row r="17" spans="1:3" x14ac:dyDescent="0.25">
      <c r="A17" s="54" t="s">
        <v>281</v>
      </c>
      <c r="B17" s="55">
        <v>38471</v>
      </c>
      <c r="C17" s="55">
        <v>71934</v>
      </c>
    </row>
    <row r="18" spans="1:3" x14ac:dyDescent="0.25">
      <c r="A18" s="54" t="s">
        <v>313</v>
      </c>
      <c r="B18" s="55">
        <v>254233127</v>
      </c>
      <c r="C18" s="55">
        <v>860440434</v>
      </c>
    </row>
    <row r="19" spans="1:3" x14ac:dyDescent="0.25">
      <c r="A19" s="54" t="s">
        <v>321</v>
      </c>
      <c r="B19" s="55">
        <v>28956</v>
      </c>
      <c r="C19" s="55">
        <v>55515</v>
      </c>
    </row>
    <row r="20" spans="1:3" x14ac:dyDescent="0.25">
      <c r="A20" s="54" t="s">
        <v>322</v>
      </c>
      <c r="B20" s="55">
        <v>1009688</v>
      </c>
      <c r="C20" s="55">
        <v>4669380</v>
      </c>
    </row>
    <row r="21" spans="1:3" x14ac:dyDescent="0.25">
      <c r="A21" s="54" t="s">
        <v>325</v>
      </c>
      <c r="B21" s="55">
        <v>18536561</v>
      </c>
      <c r="C21" s="55">
        <v>57225143</v>
      </c>
    </row>
    <row r="22" spans="1:3" x14ac:dyDescent="0.25">
      <c r="A22" s="54" t="s">
        <v>329</v>
      </c>
      <c r="B22" s="55">
        <v>95790</v>
      </c>
      <c r="C22" s="55">
        <v>186824</v>
      </c>
    </row>
    <row r="23" spans="1:3" x14ac:dyDescent="0.25">
      <c r="A23" s="54" t="s">
        <v>349</v>
      </c>
      <c r="B23" s="55">
        <v>24749485</v>
      </c>
      <c r="C23" s="55">
        <v>121751243</v>
      </c>
    </row>
    <row r="24" spans="1:3" x14ac:dyDescent="0.25">
      <c r="A24" s="54" t="s">
        <v>355</v>
      </c>
      <c r="B24" s="55">
        <v>64496</v>
      </c>
      <c r="C24" s="55">
        <v>128910</v>
      </c>
    </row>
    <row r="25" spans="1:3" x14ac:dyDescent="0.25">
      <c r="A25" s="54" t="s">
        <v>356</v>
      </c>
      <c r="B25" s="55">
        <v>9609110</v>
      </c>
      <c r="C25" s="55">
        <v>29696049</v>
      </c>
    </row>
    <row r="26" spans="1:3" x14ac:dyDescent="0.25">
      <c r="A26" s="54" t="s">
        <v>360</v>
      </c>
      <c r="B26" s="55">
        <v>9666448</v>
      </c>
      <c r="C26" s="55">
        <v>13714998</v>
      </c>
    </row>
    <row r="27" spans="1:3" x14ac:dyDescent="0.25">
      <c r="A27" s="54" t="s">
        <v>364</v>
      </c>
      <c r="B27" s="55">
        <v>643077</v>
      </c>
      <c r="C27" s="55">
        <v>584185</v>
      </c>
    </row>
    <row r="28" spans="1:3" x14ac:dyDescent="0.25">
      <c r="A28" s="54" t="s">
        <v>372</v>
      </c>
      <c r="B28" s="55">
        <v>159698285</v>
      </c>
      <c r="C28" s="55">
        <v>489029454</v>
      </c>
    </row>
    <row r="29" spans="1:3" x14ac:dyDescent="0.25">
      <c r="A29" s="54" t="s">
        <v>367</v>
      </c>
      <c r="B29" s="55">
        <v>17372100</v>
      </c>
      <c r="C29" s="55">
        <v>53744879</v>
      </c>
    </row>
    <row r="30" spans="1:3" x14ac:dyDescent="0.25">
      <c r="A30" s="54" t="s">
        <v>366</v>
      </c>
      <c r="B30" s="55" t="s">
        <v>30</v>
      </c>
      <c r="C30" s="55" t="s">
        <v>30</v>
      </c>
    </row>
    <row r="31" spans="1:3" x14ac:dyDescent="0.25">
      <c r="A31" s="54" t="s">
        <v>381</v>
      </c>
      <c r="B31" s="55">
        <v>26811</v>
      </c>
      <c r="C31" s="55">
        <v>52247</v>
      </c>
    </row>
    <row r="32" spans="1:3" x14ac:dyDescent="0.25">
      <c r="A32" s="54" t="s">
        <v>382</v>
      </c>
      <c r="B32" s="55">
        <v>13751629</v>
      </c>
      <c r="C32" s="55">
        <v>74509821</v>
      </c>
    </row>
    <row r="33" spans="1:3" x14ac:dyDescent="0.25">
      <c r="A33" s="54" t="s">
        <v>401</v>
      </c>
      <c r="B33" s="55">
        <v>20823099</v>
      </c>
      <c r="C33" s="55">
        <v>80325553</v>
      </c>
    </row>
    <row r="34" spans="1:3" x14ac:dyDescent="0.25">
      <c r="A34" s="54" t="s">
        <v>404</v>
      </c>
      <c r="B34" s="55">
        <v>30229</v>
      </c>
      <c r="C34" s="55">
        <v>59062</v>
      </c>
    </row>
    <row r="35" spans="1:3" x14ac:dyDescent="0.25">
      <c r="A35" s="54" t="s">
        <v>422</v>
      </c>
      <c r="B35" s="55">
        <v>2656636</v>
      </c>
      <c r="C35" s="55">
        <v>13821570</v>
      </c>
    </row>
    <row r="36" spans="1:3" x14ac:dyDescent="0.25">
      <c r="A36" s="54" t="s">
        <v>424</v>
      </c>
      <c r="B36" s="55">
        <v>14129</v>
      </c>
      <c r="C36" s="55">
        <v>29215</v>
      </c>
    </row>
    <row r="37" spans="1:3" x14ac:dyDescent="0.25">
      <c r="A37" s="54" t="s">
        <v>426</v>
      </c>
      <c r="B37" s="55">
        <v>28528554</v>
      </c>
      <c r="C37" s="55">
        <v>95374730</v>
      </c>
    </row>
    <row r="38" spans="1:3" x14ac:dyDescent="0.25">
      <c r="A38" s="54" t="s">
        <v>428</v>
      </c>
      <c r="B38" s="55">
        <v>6602896</v>
      </c>
      <c r="C38" s="55">
        <v>33200068</v>
      </c>
    </row>
    <row r="39" spans="1:3" x14ac:dyDescent="0.25">
      <c r="A39" s="54" t="s">
        <v>267</v>
      </c>
      <c r="B39" s="55">
        <v>2833139</v>
      </c>
      <c r="C39" s="55">
        <v>11452904</v>
      </c>
    </row>
    <row r="40" spans="1:3" x14ac:dyDescent="0.25">
      <c r="A40" s="54" t="s">
        <v>290</v>
      </c>
      <c r="B40" s="55">
        <v>801430</v>
      </c>
      <c r="C40" s="55">
        <v>4797660</v>
      </c>
    </row>
    <row r="41" spans="1:3" x14ac:dyDescent="0.25">
      <c r="A41" s="54" t="s">
        <v>373</v>
      </c>
      <c r="B41" s="55">
        <v>59381933</v>
      </c>
      <c r="C41" s="55">
        <v>84734148</v>
      </c>
    </row>
    <row r="42" spans="1:3" x14ac:dyDescent="0.25">
      <c r="A42" s="54" t="s">
        <v>309</v>
      </c>
      <c r="B42" s="55">
        <v>310005</v>
      </c>
      <c r="C42" s="55">
        <v>605328</v>
      </c>
    </row>
    <row r="43" spans="1:3" x14ac:dyDescent="0.25">
      <c r="A43" s="54" t="s">
        <v>409</v>
      </c>
      <c r="B43" s="55">
        <v>154430194</v>
      </c>
      <c r="C43" s="55">
        <v>421813770</v>
      </c>
    </row>
    <row r="44" spans="1:3" x14ac:dyDescent="0.25">
      <c r="A44" s="54" t="s">
        <v>317</v>
      </c>
      <c r="B44" s="55">
        <v>11272587</v>
      </c>
      <c r="C44" s="55">
        <v>58987805</v>
      </c>
    </row>
    <row r="45" spans="1:3" x14ac:dyDescent="0.25">
      <c r="A45" s="54" t="s">
        <v>416</v>
      </c>
      <c r="B45" s="55">
        <v>325485</v>
      </c>
      <c r="C45" s="55">
        <v>46746</v>
      </c>
    </row>
    <row r="46" spans="1:3" x14ac:dyDescent="0.25">
      <c r="A46" s="54" t="s">
        <v>1</v>
      </c>
      <c r="B46" s="55"/>
      <c r="C46" s="55"/>
    </row>
    <row r="47" spans="1:3" x14ac:dyDescent="0.25">
      <c r="A47" s="54" t="s">
        <v>3</v>
      </c>
      <c r="B47" s="55">
        <v>2448502199</v>
      </c>
      <c r="C47" s="55">
        <v>4481800322</v>
      </c>
    </row>
    <row r="48" spans="1:3" x14ac:dyDescent="0.25">
      <c r="A48" s="54" t="s">
        <v>277</v>
      </c>
      <c r="B48" s="55" t="s">
        <v>30</v>
      </c>
      <c r="C48" s="55" t="s">
        <v>30</v>
      </c>
    </row>
    <row r="49" spans="1:3" x14ac:dyDescent="0.25">
      <c r="A49" s="54" t="s">
        <v>282</v>
      </c>
      <c r="B49" s="55">
        <v>78812364</v>
      </c>
      <c r="C49" s="55">
        <v>140826482</v>
      </c>
    </row>
    <row r="50" spans="1:3" x14ac:dyDescent="0.25">
      <c r="A50" s="54" t="s">
        <v>285</v>
      </c>
      <c r="B50" s="55">
        <v>919799474</v>
      </c>
      <c r="C50" s="55">
        <v>1527756526</v>
      </c>
    </row>
    <row r="51" spans="1:3" x14ac:dyDescent="0.25">
      <c r="A51" s="54" t="s">
        <v>293</v>
      </c>
      <c r="B51" s="55">
        <v>2106454</v>
      </c>
      <c r="C51" s="55">
        <v>923966</v>
      </c>
    </row>
    <row r="52" spans="1:3" x14ac:dyDescent="0.25">
      <c r="A52" s="54" t="s">
        <v>298</v>
      </c>
      <c r="B52" s="55">
        <v>60121325</v>
      </c>
      <c r="C52" s="55">
        <v>131015837</v>
      </c>
    </row>
    <row r="53" spans="1:3" x14ac:dyDescent="0.25">
      <c r="A53" s="54" t="s">
        <v>302</v>
      </c>
      <c r="B53" s="55">
        <v>6825717</v>
      </c>
      <c r="C53" s="55">
        <v>15087137</v>
      </c>
    </row>
    <row r="54" spans="1:3" x14ac:dyDescent="0.25">
      <c r="A54" s="54" t="s">
        <v>442</v>
      </c>
      <c r="B54" s="55">
        <v>44741724</v>
      </c>
      <c r="C54" s="55">
        <v>172080579</v>
      </c>
    </row>
    <row r="55" spans="1:3" x14ac:dyDescent="0.25">
      <c r="A55" s="54" t="s">
        <v>296</v>
      </c>
      <c r="B55" s="55">
        <v>447857632</v>
      </c>
      <c r="C55" s="55">
        <v>911232135</v>
      </c>
    </row>
    <row r="56" spans="1:3" x14ac:dyDescent="0.25">
      <c r="A56" s="54" t="s">
        <v>311</v>
      </c>
      <c r="B56" s="55">
        <v>16773447</v>
      </c>
      <c r="C56" s="55">
        <v>31952246</v>
      </c>
    </row>
    <row r="57" spans="1:3" x14ac:dyDescent="0.25">
      <c r="A57" s="54" t="s">
        <v>312</v>
      </c>
      <c r="B57" s="55">
        <v>59273627</v>
      </c>
      <c r="C57" s="55">
        <v>178740144</v>
      </c>
    </row>
    <row r="58" spans="1:3" x14ac:dyDescent="0.25">
      <c r="A58" s="54" t="s">
        <v>314</v>
      </c>
      <c r="B58" s="55">
        <v>1094307</v>
      </c>
      <c r="C58" s="55">
        <v>746720</v>
      </c>
    </row>
    <row r="59" spans="1:3" x14ac:dyDescent="0.25">
      <c r="A59" s="54" t="s">
        <v>432</v>
      </c>
      <c r="B59" s="55">
        <v>157004077</v>
      </c>
      <c r="C59" s="55">
        <v>98381767</v>
      </c>
    </row>
    <row r="60" spans="1:3" x14ac:dyDescent="0.25">
      <c r="A60" s="54" t="s">
        <v>328</v>
      </c>
      <c r="B60" s="55">
        <v>4409435</v>
      </c>
      <c r="C60" s="55">
        <v>3639245</v>
      </c>
    </row>
    <row r="61" spans="1:3" x14ac:dyDescent="0.25">
      <c r="A61" s="54" t="s">
        <v>332</v>
      </c>
      <c r="B61" s="55">
        <v>1041514</v>
      </c>
      <c r="C61" s="55">
        <v>1069627</v>
      </c>
    </row>
    <row r="62" spans="1:3" x14ac:dyDescent="0.25">
      <c r="A62" s="54" t="s">
        <v>333</v>
      </c>
      <c r="B62" s="55">
        <v>57383</v>
      </c>
      <c r="C62" s="55">
        <v>134222</v>
      </c>
    </row>
    <row r="63" spans="1:3" x14ac:dyDescent="0.25">
      <c r="A63" s="54" t="s">
        <v>334</v>
      </c>
      <c r="B63" s="55">
        <v>1113391</v>
      </c>
      <c r="C63" s="55">
        <v>664362</v>
      </c>
    </row>
    <row r="64" spans="1:3" x14ac:dyDescent="0.25">
      <c r="A64" s="54" t="s">
        <v>345</v>
      </c>
      <c r="B64" s="55">
        <v>1563</v>
      </c>
      <c r="C64" s="55">
        <v>1145</v>
      </c>
    </row>
    <row r="65" spans="1:3" x14ac:dyDescent="0.25">
      <c r="A65" s="54" t="s">
        <v>368</v>
      </c>
      <c r="B65" s="55">
        <v>38376757</v>
      </c>
      <c r="C65" s="55">
        <v>20532242</v>
      </c>
    </row>
    <row r="66" spans="1:3" x14ac:dyDescent="0.25">
      <c r="A66" s="54" t="s">
        <v>380</v>
      </c>
      <c r="B66" s="55">
        <v>2331478</v>
      </c>
      <c r="C66" s="55">
        <v>273948</v>
      </c>
    </row>
    <row r="67" spans="1:3" x14ac:dyDescent="0.25">
      <c r="A67" s="54" t="s">
        <v>387</v>
      </c>
      <c r="B67" s="55">
        <v>3918041</v>
      </c>
      <c r="C67" s="55">
        <v>1463784</v>
      </c>
    </row>
    <row r="68" spans="1:3" x14ac:dyDescent="0.25">
      <c r="A68" s="54" t="s">
        <v>389</v>
      </c>
      <c r="B68" s="55">
        <v>110153875</v>
      </c>
      <c r="C68" s="55">
        <v>138933833</v>
      </c>
    </row>
    <row r="69" spans="1:3" x14ac:dyDescent="0.25">
      <c r="A69" s="54" t="s">
        <v>390</v>
      </c>
      <c r="B69" s="55">
        <v>347449931</v>
      </c>
      <c r="C69" s="55">
        <v>788814176</v>
      </c>
    </row>
    <row r="70" spans="1:3" x14ac:dyDescent="0.25">
      <c r="A70" s="54" t="s">
        <v>394</v>
      </c>
      <c r="B70" s="55">
        <v>5266783</v>
      </c>
      <c r="C70" s="55">
        <v>18745509</v>
      </c>
    </row>
    <row r="71" spans="1:3" x14ac:dyDescent="0.25">
      <c r="A71" s="54" t="s">
        <v>425</v>
      </c>
      <c r="B71" s="55">
        <v>72256</v>
      </c>
      <c r="C71" s="55">
        <v>103974</v>
      </c>
    </row>
    <row r="72" spans="1:3" x14ac:dyDescent="0.25">
      <c r="A72" s="54" t="s">
        <v>433</v>
      </c>
      <c r="B72" s="55">
        <v>117036435</v>
      </c>
      <c r="C72" s="55">
        <v>234582454</v>
      </c>
    </row>
    <row r="73" spans="1:3" x14ac:dyDescent="0.25">
      <c r="A73" s="54" t="s">
        <v>435</v>
      </c>
      <c r="B73" s="55">
        <v>20679163</v>
      </c>
      <c r="C73" s="55">
        <v>63701445</v>
      </c>
    </row>
    <row r="74" spans="1:3" x14ac:dyDescent="0.25">
      <c r="A74" s="54" t="s">
        <v>417</v>
      </c>
      <c r="B74" s="55">
        <v>7952</v>
      </c>
      <c r="C74" s="55">
        <v>12315</v>
      </c>
    </row>
    <row r="75" spans="1:3" x14ac:dyDescent="0.25">
      <c r="A75" s="54" t="s">
        <v>270</v>
      </c>
      <c r="B75" s="55">
        <v>226294</v>
      </c>
      <c r="C75" s="55">
        <v>31876</v>
      </c>
    </row>
    <row r="76" spans="1:3" x14ac:dyDescent="0.25">
      <c r="A76" s="54" t="s">
        <v>305</v>
      </c>
      <c r="B76" s="55">
        <v>1949800</v>
      </c>
      <c r="C76" s="55">
        <v>352626</v>
      </c>
    </row>
    <row r="77" spans="1:3" x14ac:dyDescent="0.25">
      <c r="A77" s="54" t="s">
        <v>446</v>
      </c>
      <c r="B77" s="55" t="s">
        <v>30</v>
      </c>
      <c r="C77" s="55" t="s">
        <v>30</v>
      </c>
    </row>
    <row r="78" spans="1:3" x14ac:dyDescent="0.25">
      <c r="A78" s="54" t="s">
        <v>1</v>
      </c>
      <c r="B78" s="55"/>
      <c r="C78" s="55"/>
    </row>
    <row r="79" spans="1:3" x14ac:dyDescent="0.25">
      <c r="A79" s="54" t="s">
        <v>4</v>
      </c>
      <c r="B79" s="55">
        <v>5265246671</v>
      </c>
      <c r="C79" s="55">
        <v>13002134805</v>
      </c>
    </row>
    <row r="80" spans="1:3" x14ac:dyDescent="0.25">
      <c r="A80" s="54" t="s">
        <v>400</v>
      </c>
      <c r="B80" s="55">
        <v>199887895</v>
      </c>
      <c r="C80" s="55">
        <v>780664003</v>
      </c>
    </row>
    <row r="81" spans="1:3" x14ac:dyDescent="0.25">
      <c r="A81" s="54" t="s">
        <v>275</v>
      </c>
      <c r="B81" s="55">
        <v>786016</v>
      </c>
      <c r="C81" s="55">
        <v>246276</v>
      </c>
    </row>
    <row r="82" spans="1:3" x14ac:dyDescent="0.25">
      <c r="A82" s="54" t="s">
        <v>291</v>
      </c>
      <c r="B82" s="55">
        <v>2030748</v>
      </c>
      <c r="C82" s="55">
        <v>1193198</v>
      </c>
    </row>
    <row r="83" spans="1:3" x14ac:dyDescent="0.25">
      <c r="A83" s="54" t="s">
        <v>412</v>
      </c>
      <c r="B83" s="55">
        <v>2983</v>
      </c>
      <c r="C83" s="55">
        <v>9942</v>
      </c>
    </row>
    <row r="84" spans="1:3" x14ac:dyDescent="0.25">
      <c r="A84" s="54" t="s">
        <v>350</v>
      </c>
      <c r="B84" s="55">
        <v>66095773</v>
      </c>
      <c r="C84" s="55">
        <v>367982455</v>
      </c>
    </row>
    <row r="85" spans="1:3" x14ac:dyDescent="0.25">
      <c r="A85" s="54" t="s">
        <v>297</v>
      </c>
      <c r="B85" s="55">
        <v>1100263489</v>
      </c>
      <c r="C85" s="55">
        <v>1573964104</v>
      </c>
    </row>
    <row r="86" spans="1:3" x14ac:dyDescent="0.25">
      <c r="A86" s="54" t="s">
        <v>391</v>
      </c>
      <c r="B86" s="55">
        <v>96998518</v>
      </c>
      <c r="C86" s="55">
        <v>295904739</v>
      </c>
    </row>
    <row r="87" spans="1:3" x14ac:dyDescent="0.25">
      <c r="A87" s="54" t="s">
        <v>421</v>
      </c>
      <c r="B87" s="55">
        <v>29947194</v>
      </c>
      <c r="C87" s="55">
        <v>98261342</v>
      </c>
    </row>
    <row r="88" spans="1:3" x14ac:dyDescent="0.25">
      <c r="A88" s="54" t="s">
        <v>338</v>
      </c>
      <c r="B88" s="55">
        <v>1115358536</v>
      </c>
      <c r="C88" s="55">
        <v>1558689428</v>
      </c>
    </row>
    <row r="89" spans="1:3" x14ac:dyDescent="0.25">
      <c r="A89" s="54" t="s">
        <v>339</v>
      </c>
      <c r="B89" s="55">
        <v>504428094</v>
      </c>
      <c r="C89" s="55">
        <v>1711671511</v>
      </c>
    </row>
    <row r="90" spans="1:3" x14ac:dyDescent="0.25">
      <c r="A90" s="54" t="s">
        <v>341</v>
      </c>
      <c r="B90" s="55">
        <v>90066812</v>
      </c>
      <c r="C90" s="55">
        <v>252230163</v>
      </c>
    </row>
    <row r="91" spans="1:3" x14ac:dyDescent="0.25">
      <c r="A91" s="54" t="s">
        <v>340</v>
      </c>
      <c r="B91" s="55">
        <v>94638672</v>
      </c>
      <c r="C91" s="55">
        <v>254842641</v>
      </c>
    </row>
    <row r="92" spans="1:3" x14ac:dyDescent="0.25">
      <c r="A92" s="54" t="s">
        <v>343</v>
      </c>
      <c r="B92" s="55">
        <v>79825440</v>
      </c>
      <c r="C92" s="55">
        <v>94183172</v>
      </c>
    </row>
    <row r="93" spans="1:3" x14ac:dyDescent="0.25">
      <c r="A93" s="54" t="s">
        <v>346</v>
      </c>
      <c r="B93" s="55">
        <v>35096763</v>
      </c>
      <c r="C93" s="55">
        <v>75148211</v>
      </c>
    </row>
    <row r="94" spans="1:3" x14ac:dyDescent="0.25">
      <c r="A94" s="54" t="s">
        <v>347</v>
      </c>
      <c r="B94" s="55">
        <v>71635076</v>
      </c>
      <c r="C94" s="55">
        <v>236508010</v>
      </c>
    </row>
    <row r="95" spans="1:3" x14ac:dyDescent="0.25">
      <c r="A95" s="54" t="s">
        <v>395</v>
      </c>
      <c r="B95" s="55">
        <v>463544</v>
      </c>
      <c r="C95" s="55">
        <v>226278</v>
      </c>
    </row>
    <row r="96" spans="1:3" x14ac:dyDescent="0.25">
      <c r="A96" s="54" t="s">
        <v>351</v>
      </c>
      <c r="B96" s="55">
        <v>3174374</v>
      </c>
      <c r="C96" s="55">
        <v>15985232</v>
      </c>
    </row>
    <row r="97" spans="1:3" x14ac:dyDescent="0.25">
      <c r="A97" s="54" t="s">
        <v>353</v>
      </c>
      <c r="B97" s="55">
        <v>30927266</v>
      </c>
      <c r="C97" s="55">
        <v>104705148</v>
      </c>
    </row>
    <row r="98" spans="1:3" x14ac:dyDescent="0.25">
      <c r="A98" s="54" t="s">
        <v>362</v>
      </c>
      <c r="B98" s="55">
        <v>339820348</v>
      </c>
      <c r="C98" s="55">
        <v>1183613808</v>
      </c>
    </row>
    <row r="99" spans="1:3" x14ac:dyDescent="0.25">
      <c r="A99" s="54" t="s">
        <v>385</v>
      </c>
      <c r="B99" s="55">
        <v>14707472</v>
      </c>
      <c r="C99" s="55">
        <v>56115467</v>
      </c>
    </row>
    <row r="100" spans="1:3" x14ac:dyDescent="0.25">
      <c r="A100" s="54" t="s">
        <v>376</v>
      </c>
      <c r="B100" s="55">
        <v>362697</v>
      </c>
      <c r="C100" s="55">
        <v>729627</v>
      </c>
    </row>
    <row r="101" spans="1:3" x14ac:dyDescent="0.25">
      <c r="A101" s="54" t="s">
        <v>430</v>
      </c>
      <c r="B101" s="55">
        <v>19045816</v>
      </c>
      <c r="C101" s="55">
        <v>68776148</v>
      </c>
    </row>
    <row r="102" spans="1:3" x14ac:dyDescent="0.25">
      <c r="A102" s="54" t="s">
        <v>386</v>
      </c>
      <c r="B102" s="55">
        <v>30413299</v>
      </c>
      <c r="C102" s="55">
        <v>42012964</v>
      </c>
    </row>
    <row r="103" spans="1:3" x14ac:dyDescent="0.25">
      <c r="A103" s="54" t="s">
        <v>405</v>
      </c>
      <c r="B103" s="55">
        <v>291801</v>
      </c>
      <c r="C103" s="55">
        <v>506755</v>
      </c>
    </row>
    <row r="104" spans="1:3" x14ac:dyDescent="0.25">
      <c r="A104" s="54" t="s">
        <v>420</v>
      </c>
      <c r="B104" s="55">
        <v>502827</v>
      </c>
      <c r="C104" s="55">
        <v>1631316</v>
      </c>
    </row>
    <row r="105" spans="1:3" x14ac:dyDescent="0.25">
      <c r="A105" s="54" t="s">
        <v>423</v>
      </c>
      <c r="B105" s="55">
        <v>132710187</v>
      </c>
      <c r="C105" s="55">
        <v>319586983</v>
      </c>
    </row>
    <row r="106" spans="1:3" x14ac:dyDescent="0.25">
      <c r="A106" s="54" t="s">
        <v>436</v>
      </c>
      <c r="B106" s="55">
        <v>929071159</v>
      </c>
      <c r="C106" s="55">
        <v>3268394348</v>
      </c>
    </row>
    <row r="107" spans="1:3" x14ac:dyDescent="0.25">
      <c r="A107" s="54" t="s">
        <v>335</v>
      </c>
      <c r="B107" s="55">
        <v>13234128</v>
      </c>
      <c r="C107" s="55">
        <v>4815047</v>
      </c>
    </row>
    <row r="108" spans="1:3" x14ac:dyDescent="0.25">
      <c r="A108" s="54" t="s">
        <v>276</v>
      </c>
      <c r="B108" s="55">
        <v>186978901</v>
      </c>
      <c r="C108" s="55">
        <v>363376434</v>
      </c>
    </row>
    <row r="109" spans="1:3" x14ac:dyDescent="0.25">
      <c r="A109" s="54" t="s">
        <v>286</v>
      </c>
      <c r="B109" s="55" t="s">
        <v>30</v>
      </c>
      <c r="C109" s="55" t="s">
        <v>30</v>
      </c>
    </row>
    <row r="110" spans="1:3" x14ac:dyDescent="0.25">
      <c r="A110" s="54" t="s">
        <v>437</v>
      </c>
      <c r="B110" s="55">
        <v>76185956</v>
      </c>
      <c r="C110" s="55">
        <v>269985764</v>
      </c>
    </row>
    <row r="111" spans="1:3" x14ac:dyDescent="0.25">
      <c r="A111" s="54" t="s">
        <v>269</v>
      </c>
      <c r="B111" s="55">
        <v>6154</v>
      </c>
      <c r="C111" s="55">
        <v>14447</v>
      </c>
    </row>
    <row r="112" spans="1:3" x14ac:dyDescent="0.25">
      <c r="A112" s="54" t="s">
        <v>273</v>
      </c>
      <c r="B112" s="55">
        <v>55762</v>
      </c>
      <c r="C112" s="55">
        <v>96761</v>
      </c>
    </row>
    <row r="113" spans="1:3" x14ac:dyDescent="0.25">
      <c r="A113" s="54" t="s">
        <v>323</v>
      </c>
      <c r="B113" s="55">
        <v>22199</v>
      </c>
      <c r="C113" s="55">
        <v>45482</v>
      </c>
    </row>
    <row r="114" spans="1:3" x14ac:dyDescent="0.25">
      <c r="A114" s="54" t="s">
        <v>348</v>
      </c>
      <c r="B114" s="55">
        <v>210772</v>
      </c>
      <c r="C114" s="55">
        <v>17601</v>
      </c>
    </row>
    <row r="115" spans="1:3" x14ac:dyDescent="0.25">
      <c r="A115" s="54" t="s">
        <v>1</v>
      </c>
      <c r="B115" s="55"/>
      <c r="C115" s="55"/>
    </row>
    <row r="116" spans="1:3" x14ac:dyDescent="0.25">
      <c r="A116" s="54" t="s">
        <v>5</v>
      </c>
      <c r="B116" s="55">
        <v>2359837270</v>
      </c>
      <c r="C116" s="55">
        <v>5898874175</v>
      </c>
    </row>
    <row r="117" spans="1:3" x14ac:dyDescent="0.25">
      <c r="A117" s="54" t="s">
        <v>264</v>
      </c>
      <c r="B117" s="55">
        <v>33460</v>
      </c>
      <c r="C117" s="55">
        <v>59127</v>
      </c>
    </row>
    <row r="118" spans="1:3" x14ac:dyDescent="0.25">
      <c r="A118" s="54" t="s">
        <v>272</v>
      </c>
      <c r="B118" s="55">
        <v>798507</v>
      </c>
      <c r="C118" s="55">
        <v>78595</v>
      </c>
    </row>
    <row r="119" spans="1:3" x14ac:dyDescent="0.25">
      <c r="A119" s="54" t="s">
        <v>279</v>
      </c>
      <c r="B119" s="55">
        <v>9485261</v>
      </c>
      <c r="C119" s="55">
        <v>21058724</v>
      </c>
    </row>
    <row r="120" spans="1:3" x14ac:dyDescent="0.25">
      <c r="A120" s="54" t="s">
        <v>287</v>
      </c>
      <c r="B120" s="55">
        <v>4563009</v>
      </c>
      <c r="C120" s="55">
        <v>4758496</v>
      </c>
    </row>
    <row r="121" spans="1:3" x14ac:dyDescent="0.25">
      <c r="A121" s="54" t="s">
        <v>308</v>
      </c>
      <c r="B121" s="55">
        <v>130229989</v>
      </c>
      <c r="C121" s="55">
        <v>380832682</v>
      </c>
    </row>
    <row r="122" spans="1:3" x14ac:dyDescent="0.25">
      <c r="A122" s="54" t="s">
        <v>411</v>
      </c>
      <c r="B122" s="55">
        <v>282235729</v>
      </c>
      <c r="C122" s="55">
        <v>889214785</v>
      </c>
    </row>
    <row r="123" spans="1:3" x14ac:dyDescent="0.25">
      <c r="A123" s="54" t="s">
        <v>319</v>
      </c>
      <c r="B123" s="55">
        <v>15800</v>
      </c>
      <c r="C123" s="55">
        <v>17042</v>
      </c>
    </row>
    <row r="124" spans="1:3" x14ac:dyDescent="0.25">
      <c r="A124" s="54" t="s">
        <v>320</v>
      </c>
      <c r="B124" s="55">
        <v>67346235</v>
      </c>
      <c r="C124" s="55">
        <v>185730416</v>
      </c>
    </row>
    <row r="125" spans="1:3" x14ac:dyDescent="0.25">
      <c r="A125" s="54" t="s">
        <v>326</v>
      </c>
      <c r="B125" s="55">
        <v>81344418</v>
      </c>
      <c r="C125" s="55">
        <v>245224976</v>
      </c>
    </row>
    <row r="126" spans="1:3" x14ac:dyDescent="0.25">
      <c r="A126" s="54" t="s">
        <v>336</v>
      </c>
      <c r="B126" s="55">
        <v>312161</v>
      </c>
      <c r="C126" s="55">
        <v>159436</v>
      </c>
    </row>
    <row r="127" spans="1:3" x14ac:dyDescent="0.25">
      <c r="A127" s="54" t="s">
        <v>342</v>
      </c>
      <c r="B127" s="55">
        <v>103101842</v>
      </c>
      <c r="C127" s="55">
        <v>395558716</v>
      </c>
    </row>
    <row r="128" spans="1:3" x14ac:dyDescent="0.25">
      <c r="A128" s="54" t="s">
        <v>344</v>
      </c>
      <c r="B128" s="55">
        <v>296124100</v>
      </c>
      <c r="C128" s="55">
        <v>834667456</v>
      </c>
    </row>
    <row r="129" spans="1:3" x14ac:dyDescent="0.25">
      <c r="A129" s="54" t="s">
        <v>365</v>
      </c>
      <c r="B129" s="55">
        <v>832</v>
      </c>
      <c r="C129" s="55">
        <v>615</v>
      </c>
    </row>
    <row r="130" spans="1:3" x14ac:dyDescent="0.25">
      <c r="A130" s="54" t="s">
        <v>384</v>
      </c>
      <c r="B130" s="55">
        <v>89559</v>
      </c>
      <c r="C130" s="55">
        <v>89239</v>
      </c>
    </row>
    <row r="131" spans="1:3" x14ac:dyDescent="0.25">
      <c r="A131" s="54" t="s">
        <v>378</v>
      </c>
      <c r="B131" s="55">
        <v>487014461</v>
      </c>
      <c r="C131" s="55">
        <v>769846967</v>
      </c>
    </row>
    <row r="132" spans="1:3" x14ac:dyDescent="0.25">
      <c r="A132" s="54" t="s">
        <v>392</v>
      </c>
      <c r="B132" s="55">
        <v>248532957</v>
      </c>
      <c r="C132" s="55">
        <v>734478854</v>
      </c>
    </row>
    <row r="133" spans="1:3" x14ac:dyDescent="0.25">
      <c r="A133" s="54" t="s">
        <v>393</v>
      </c>
      <c r="B133" s="55">
        <v>6343773</v>
      </c>
      <c r="C133" s="55">
        <v>16001518</v>
      </c>
    </row>
    <row r="134" spans="1:3" x14ac:dyDescent="0.25">
      <c r="A134" s="54" t="s">
        <v>431</v>
      </c>
      <c r="B134" s="55">
        <v>101076369</v>
      </c>
      <c r="C134" s="55">
        <v>321381808</v>
      </c>
    </row>
    <row r="135" spans="1:3" x14ac:dyDescent="0.25">
      <c r="A135" s="54" t="s">
        <v>396</v>
      </c>
      <c r="B135" s="55">
        <v>24215177</v>
      </c>
      <c r="C135" s="55">
        <v>70362831</v>
      </c>
    </row>
    <row r="136" spans="1:3" x14ac:dyDescent="0.25">
      <c r="A136" s="54" t="s">
        <v>418</v>
      </c>
      <c r="B136" s="55">
        <v>5679029</v>
      </c>
      <c r="C136" s="55">
        <v>143541</v>
      </c>
    </row>
    <row r="137" spans="1:3" x14ac:dyDescent="0.25">
      <c r="A137" s="54" t="s">
        <v>419</v>
      </c>
      <c r="B137" s="55">
        <v>1277922</v>
      </c>
      <c r="C137" s="55">
        <v>156632</v>
      </c>
    </row>
    <row r="138" spans="1:3" x14ac:dyDescent="0.25">
      <c r="A138" s="54" t="s">
        <v>306</v>
      </c>
      <c r="B138" s="55">
        <v>13847297</v>
      </c>
      <c r="C138" s="55">
        <v>42279214</v>
      </c>
    </row>
    <row r="139" spans="1:3" x14ac:dyDescent="0.25">
      <c r="A139" s="54" t="s">
        <v>427</v>
      </c>
      <c r="B139" s="55">
        <v>200522906</v>
      </c>
      <c r="C139" s="55">
        <v>588133481</v>
      </c>
    </row>
    <row r="140" spans="1:3" x14ac:dyDescent="0.25">
      <c r="A140" s="54" t="s">
        <v>324</v>
      </c>
      <c r="B140" s="55">
        <v>98562439</v>
      </c>
      <c r="C140" s="55">
        <v>37751476</v>
      </c>
    </row>
    <row r="141" spans="1:3" x14ac:dyDescent="0.25">
      <c r="A141" s="54" t="s">
        <v>278</v>
      </c>
      <c r="B141" s="55">
        <v>64538406</v>
      </c>
      <c r="C141" s="55">
        <v>191102683</v>
      </c>
    </row>
    <row r="142" spans="1:3" x14ac:dyDescent="0.25">
      <c r="A142" s="54" t="s">
        <v>316</v>
      </c>
      <c r="B142" s="55">
        <v>8435</v>
      </c>
      <c r="C142" s="55">
        <v>6483</v>
      </c>
    </row>
    <row r="143" spans="1:3" x14ac:dyDescent="0.25">
      <c r="A143" s="54" t="s">
        <v>352</v>
      </c>
      <c r="B143" s="55">
        <v>25003168</v>
      </c>
      <c r="C143" s="55">
        <v>70713684</v>
      </c>
    </row>
    <row r="144" spans="1:3" x14ac:dyDescent="0.25">
      <c r="A144" s="54" t="s">
        <v>357</v>
      </c>
      <c r="B144" s="55">
        <v>17205889</v>
      </c>
      <c r="C144" s="55">
        <v>51167343</v>
      </c>
    </row>
    <row r="145" spans="1:3" x14ac:dyDescent="0.25">
      <c r="A145" s="54" t="s">
        <v>369</v>
      </c>
      <c r="B145" s="55">
        <v>13839</v>
      </c>
      <c r="C145" s="55">
        <v>9323</v>
      </c>
    </row>
    <row r="146" spans="1:3" x14ac:dyDescent="0.25">
      <c r="A146" s="54" t="s">
        <v>397</v>
      </c>
      <c r="B146" s="55">
        <v>88151311</v>
      </c>
      <c r="C146" s="55">
        <v>47222116</v>
      </c>
    </row>
    <row r="147" spans="1:3" x14ac:dyDescent="0.25">
      <c r="A147" s="54" t="s">
        <v>429</v>
      </c>
      <c r="B147" s="55">
        <v>520425</v>
      </c>
      <c r="C147" s="55">
        <v>65030</v>
      </c>
    </row>
    <row r="148" spans="1:3" x14ac:dyDescent="0.25">
      <c r="A148" s="54" t="s">
        <v>283</v>
      </c>
      <c r="B148" s="55">
        <v>27093</v>
      </c>
      <c r="C148" s="55">
        <v>49437</v>
      </c>
    </row>
    <row r="149" spans="1:3" x14ac:dyDescent="0.25">
      <c r="A149" s="54" t="s">
        <v>304</v>
      </c>
      <c r="B149" s="55">
        <v>87172</v>
      </c>
      <c r="C149" s="55">
        <v>93304</v>
      </c>
    </row>
    <row r="150" spans="1:3" x14ac:dyDescent="0.25">
      <c r="A150" s="54" t="s">
        <v>406</v>
      </c>
      <c r="B150" s="55">
        <v>4422</v>
      </c>
      <c r="C150" s="55">
        <v>3226</v>
      </c>
    </row>
    <row r="151" spans="1:3" x14ac:dyDescent="0.25">
      <c r="A151" s="54" t="s">
        <v>407</v>
      </c>
      <c r="B151" s="55">
        <v>6174</v>
      </c>
      <c r="C151" s="55">
        <v>6398</v>
      </c>
    </row>
    <row r="152" spans="1:3" x14ac:dyDescent="0.25">
      <c r="A152" s="54" t="s">
        <v>383</v>
      </c>
      <c r="B152" s="55">
        <v>76215</v>
      </c>
      <c r="C152" s="55">
        <v>109251</v>
      </c>
    </row>
    <row r="153" spans="1:3" x14ac:dyDescent="0.25">
      <c r="A153" s="54" t="s">
        <v>307</v>
      </c>
      <c r="B153" s="55">
        <v>1401796</v>
      </c>
      <c r="C153" s="55">
        <v>302904</v>
      </c>
    </row>
    <row r="154" spans="1:3" x14ac:dyDescent="0.25">
      <c r="A154" s="54" t="s">
        <v>371</v>
      </c>
      <c r="B154" s="55">
        <v>12833</v>
      </c>
      <c r="C154" s="55">
        <v>9723</v>
      </c>
    </row>
    <row r="155" spans="1:3" x14ac:dyDescent="0.25">
      <c r="A155" s="54" t="s">
        <v>402</v>
      </c>
      <c r="B155" s="55">
        <v>26860</v>
      </c>
      <c r="C155" s="55">
        <v>26643</v>
      </c>
    </row>
    <row r="156" spans="1:3" x14ac:dyDescent="0.25">
      <c r="A156" s="54" t="s">
        <v>1</v>
      </c>
      <c r="B156" s="55"/>
      <c r="C156" s="55"/>
    </row>
    <row r="157" spans="1:3" x14ac:dyDescent="0.25">
      <c r="A157" s="54" t="s">
        <v>6</v>
      </c>
      <c r="B157" s="55">
        <v>98364198</v>
      </c>
      <c r="C157" s="55">
        <v>283053677</v>
      </c>
    </row>
    <row r="158" spans="1:3" x14ac:dyDescent="0.25">
      <c r="A158" s="54" t="s">
        <v>271</v>
      </c>
      <c r="B158" s="55">
        <v>86337803</v>
      </c>
      <c r="C158" s="55">
        <v>240298814</v>
      </c>
    </row>
    <row r="159" spans="1:3" x14ac:dyDescent="0.25">
      <c r="A159" s="54" t="s">
        <v>379</v>
      </c>
      <c r="B159" s="55">
        <v>12026395</v>
      </c>
      <c r="C159" s="55">
        <v>42754863</v>
      </c>
    </row>
    <row r="160" spans="1:3" x14ac:dyDescent="0.25">
      <c r="A160" s="54" t="s">
        <v>1</v>
      </c>
      <c r="B160" s="55"/>
      <c r="C160" s="55"/>
    </row>
    <row r="161" spans="1:3" x14ac:dyDescent="0.25">
      <c r="A161" s="54" t="s">
        <v>223</v>
      </c>
      <c r="B161" s="55">
        <v>48330991</v>
      </c>
      <c r="C161" s="55">
        <v>93156869</v>
      </c>
    </row>
    <row r="162" spans="1:3" x14ac:dyDescent="0.25">
      <c r="A162" s="54" t="s">
        <v>443</v>
      </c>
      <c r="B162" s="55">
        <v>18475683</v>
      </c>
      <c r="C162" s="55">
        <v>21761967</v>
      </c>
    </row>
    <row r="163" spans="1:3" x14ac:dyDescent="0.25">
      <c r="A163" s="54" t="s">
        <v>455</v>
      </c>
      <c r="B163" s="55">
        <v>29855308</v>
      </c>
      <c r="C163" s="55">
        <v>71394902</v>
      </c>
    </row>
    <row r="164" spans="1:3" ht="24" customHeight="1" x14ac:dyDescent="0.25">
      <c r="A164" s="62" t="s">
        <v>227</v>
      </c>
      <c r="B164" s="62"/>
      <c r="C164" s="62"/>
    </row>
    <row r="165" spans="1:3" x14ac:dyDescent="0.25">
      <c r="A165" s="56" t="s">
        <v>228</v>
      </c>
      <c r="B165" s="57"/>
      <c r="C165" s="57"/>
    </row>
    <row r="166" spans="1:3" x14ac:dyDescent="0.25">
      <c r="A166" s="58" t="s">
        <v>234</v>
      </c>
      <c r="B166" s="57"/>
      <c r="C166" s="57"/>
    </row>
    <row r="167" spans="1:3" x14ac:dyDescent="0.25">
      <c r="A167" s="56" t="s">
        <v>229</v>
      </c>
      <c r="B167" s="57"/>
      <c r="C167" s="57"/>
    </row>
  </sheetData>
  <mergeCells count="3">
    <mergeCell ref="A1:C2"/>
    <mergeCell ref="B4:C4"/>
    <mergeCell ref="A164:C16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7"/>
  <sheetViews>
    <sheetView workbookViewId="0">
      <selection activeCell="A3" sqref="A3"/>
    </sheetView>
  </sheetViews>
  <sheetFormatPr baseColWidth="10" defaultRowHeight="15" x14ac:dyDescent="0.25"/>
  <cols>
    <col min="1" max="1" width="40.125" style="45" customWidth="1"/>
    <col min="2" max="2" width="16" style="45" bestFit="1" customWidth="1"/>
    <col min="3" max="3" width="14.875" style="45" customWidth="1"/>
    <col min="4" max="16384" width="11" style="45"/>
  </cols>
  <sheetData>
    <row r="1" spans="1:3" x14ac:dyDescent="0.25">
      <c r="A1" s="59" t="s">
        <v>240</v>
      </c>
      <c r="B1" s="59"/>
      <c r="C1" s="59"/>
    </row>
    <row r="2" spans="1:3" x14ac:dyDescent="0.25">
      <c r="A2" s="59"/>
      <c r="B2" s="59"/>
      <c r="C2" s="59"/>
    </row>
    <row r="3" spans="1:3" s="46" customFormat="1" ht="12.75" x14ac:dyDescent="0.2"/>
    <row r="4" spans="1:3" s="48" customFormat="1" ht="12.75" x14ac:dyDescent="0.2">
      <c r="A4" s="47"/>
      <c r="B4" s="60" t="s">
        <v>226</v>
      </c>
      <c r="C4" s="61"/>
    </row>
    <row r="5" spans="1:3" s="48" customFormat="1" ht="12.75" x14ac:dyDescent="0.2">
      <c r="A5" s="49" t="s">
        <v>233</v>
      </c>
      <c r="B5" s="50" t="s">
        <v>224</v>
      </c>
      <c r="C5" s="50" t="s">
        <v>225</v>
      </c>
    </row>
    <row r="6" spans="1:3" s="48" customFormat="1" ht="12.75" x14ac:dyDescent="0.2">
      <c r="A6" s="51"/>
      <c r="B6" s="52" t="s">
        <v>15</v>
      </c>
      <c r="C6" s="52" t="s">
        <v>14</v>
      </c>
    </row>
    <row r="7" spans="1:3" x14ac:dyDescent="0.25">
      <c r="C7" s="53"/>
    </row>
    <row r="8" spans="1:3" x14ac:dyDescent="0.25">
      <c r="A8" s="54" t="s">
        <v>0</v>
      </c>
      <c r="B8" s="55">
        <v>14276570992</v>
      </c>
      <c r="C8" s="55">
        <v>34746482719</v>
      </c>
    </row>
    <row r="9" spans="1:3" x14ac:dyDescent="0.25">
      <c r="A9" s="54" t="s">
        <v>1</v>
      </c>
      <c r="B9" s="55"/>
      <c r="C9" s="55"/>
    </row>
    <row r="10" spans="1:3" x14ac:dyDescent="0.25">
      <c r="A10" s="54" t="s">
        <v>2</v>
      </c>
      <c r="B10" s="55">
        <v>1544908028</v>
      </c>
      <c r="C10" s="55">
        <v>4760784368</v>
      </c>
    </row>
    <row r="11" spans="1:3" x14ac:dyDescent="0.25">
      <c r="A11" s="54" t="s">
        <v>288</v>
      </c>
      <c r="B11" s="55">
        <v>14354</v>
      </c>
      <c r="C11" s="55">
        <v>30873</v>
      </c>
    </row>
    <row r="12" spans="1:3" x14ac:dyDescent="0.25">
      <c r="A12" s="54" t="s">
        <v>265</v>
      </c>
      <c r="B12" s="55">
        <v>573207503</v>
      </c>
      <c r="C12" s="55">
        <v>1752652747</v>
      </c>
    </row>
    <row r="13" spans="1:3" x14ac:dyDescent="0.25">
      <c r="A13" s="54" t="s">
        <v>292</v>
      </c>
      <c r="B13" s="55">
        <v>13470062</v>
      </c>
      <c r="C13" s="55">
        <v>42897335</v>
      </c>
    </row>
    <row r="14" spans="1:3" x14ac:dyDescent="0.25">
      <c r="A14" s="54" t="s">
        <v>301</v>
      </c>
      <c r="B14" s="55">
        <v>2265660</v>
      </c>
      <c r="C14" s="55">
        <v>9154326</v>
      </c>
    </row>
    <row r="15" spans="1:3" x14ac:dyDescent="0.25">
      <c r="A15" s="54" t="s">
        <v>300</v>
      </c>
      <c r="B15" s="55">
        <v>1906265</v>
      </c>
      <c r="C15" s="55">
        <v>7235950</v>
      </c>
    </row>
    <row r="16" spans="1:3" x14ac:dyDescent="0.25">
      <c r="A16" s="54" t="s">
        <v>303</v>
      </c>
      <c r="B16" s="55">
        <v>31820035</v>
      </c>
      <c r="C16" s="55">
        <v>101405706</v>
      </c>
    </row>
    <row r="17" spans="1:3" x14ac:dyDescent="0.25">
      <c r="A17" s="54" t="s">
        <v>281</v>
      </c>
      <c r="B17" s="55">
        <v>44078</v>
      </c>
      <c r="C17" s="55">
        <v>95807</v>
      </c>
    </row>
    <row r="18" spans="1:3" x14ac:dyDescent="0.25">
      <c r="A18" s="54" t="s">
        <v>313</v>
      </c>
      <c r="B18" s="55">
        <v>308783549</v>
      </c>
      <c r="C18" s="55">
        <v>874922185</v>
      </c>
    </row>
    <row r="19" spans="1:3" x14ac:dyDescent="0.25">
      <c r="A19" s="54" t="s">
        <v>321</v>
      </c>
      <c r="B19" s="55">
        <v>20231</v>
      </c>
      <c r="C19" s="55">
        <v>42745</v>
      </c>
    </row>
    <row r="20" spans="1:3" x14ac:dyDescent="0.25">
      <c r="A20" s="54" t="s">
        <v>322</v>
      </c>
      <c r="B20" s="55">
        <v>439123</v>
      </c>
      <c r="C20" s="55">
        <v>1533187</v>
      </c>
    </row>
    <row r="21" spans="1:3" x14ac:dyDescent="0.25">
      <c r="A21" s="54" t="s">
        <v>325</v>
      </c>
      <c r="B21" s="55">
        <v>26229788</v>
      </c>
      <c r="C21" s="55">
        <v>81070810</v>
      </c>
    </row>
    <row r="22" spans="1:3" x14ac:dyDescent="0.25">
      <c r="A22" s="54" t="s">
        <v>329</v>
      </c>
      <c r="B22" s="55">
        <v>98543</v>
      </c>
      <c r="C22" s="55">
        <v>210269</v>
      </c>
    </row>
    <row r="23" spans="1:3" x14ac:dyDescent="0.25">
      <c r="A23" s="54" t="s">
        <v>349</v>
      </c>
      <c r="B23" s="55">
        <v>18275873</v>
      </c>
      <c r="C23" s="55">
        <v>86454911</v>
      </c>
    </row>
    <row r="24" spans="1:3" x14ac:dyDescent="0.25">
      <c r="A24" s="54" t="s">
        <v>355</v>
      </c>
      <c r="B24" s="55">
        <v>47596</v>
      </c>
      <c r="C24" s="55">
        <v>101916</v>
      </c>
    </row>
    <row r="25" spans="1:3" x14ac:dyDescent="0.25">
      <c r="A25" s="54" t="s">
        <v>356</v>
      </c>
      <c r="B25" s="55">
        <v>35979904</v>
      </c>
      <c r="C25" s="55">
        <v>113881763</v>
      </c>
    </row>
    <row r="26" spans="1:3" x14ac:dyDescent="0.25">
      <c r="A26" s="54" t="s">
        <v>360</v>
      </c>
      <c r="B26" s="55">
        <v>9412161</v>
      </c>
      <c r="C26" s="55">
        <v>17157600</v>
      </c>
    </row>
    <row r="27" spans="1:3" x14ac:dyDescent="0.25">
      <c r="A27" s="54" t="s">
        <v>364</v>
      </c>
      <c r="B27" s="55">
        <v>462990</v>
      </c>
      <c r="C27" s="55">
        <v>2054696</v>
      </c>
    </row>
    <row r="28" spans="1:3" x14ac:dyDescent="0.25">
      <c r="A28" s="54" t="s">
        <v>372</v>
      </c>
      <c r="B28" s="55">
        <v>190029003</v>
      </c>
      <c r="C28" s="55">
        <v>670161980</v>
      </c>
    </row>
    <row r="29" spans="1:3" x14ac:dyDescent="0.25">
      <c r="A29" s="54" t="s">
        <v>367</v>
      </c>
      <c r="B29" s="55">
        <v>17148996</v>
      </c>
      <c r="C29" s="55">
        <v>50801194</v>
      </c>
    </row>
    <row r="30" spans="1:3" x14ac:dyDescent="0.25">
      <c r="A30" s="54" t="s">
        <v>366</v>
      </c>
      <c r="B30" s="55">
        <v>1387410</v>
      </c>
      <c r="C30" s="55">
        <v>6145537</v>
      </c>
    </row>
    <row r="31" spans="1:3" x14ac:dyDescent="0.25">
      <c r="A31" s="54" t="s">
        <v>381</v>
      </c>
      <c r="B31" s="55">
        <v>20384</v>
      </c>
      <c r="C31" s="55">
        <v>42793</v>
      </c>
    </row>
    <row r="32" spans="1:3" x14ac:dyDescent="0.25">
      <c r="A32" s="54" t="s">
        <v>382</v>
      </c>
      <c r="B32" s="55">
        <v>15609688</v>
      </c>
      <c r="C32" s="55">
        <v>64348225</v>
      </c>
    </row>
    <row r="33" spans="1:3" x14ac:dyDescent="0.25">
      <c r="A33" s="54" t="s">
        <v>401</v>
      </c>
      <c r="B33" s="55">
        <v>23736573</v>
      </c>
      <c r="C33" s="55">
        <v>94224310</v>
      </c>
    </row>
    <row r="34" spans="1:3" x14ac:dyDescent="0.25">
      <c r="A34" s="54" t="s">
        <v>404</v>
      </c>
      <c r="B34" s="55">
        <v>15691</v>
      </c>
      <c r="C34" s="55">
        <v>34055</v>
      </c>
    </row>
    <row r="35" spans="1:3" x14ac:dyDescent="0.25">
      <c r="A35" s="54" t="s">
        <v>422</v>
      </c>
      <c r="B35" s="55">
        <v>5559607</v>
      </c>
      <c r="C35" s="55">
        <v>27691965</v>
      </c>
    </row>
    <row r="36" spans="1:3" x14ac:dyDescent="0.25">
      <c r="A36" s="54" t="s">
        <v>424</v>
      </c>
      <c r="B36" s="55">
        <v>19477</v>
      </c>
      <c r="C36" s="55">
        <v>40051</v>
      </c>
    </row>
    <row r="37" spans="1:3" x14ac:dyDescent="0.25">
      <c r="A37" s="54" t="s">
        <v>426</v>
      </c>
      <c r="B37" s="55">
        <v>31165378</v>
      </c>
      <c r="C37" s="55">
        <v>68440603</v>
      </c>
    </row>
    <row r="38" spans="1:3" x14ac:dyDescent="0.25">
      <c r="A38" s="54" t="s">
        <v>428</v>
      </c>
      <c r="B38" s="55">
        <v>7616768</v>
      </c>
      <c r="C38" s="55">
        <v>35762036</v>
      </c>
    </row>
    <row r="39" spans="1:3" x14ac:dyDescent="0.25">
      <c r="A39" s="54" t="s">
        <v>267</v>
      </c>
      <c r="B39" s="55">
        <v>3715939</v>
      </c>
      <c r="C39" s="55">
        <v>8246922</v>
      </c>
    </row>
    <row r="40" spans="1:3" x14ac:dyDescent="0.25">
      <c r="A40" s="54" t="s">
        <v>290</v>
      </c>
      <c r="B40" s="55">
        <v>636091</v>
      </c>
      <c r="C40" s="55">
        <v>4062098</v>
      </c>
    </row>
    <row r="41" spans="1:3" x14ac:dyDescent="0.25">
      <c r="A41" s="54" t="s">
        <v>373</v>
      </c>
      <c r="B41" s="55">
        <v>47075554</v>
      </c>
      <c r="C41" s="55">
        <v>72904581</v>
      </c>
    </row>
    <row r="42" spans="1:3" x14ac:dyDescent="0.25">
      <c r="A42" s="54" t="s">
        <v>309</v>
      </c>
      <c r="B42" s="55">
        <v>326980</v>
      </c>
      <c r="C42" s="55">
        <v>738516</v>
      </c>
    </row>
    <row r="43" spans="1:3" x14ac:dyDescent="0.25">
      <c r="A43" s="54" t="s">
        <v>409</v>
      </c>
      <c r="B43" s="55">
        <v>174955211</v>
      </c>
      <c r="C43" s="55">
        <v>549461924</v>
      </c>
    </row>
    <row r="44" spans="1:3" x14ac:dyDescent="0.25">
      <c r="A44" s="54" t="s">
        <v>317</v>
      </c>
      <c r="B44" s="55">
        <v>3411563</v>
      </c>
      <c r="C44" s="55">
        <v>16774752</v>
      </c>
    </row>
    <row r="45" spans="1:3" x14ac:dyDescent="0.25">
      <c r="A45" s="54" t="s">
        <v>416</v>
      </c>
      <c r="B45" s="55" t="s">
        <v>30</v>
      </c>
      <c r="C45" s="55" t="s">
        <v>30</v>
      </c>
    </row>
    <row r="46" spans="1:3" x14ac:dyDescent="0.25">
      <c r="A46" s="54" t="s">
        <v>1</v>
      </c>
      <c r="B46" s="55"/>
      <c r="C46" s="55"/>
    </row>
    <row r="47" spans="1:3" x14ac:dyDescent="0.25">
      <c r="A47" s="54" t="s">
        <v>3</v>
      </c>
      <c r="B47" s="55">
        <v>2819432406</v>
      </c>
      <c r="C47" s="55">
        <v>4466607698</v>
      </c>
    </row>
    <row r="48" spans="1:3" x14ac:dyDescent="0.25">
      <c r="A48" s="54" t="s">
        <v>277</v>
      </c>
      <c r="B48" s="55">
        <v>257081</v>
      </c>
      <c r="C48" s="55">
        <v>120870</v>
      </c>
    </row>
    <row r="49" spans="1:3" x14ac:dyDescent="0.25">
      <c r="A49" s="54" t="s">
        <v>282</v>
      </c>
      <c r="B49" s="55">
        <v>91336276</v>
      </c>
      <c r="C49" s="55">
        <v>116623517</v>
      </c>
    </row>
    <row r="50" spans="1:3" x14ac:dyDescent="0.25">
      <c r="A50" s="54" t="s">
        <v>285</v>
      </c>
      <c r="B50" s="55">
        <v>1114937768</v>
      </c>
      <c r="C50" s="55">
        <v>1275127325</v>
      </c>
    </row>
    <row r="51" spans="1:3" x14ac:dyDescent="0.25">
      <c r="A51" s="54" t="s">
        <v>293</v>
      </c>
      <c r="B51" s="55">
        <v>12577314</v>
      </c>
      <c r="C51" s="55">
        <v>15408754</v>
      </c>
    </row>
    <row r="52" spans="1:3" x14ac:dyDescent="0.25">
      <c r="A52" s="54" t="s">
        <v>298</v>
      </c>
      <c r="B52" s="55">
        <v>78338486</v>
      </c>
      <c r="C52" s="55">
        <v>214481850</v>
      </c>
    </row>
    <row r="53" spans="1:3" x14ac:dyDescent="0.25">
      <c r="A53" s="54" t="s">
        <v>302</v>
      </c>
      <c r="B53" s="55">
        <v>4507532</v>
      </c>
      <c r="C53" s="55">
        <v>10090554</v>
      </c>
    </row>
    <row r="54" spans="1:3" x14ac:dyDescent="0.25">
      <c r="A54" s="54" t="s">
        <v>442</v>
      </c>
      <c r="B54" s="55">
        <v>57752831</v>
      </c>
      <c r="C54" s="55">
        <v>208065060</v>
      </c>
    </row>
    <row r="55" spans="1:3" x14ac:dyDescent="0.25">
      <c r="A55" s="54" t="s">
        <v>296</v>
      </c>
      <c r="B55" s="55">
        <v>409885093</v>
      </c>
      <c r="C55" s="55">
        <v>813625316</v>
      </c>
    </row>
    <row r="56" spans="1:3" x14ac:dyDescent="0.25">
      <c r="A56" s="54" t="s">
        <v>311</v>
      </c>
      <c r="B56" s="55">
        <v>50537012</v>
      </c>
      <c r="C56" s="55">
        <v>96578116</v>
      </c>
    </row>
    <row r="57" spans="1:3" x14ac:dyDescent="0.25">
      <c r="A57" s="54" t="s">
        <v>312</v>
      </c>
      <c r="B57" s="55">
        <v>79490008</v>
      </c>
      <c r="C57" s="55">
        <v>229954800</v>
      </c>
    </row>
    <row r="58" spans="1:3" x14ac:dyDescent="0.25">
      <c r="A58" s="54" t="s">
        <v>314</v>
      </c>
      <c r="B58" s="55">
        <v>943247</v>
      </c>
      <c r="C58" s="55">
        <v>662456</v>
      </c>
    </row>
    <row r="59" spans="1:3" x14ac:dyDescent="0.25">
      <c r="A59" s="54" t="s">
        <v>432</v>
      </c>
      <c r="B59" s="55">
        <v>159641577</v>
      </c>
      <c r="C59" s="55">
        <v>144702984</v>
      </c>
    </row>
    <row r="60" spans="1:3" x14ac:dyDescent="0.25">
      <c r="A60" s="54" t="s">
        <v>328</v>
      </c>
      <c r="B60" s="55">
        <v>8621036</v>
      </c>
      <c r="C60" s="55">
        <v>11528843</v>
      </c>
    </row>
    <row r="61" spans="1:3" x14ac:dyDescent="0.25">
      <c r="A61" s="54" t="s">
        <v>332</v>
      </c>
      <c r="B61" s="55">
        <v>2018731</v>
      </c>
      <c r="C61" s="55">
        <v>2221048</v>
      </c>
    </row>
    <row r="62" spans="1:3" x14ac:dyDescent="0.25">
      <c r="A62" s="54" t="s">
        <v>333</v>
      </c>
      <c r="B62" s="55">
        <v>32422</v>
      </c>
      <c r="C62" s="55">
        <v>65631</v>
      </c>
    </row>
    <row r="63" spans="1:3" x14ac:dyDescent="0.25">
      <c r="A63" s="54" t="s">
        <v>334</v>
      </c>
      <c r="B63" s="55">
        <v>1825089</v>
      </c>
      <c r="C63" s="55">
        <v>892682</v>
      </c>
    </row>
    <row r="64" spans="1:3" x14ac:dyDescent="0.25">
      <c r="A64" s="54" t="s">
        <v>345</v>
      </c>
      <c r="B64" s="55" t="s">
        <v>30</v>
      </c>
      <c r="C64" s="55" t="s">
        <v>30</v>
      </c>
    </row>
    <row r="65" spans="1:3" x14ac:dyDescent="0.25">
      <c r="A65" s="54" t="s">
        <v>368</v>
      </c>
      <c r="B65" s="55">
        <v>49196327</v>
      </c>
      <c r="C65" s="55">
        <v>27149087</v>
      </c>
    </row>
    <row r="66" spans="1:3" x14ac:dyDescent="0.25">
      <c r="A66" s="54" t="s">
        <v>380</v>
      </c>
      <c r="B66" s="55">
        <v>1840043</v>
      </c>
      <c r="C66" s="55">
        <v>168599</v>
      </c>
    </row>
    <row r="67" spans="1:3" x14ac:dyDescent="0.25">
      <c r="A67" s="54" t="s">
        <v>387</v>
      </c>
      <c r="B67" s="55">
        <v>7568435</v>
      </c>
      <c r="C67" s="55">
        <v>9102868</v>
      </c>
    </row>
    <row r="68" spans="1:3" x14ac:dyDescent="0.25">
      <c r="A68" s="54" t="s">
        <v>389</v>
      </c>
      <c r="B68" s="55">
        <v>153115869</v>
      </c>
      <c r="C68" s="55">
        <v>153083668</v>
      </c>
    </row>
    <row r="69" spans="1:3" x14ac:dyDescent="0.25">
      <c r="A69" s="54" t="s">
        <v>390</v>
      </c>
      <c r="B69" s="55">
        <v>389080602</v>
      </c>
      <c r="C69" s="55">
        <v>873740508</v>
      </c>
    </row>
    <row r="70" spans="1:3" x14ac:dyDescent="0.25">
      <c r="A70" s="54" t="s">
        <v>394</v>
      </c>
      <c r="B70" s="55">
        <v>3972712</v>
      </c>
      <c r="C70" s="55">
        <v>15102126</v>
      </c>
    </row>
    <row r="71" spans="1:3" x14ac:dyDescent="0.25">
      <c r="A71" s="54" t="s">
        <v>425</v>
      </c>
      <c r="B71" s="55">
        <v>376528</v>
      </c>
      <c r="C71" s="55">
        <v>586955</v>
      </c>
    </row>
    <row r="72" spans="1:3" x14ac:dyDescent="0.25">
      <c r="A72" s="54" t="s">
        <v>433</v>
      </c>
      <c r="B72" s="55">
        <v>105264418</v>
      </c>
      <c r="C72" s="55">
        <v>148962887</v>
      </c>
    </row>
    <row r="73" spans="1:3" x14ac:dyDescent="0.25">
      <c r="A73" s="54" t="s">
        <v>435</v>
      </c>
      <c r="B73" s="55">
        <v>36014100</v>
      </c>
      <c r="C73" s="55">
        <v>98490548</v>
      </c>
    </row>
    <row r="74" spans="1:3" x14ac:dyDescent="0.25">
      <c r="A74" s="54" t="s">
        <v>417</v>
      </c>
      <c r="B74" s="55">
        <v>10115</v>
      </c>
      <c r="C74" s="55">
        <v>18376</v>
      </c>
    </row>
    <row r="75" spans="1:3" x14ac:dyDescent="0.25">
      <c r="A75" s="54" t="s">
        <v>270</v>
      </c>
      <c r="B75" s="55">
        <v>291358</v>
      </c>
      <c r="C75" s="55">
        <v>51880</v>
      </c>
    </row>
    <row r="76" spans="1:3" x14ac:dyDescent="0.25">
      <c r="A76" s="54" t="s">
        <v>305</v>
      </c>
      <c r="B76" s="55" t="s">
        <v>30</v>
      </c>
      <c r="C76" s="55" t="s">
        <v>30</v>
      </c>
    </row>
    <row r="77" spans="1:3" x14ac:dyDescent="0.25">
      <c r="A77" s="54" t="s">
        <v>446</v>
      </c>
      <c r="B77" s="55">
        <v>396</v>
      </c>
      <c r="C77" s="55">
        <v>390</v>
      </c>
    </row>
    <row r="78" spans="1:3" x14ac:dyDescent="0.25">
      <c r="A78" s="54" t="s">
        <v>1</v>
      </c>
      <c r="B78" s="55"/>
      <c r="C78" s="55"/>
    </row>
    <row r="79" spans="1:3" x14ac:dyDescent="0.25">
      <c r="A79" s="54" t="s">
        <v>4</v>
      </c>
      <c r="B79" s="55">
        <v>6530769189</v>
      </c>
      <c r="C79" s="55">
        <v>16265008220</v>
      </c>
    </row>
    <row r="80" spans="1:3" x14ac:dyDescent="0.25">
      <c r="A80" s="54" t="s">
        <v>400</v>
      </c>
      <c r="B80" s="55">
        <v>242562760</v>
      </c>
      <c r="C80" s="55">
        <v>967098705</v>
      </c>
    </row>
    <row r="81" spans="1:3" x14ac:dyDescent="0.25">
      <c r="A81" s="54" t="s">
        <v>275</v>
      </c>
      <c r="B81" s="55">
        <v>925731</v>
      </c>
      <c r="C81" s="55">
        <v>1751323</v>
      </c>
    </row>
    <row r="82" spans="1:3" x14ac:dyDescent="0.25">
      <c r="A82" s="54" t="s">
        <v>291</v>
      </c>
      <c r="B82" s="55">
        <v>5401025</v>
      </c>
      <c r="C82" s="55">
        <v>1018470</v>
      </c>
    </row>
    <row r="83" spans="1:3" x14ac:dyDescent="0.25">
      <c r="A83" s="54" t="s">
        <v>412</v>
      </c>
      <c r="B83" s="55" t="s">
        <v>30</v>
      </c>
      <c r="C83" s="55" t="s">
        <v>30</v>
      </c>
    </row>
    <row r="84" spans="1:3" x14ac:dyDescent="0.25">
      <c r="A84" s="54" t="s">
        <v>350</v>
      </c>
      <c r="B84" s="55">
        <v>142627903</v>
      </c>
      <c r="C84" s="55">
        <v>639118844</v>
      </c>
    </row>
    <row r="85" spans="1:3" x14ac:dyDescent="0.25">
      <c r="A85" s="54" t="s">
        <v>297</v>
      </c>
      <c r="B85" s="55">
        <v>1480761063</v>
      </c>
      <c r="C85" s="55">
        <v>2141981574</v>
      </c>
    </row>
    <row r="86" spans="1:3" x14ac:dyDescent="0.25">
      <c r="A86" s="54" t="s">
        <v>391</v>
      </c>
      <c r="B86" s="55">
        <v>205494347</v>
      </c>
      <c r="C86" s="55">
        <v>657033373</v>
      </c>
    </row>
    <row r="87" spans="1:3" x14ac:dyDescent="0.25">
      <c r="A87" s="54" t="s">
        <v>421</v>
      </c>
      <c r="B87" s="55">
        <v>25455542</v>
      </c>
      <c r="C87" s="55">
        <v>78814039</v>
      </c>
    </row>
    <row r="88" spans="1:3" x14ac:dyDescent="0.25">
      <c r="A88" s="54" t="s">
        <v>338</v>
      </c>
      <c r="B88" s="55">
        <v>1136402657</v>
      </c>
      <c r="C88" s="55">
        <v>1770730598</v>
      </c>
    </row>
    <row r="89" spans="1:3" x14ac:dyDescent="0.25">
      <c r="A89" s="54" t="s">
        <v>339</v>
      </c>
      <c r="B89" s="55">
        <v>722791127</v>
      </c>
      <c r="C89" s="55">
        <v>2432292175</v>
      </c>
    </row>
    <row r="90" spans="1:3" x14ac:dyDescent="0.25">
      <c r="A90" s="54" t="s">
        <v>341</v>
      </c>
      <c r="B90" s="55">
        <v>64035188</v>
      </c>
      <c r="C90" s="55">
        <v>185547720</v>
      </c>
    </row>
    <row r="91" spans="1:3" x14ac:dyDescent="0.25">
      <c r="A91" s="54" t="s">
        <v>340</v>
      </c>
      <c r="B91" s="55">
        <v>419814629</v>
      </c>
      <c r="C91" s="55">
        <v>992594911</v>
      </c>
    </row>
    <row r="92" spans="1:3" x14ac:dyDescent="0.25">
      <c r="A92" s="54" t="s">
        <v>343</v>
      </c>
      <c r="B92" s="55">
        <v>46319041</v>
      </c>
      <c r="C92" s="55">
        <v>38818052</v>
      </c>
    </row>
    <row r="93" spans="1:3" x14ac:dyDescent="0.25">
      <c r="A93" s="54" t="s">
        <v>346</v>
      </c>
      <c r="B93" s="55">
        <v>40667823</v>
      </c>
      <c r="C93" s="55">
        <v>120864050</v>
      </c>
    </row>
    <row r="94" spans="1:3" x14ac:dyDescent="0.25">
      <c r="A94" s="54" t="s">
        <v>347</v>
      </c>
      <c r="B94" s="55">
        <v>59706617</v>
      </c>
      <c r="C94" s="55">
        <v>205006456</v>
      </c>
    </row>
    <row r="95" spans="1:3" x14ac:dyDescent="0.25">
      <c r="A95" s="54" t="s">
        <v>395</v>
      </c>
      <c r="B95" s="55">
        <v>1863696</v>
      </c>
      <c r="C95" s="55">
        <v>7328476</v>
      </c>
    </row>
    <row r="96" spans="1:3" x14ac:dyDescent="0.25">
      <c r="A96" s="54" t="s">
        <v>351</v>
      </c>
      <c r="B96" s="55">
        <v>3664200</v>
      </c>
      <c r="C96" s="55">
        <v>19812343</v>
      </c>
    </row>
    <row r="97" spans="1:3" x14ac:dyDescent="0.25">
      <c r="A97" s="54" t="s">
        <v>353</v>
      </c>
      <c r="B97" s="55">
        <v>14185738</v>
      </c>
      <c r="C97" s="55">
        <v>45216476</v>
      </c>
    </row>
    <row r="98" spans="1:3" x14ac:dyDescent="0.25">
      <c r="A98" s="54" t="s">
        <v>362</v>
      </c>
      <c r="B98" s="55">
        <v>307310998</v>
      </c>
      <c r="C98" s="55">
        <v>1084628849</v>
      </c>
    </row>
    <row r="99" spans="1:3" x14ac:dyDescent="0.25">
      <c r="A99" s="54" t="s">
        <v>385</v>
      </c>
      <c r="B99" s="55">
        <v>26421117</v>
      </c>
      <c r="C99" s="55">
        <v>104363231</v>
      </c>
    </row>
    <row r="100" spans="1:3" x14ac:dyDescent="0.25">
      <c r="A100" s="54" t="s">
        <v>376</v>
      </c>
      <c r="B100" s="55">
        <v>181486</v>
      </c>
      <c r="C100" s="55">
        <v>447856</v>
      </c>
    </row>
    <row r="101" spans="1:3" x14ac:dyDescent="0.25">
      <c r="A101" s="54" t="s">
        <v>430</v>
      </c>
      <c r="B101" s="55">
        <v>29208716</v>
      </c>
      <c r="C101" s="55">
        <v>113344866</v>
      </c>
    </row>
    <row r="102" spans="1:3" x14ac:dyDescent="0.25">
      <c r="A102" s="54" t="s">
        <v>386</v>
      </c>
      <c r="B102" s="55">
        <v>17080694</v>
      </c>
      <c r="C102" s="55">
        <v>23270774</v>
      </c>
    </row>
    <row r="103" spans="1:3" x14ac:dyDescent="0.25">
      <c r="A103" s="54" t="s">
        <v>405</v>
      </c>
      <c r="B103" s="55">
        <v>708530</v>
      </c>
      <c r="C103" s="55">
        <v>847561</v>
      </c>
    </row>
    <row r="104" spans="1:3" x14ac:dyDescent="0.25">
      <c r="A104" s="54" t="s">
        <v>420</v>
      </c>
      <c r="B104" s="55">
        <v>119721</v>
      </c>
      <c r="C104" s="55">
        <v>270046</v>
      </c>
    </row>
    <row r="105" spans="1:3" x14ac:dyDescent="0.25">
      <c r="A105" s="54" t="s">
        <v>423</v>
      </c>
      <c r="B105" s="55">
        <v>268575606</v>
      </c>
      <c r="C105" s="55">
        <v>646101322</v>
      </c>
    </row>
    <row r="106" spans="1:3" x14ac:dyDescent="0.25">
      <c r="A106" s="54" t="s">
        <v>436</v>
      </c>
      <c r="B106" s="55">
        <v>843054748</v>
      </c>
      <c r="C106" s="55">
        <v>3103150999</v>
      </c>
    </row>
    <row r="107" spans="1:3" x14ac:dyDescent="0.25">
      <c r="A107" s="54" t="s">
        <v>335</v>
      </c>
      <c r="B107" s="55">
        <v>32880584</v>
      </c>
      <c r="C107" s="55">
        <v>13243412</v>
      </c>
    </row>
    <row r="108" spans="1:3" x14ac:dyDescent="0.25">
      <c r="A108" s="54" t="s">
        <v>276</v>
      </c>
      <c r="B108" s="55">
        <v>343971686</v>
      </c>
      <c r="C108" s="55">
        <v>675383726</v>
      </c>
    </row>
    <row r="109" spans="1:3" x14ac:dyDescent="0.25">
      <c r="A109" s="54" t="s">
        <v>286</v>
      </c>
      <c r="B109" s="55">
        <v>475666</v>
      </c>
      <c r="C109" s="55">
        <v>3084649</v>
      </c>
    </row>
    <row r="110" spans="1:3" x14ac:dyDescent="0.25">
      <c r="A110" s="54" t="s">
        <v>437</v>
      </c>
      <c r="B110" s="55">
        <v>47756560</v>
      </c>
      <c r="C110" s="55">
        <v>191775218</v>
      </c>
    </row>
    <row r="111" spans="1:3" x14ac:dyDescent="0.25">
      <c r="A111" s="54" t="s">
        <v>269</v>
      </c>
      <c r="B111" s="55" t="s">
        <v>30</v>
      </c>
      <c r="C111" s="55" t="s">
        <v>30</v>
      </c>
    </row>
    <row r="112" spans="1:3" x14ac:dyDescent="0.25">
      <c r="A112" s="54" t="s">
        <v>273</v>
      </c>
      <c r="B112" s="55">
        <v>8379</v>
      </c>
      <c r="C112" s="55">
        <v>17163</v>
      </c>
    </row>
    <row r="113" spans="1:3" x14ac:dyDescent="0.25">
      <c r="A113" s="54" t="s">
        <v>323</v>
      </c>
      <c r="B113" s="55">
        <v>15554</v>
      </c>
      <c r="C113" s="55">
        <v>34152</v>
      </c>
    </row>
    <row r="114" spans="1:3" x14ac:dyDescent="0.25">
      <c r="A114" s="54" t="s">
        <v>348</v>
      </c>
      <c r="B114" s="55">
        <v>320057</v>
      </c>
      <c r="C114" s="55">
        <v>16811</v>
      </c>
    </row>
    <row r="115" spans="1:3" x14ac:dyDescent="0.25">
      <c r="A115" s="54" t="s">
        <v>1</v>
      </c>
      <c r="B115" s="55"/>
      <c r="C115" s="55"/>
    </row>
    <row r="116" spans="1:3" x14ac:dyDescent="0.25">
      <c r="A116" s="54" t="s">
        <v>5</v>
      </c>
      <c r="B116" s="55">
        <v>3106842339</v>
      </c>
      <c r="C116" s="55">
        <v>8441510599</v>
      </c>
    </row>
    <row r="117" spans="1:3" x14ac:dyDescent="0.25">
      <c r="A117" s="54" t="s">
        <v>264</v>
      </c>
      <c r="B117" s="55">
        <v>24080</v>
      </c>
      <c r="C117" s="55">
        <v>49620</v>
      </c>
    </row>
    <row r="118" spans="1:3" x14ac:dyDescent="0.25">
      <c r="A118" s="54" t="s">
        <v>272</v>
      </c>
      <c r="B118" s="55">
        <v>502774</v>
      </c>
      <c r="C118" s="55">
        <v>33638</v>
      </c>
    </row>
    <row r="119" spans="1:3" x14ac:dyDescent="0.25">
      <c r="A119" s="54" t="s">
        <v>279</v>
      </c>
      <c r="B119" s="55">
        <v>36088624</v>
      </c>
      <c r="C119" s="55">
        <v>115208301</v>
      </c>
    </row>
    <row r="120" spans="1:3" x14ac:dyDescent="0.25">
      <c r="A120" s="54" t="s">
        <v>287</v>
      </c>
      <c r="B120" s="55">
        <v>1258294</v>
      </c>
      <c r="C120" s="55">
        <v>253184</v>
      </c>
    </row>
    <row r="121" spans="1:3" x14ac:dyDescent="0.25">
      <c r="A121" s="54" t="s">
        <v>308</v>
      </c>
      <c r="B121" s="55">
        <v>149737411</v>
      </c>
      <c r="C121" s="55">
        <v>474485830</v>
      </c>
    </row>
    <row r="122" spans="1:3" x14ac:dyDescent="0.25">
      <c r="A122" s="54" t="s">
        <v>411</v>
      </c>
      <c r="B122" s="55">
        <v>509499608</v>
      </c>
      <c r="C122" s="55">
        <v>1723754151</v>
      </c>
    </row>
    <row r="123" spans="1:3" x14ac:dyDescent="0.25">
      <c r="A123" s="54" t="s">
        <v>319</v>
      </c>
      <c r="B123" s="55">
        <v>3204</v>
      </c>
      <c r="C123" s="55">
        <v>4043</v>
      </c>
    </row>
    <row r="124" spans="1:3" x14ac:dyDescent="0.25">
      <c r="A124" s="54" t="s">
        <v>320</v>
      </c>
      <c r="B124" s="55">
        <v>31872614</v>
      </c>
      <c r="C124" s="55">
        <v>84073076</v>
      </c>
    </row>
    <row r="125" spans="1:3" x14ac:dyDescent="0.25">
      <c r="A125" s="54" t="s">
        <v>326</v>
      </c>
      <c r="B125" s="55">
        <v>67008678</v>
      </c>
      <c r="C125" s="55">
        <v>211644977</v>
      </c>
    </row>
    <row r="126" spans="1:3" x14ac:dyDescent="0.25">
      <c r="A126" s="54" t="s">
        <v>336</v>
      </c>
      <c r="B126" s="55">
        <v>45987</v>
      </c>
      <c r="C126" s="55">
        <v>10515</v>
      </c>
    </row>
    <row r="127" spans="1:3" x14ac:dyDescent="0.25">
      <c r="A127" s="54" t="s">
        <v>342</v>
      </c>
      <c r="B127" s="55">
        <v>141878941</v>
      </c>
      <c r="C127" s="55">
        <v>610782546</v>
      </c>
    </row>
    <row r="128" spans="1:3" x14ac:dyDescent="0.25">
      <c r="A128" s="54" t="s">
        <v>344</v>
      </c>
      <c r="B128" s="55">
        <v>371183208</v>
      </c>
      <c r="C128" s="55">
        <v>1145635814</v>
      </c>
    </row>
    <row r="129" spans="1:3" x14ac:dyDescent="0.25">
      <c r="A129" s="54" t="s">
        <v>365</v>
      </c>
      <c r="B129" s="55">
        <v>72709400</v>
      </c>
      <c r="C129" s="55">
        <v>95000000</v>
      </c>
    </row>
    <row r="130" spans="1:3" x14ac:dyDescent="0.25">
      <c r="A130" s="54" t="s">
        <v>384</v>
      </c>
      <c r="B130" s="55">
        <v>40355</v>
      </c>
      <c r="C130" s="55">
        <v>54532</v>
      </c>
    </row>
    <row r="131" spans="1:3" x14ac:dyDescent="0.25">
      <c r="A131" s="54" t="s">
        <v>378</v>
      </c>
      <c r="B131" s="55">
        <v>684134223</v>
      </c>
      <c r="C131" s="55">
        <v>1171633766</v>
      </c>
    </row>
    <row r="132" spans="1:3" x14ac:dyDescent="0.25">
      <c r="A132" s="54" t="s">
        <v>392</v>
      </c>
      <c r="B132" s="55">
        <v>323761402</v>
      </c>
      <c r="C132" s="55">
        <v>1036236256</v>
      </c>
    </row>
    <row r="133" spans="1:3" x14ac:dyDescent="0.25">
      <c r="A133" s="54" t="s">
        <v>393</v>
      </c>
      <c r="B133" s="55">
        <v>25669306</v>
      </c>
      <c r="C133" s="55">
        <v>78803189</v>
      </c>
    </row>
    <row r="134" spans="1:3" x14ac:dyDescent="0.25">
      <c r="A134" s="54" t="s">
        <v>431</v>
      </c>
      <c r="B134" s="55">
        <v>211681819</v>
      </c>
      <c r="C134" s="55">
        <v>794572388</v>
      </c>
    </row>
    <row r="135" spans="1:3" x14ac:dyDescent="0.25">
      <c r="A135" s="54" t="s">
        <v>396</v>
      </c>
      <c r="B135" s="55">
        <v>17822032</v>
      </c>
      <c r="C135" s="55">
        <v>56821967</v>
      </c>
    </row>
    <row r="136" spans="1:3" x14ac:dyDescent="0.25">
      <c r="A136" s="54" t="s">
        <v>418</v>
      </c>
      <c r="B136" s="55">
        <v>5219</v>
      </c>
      <c r="C136" s="55">
        <v>6195</v>
      </c>
    </row>
    <row r="137" spans="1:3" x14ac:dyDescent="0.25">
      <c r="A137" s="54" t="s">
        <v>419</v>
      </c>
      <c r="B137" s="55">
        <v>2214363</v>
      </c>
      <c r="C137" s="55">
        <v>208019</v>
      </c>
    </row>
    <row r="138" spans="1:3" x14ac:dyDescent="0.25">
      <c r="A138" s="54" t="s">
        <v>306</v>
      </c>
      <c r="B138" s="55">
        <v>28433314</v>
      </c>
      <c r="C138" s="55">
        <v>89224104</v>
      </c>
    </row>
    <row r="139" spans="1:3" x14ac:dyDescent="0.25">
      <c r="A139" s="54" t="s">
        <v>427</v>
      </c>
      <c r="B139" s="55">
        <v>191819034</v>
      </c>
      <c r="C139" s="55">
        <v>580675840</v>
      </c>
    </row>
    <row r="140" spans="1:3" x14ac:dyDescent="0.25">
      <c r="A140" s="54" t="s">
        <v>324</v>
      </c>
      <c r="B140" s="55">
        <v>116187020</v>
      </c>
      <c r="C140" s="55">
        <v>60549197</v>
      </c>
    </row>
    <row r="141" spans="1:3" x14ac:dyDescent="0.25">
      <c r="A141" s="54" t="s">
        <v>278</v>
      </c>
      <c r="B141" s="55">
        <v>11401046</v>
      </c>
      <c r="C141" s="55">
        <v>35969138</v>
      </c>
    </row>
    <row r="142" spans="1:3" x14ac:dyDescent="0.25">
      <c r="A142" s="54" t="s">
        <v>316</v>
      </c>
      <c r="B142" s="55">
        <v>24025</v>
      </c>
      <c r="C142" s="55">
        <v>46374</v>
      </c>
    </row>
    <row r="143" spans="1:3" x14ac:dyDescent="0.25">
      <c r="A143" s="54" t="s">
        <v>352</v>
      </c>
      <c r="B143" s="55">
        <v>6090</v>
      </c>
      <c r="C143" s="55">
        <v>11445</v>
      </c>
    </row>
    <row r="144" spans="1:3" x14ac:dyDescent="0.25">
      <c r="A144" s="54" t="s">
        <v>357</v>
      </c>
      <c r="B144" s="55">
        <v>9363616</v>
      </c>
      <c r="C144" s="55">
        <v>28494231</v>
      </c>
    </row>
    <row r="145" spans="1:3" x14ac:dyDescent="0.25">
      <c r="A145" s="54" t="s">
        <v>369</v>
      </c>
      <c r="B145" s="55">
        <v>2996</v>
      </c>
      <c r="C145" s="55">
        <v>2234</v>
      </c>
    </row>
    <row r="146" spans="1:3" x14ac:dyDescent="0.25">
      <c r="A146" s="54" t="s">
        <v>397</v>
      </c>
      <c r="B146" s="55">
        <v>84088046</v>
      </c>
      <c r="C146" s="55">
        <v>45652297</v>
      </c>
    </row>
    <row r="147" spans="1:3" x14ac:dyDescent="0.25">
      <c r="A147" s="54" t="s">
        <v>429</v>
      </c>
      <c r="B147" s="55">
        <v>526229</v>
      </c>
      <c r="C147" s="55">
        <v>64310</v>
      </c>
    </row>
    <row r="148" spans="1:3" x14ac:dyDescent="0.25">
      <c r="A148" s="54" t="s">
        <v>283</v>
      </c>
      <c r="B148" s="55">
        <v>9849</v>
      </c>
      <c r="C148" s="55">
        <v>21435</v>
      </c>
    </row>
    <row r="149" spans="1:3" x14ac:dyDescent="0.25">
      <c r="A149" s="54" t="s">
        <v>304</v>
      </c>
      <c r="B149" s="55">
        <v>27997</v>
      </c>
      <c r="C149" s="55">
        <v>51005</v>
      </c>
    </row>
    <row r="150" spans="1:3" x14ac:dyDescent="0.25">
      <c r="A150" s="54" t="s">
        <v>406</v>
      </c>
      <c r="B150" s="55">
        <v>15780658</v>
      </c>
      <c r="C150" s="55">
        <v>949797</v>
      </c>
    </row>
    <row r="151" spans="1:3" x14ac:dyDescent="0.25">
      <c r="A151" s="54" t="s">
        <v>407</v>
      </c>
      <c r="B151" s="55">
        <v>1049</v>
      </c>
      <c r="C151" s="55">
        <v>782</v>
      </c>
    </row>
    <row r="152" spans="1:3" x14ac:dyDescent="0.25">
      <c r="A152" s="54" t="s">
        <v>383</v>
      </c>
      <c r="B152" s="55">
        <v>48276</v>
      </c>
      <c r="C152" s="55">
        <v>98350</v>
      </c>
    </row>
    <row r="153" spans="1:3" x14ac:dyDescent="0.25">
      <c r="A153" s="54" t="s">
        <v>307</v>
      </c>
      <c r="B153" s="55">
        <v>1964779</v>
      </c>
      <c r="C153" s="55">
        <v>396976</v>
      </c>
    </row>
    <row r="154" spans="1:3" x14ac:dyDescent="0.25">
      <c r="A154" s="54" t="s">
        <v>371</v>
      </c>
      <c r="B154" s="55">
        <v>11444</v>
      </c>
      <c r="C154" s="55">
        <v>20738</v>
      </c>
    </row>
    <row r="155" spans="1:3" x14ac:dyDescent="0.25">
      <c r="A155" s="54" t="s">
        <v>402</v>
      </c>
      <c r="B155" s="55">
        <v>5329</v>
      </c>
      <c r="C155" s="55">
        <v>10339</v>
      </c>
    </row>
    <row r="156" spans="1:3" x14ac:dyDescent="0.25">
      <c r="A156" s="54" t="s">
        <v>1</v>
      </c>
      <c r="B156" s="55"/>
      <c r="C156" s="55"/>
    </row>
    <row r="157" spans="1:3" x14ac:dyDescent="0.25">
      <c r="A157" s="54" t="s">
        <v>6</v>
      </c>
      <c r="B157" s="55">
        <v>206973328</v>
      </c>
      <c r="C157" s="55">
        <v>689036560</v>
      </c>
    </row>
    <row r="158" spans="1:3" x14ac:dyDescent="0.25">
      <c r="A158" s="54" t="s">
        <v>271</v>
      </c>
      <c r="B158" s="55">
        <v>161157880</v>
      </c>
      <c r="C158" s="55">
        <v>493112426</v>
      </c>
    </row>
    <row r="159" spans="1:3" x14ac:dyDescent="0.25">
      <c r="A159" s="54" t="s">
        <v>379</v>
      </c>
      <c r="B159" s="55">
        <v>45815448</v>
      </c>
      <c r="C159" s="55">
        <v>195924134</v>
      </c>
    </row>
    <row r="160" spans="1:3" x14ac:dyDescent="0.25">
      <c r="A160" s="54" t="s">
        <v>1</v>
      </c>
      <c r="B160" s="55"/>
      <c r="C160" s="55"/>
    </row>
    <row r="161" spans="1:3" x14ac:dyDescent="0.25">
      <c r="A161" s="54" t="s">
        <v>223</v>
      </c>
      <c r="B161" s="55">
        <v>67645702</v>
      </c>
      <c r="C161" s="55">
        <v>123535274</v>
      </c>
    </row>
    <row r="162" spans="1:3" x14ac:dyDescent="0.25">
      <c r="A162" s="54" t="s">
        <v>443</v>
      </c>
      <c r="B162" s="55">
        <v>21889534</v>
      </c>
      <c r="C162" s="55">
        <v>24671552</v>
      </c>
    </row>
    <row r="163" spans="1:3" x14ac:dyDescent="0.25">
      <c r="A163" s="54" t="s">
        <v>455</v>
      </c>
      <c r="B163" s="55">
        <v>45756168</v>
      </c>
      <c r="C163" s="55">
        <v>98863722</v>
      </c>
    </row>
    <row r="164" spans="1:3" ht="24" customHeight="1" x14ac:dyDescent="0.25">
      <c r="A164" s="62" t="s">
        <v>227</v>
      </c>
      <c r="B164" s="62"/>
      <c r="C164" s="62"/>
    </row>
    <row r="165" spans="1:3" x14ac:dyDescent="0.25">
      <c r="A165" s="56" t="s">
        <v>228</v>
      </c>
      <c r="B165" s="57"/>
      <c r="C165" s="57"/>
    </row>
    <row r="166" spans="1:3" x14ac:dyDescent="0.25">
      <c r="A166" s="58" t="s">
        <v>234</v>
      </c>
      <c r="B166" s="57"/>
      <c r="C166" s="57"/>
    </row>
    <row r="167" spans="1:3" x14ac:dyDescent="0.25">
      <c r="A167" s="56" t="s">
        <v>229</v>
      </c>
      <c r="B167" s="57"/>
      <c r="C167" s="57"/>
    </row>
  </sheetData>
  <mergeCells count="3">
    <mergeCell ref="A1:C2"/>
    <mergeCell ref="B4:C4"/>
    <mergeCell ref="A164:C16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67"/>
  <sheetViews>
    <sheetView workbookViewId="0">
      <selection activeCell="A3" sqref="A3"/>
    </sheetView>
  </sheetViews>
  <sheetFormatPr baseColWidth="10" defaultRowHeight="15" x14ac:dyDescent="0.25"/>
  <cols>
    <col min="1" max="1" width="40.125" style="45" customWidth="1"/>
    <col min="2" max="2" width="16" style="45" bestFit="1" customWidth="1"/>
    <col min="3" max="3" width="14.875" style="45" customWidth="1"/>
    <col min="4" max="16384" width="11" style="45"/>
  </cols>
  <sheetData>
    <row r="1" spans="1:3" x14ac:dyDescent="0.25">
      <c r="A1" s="59" t="s">
        <v>241</v>
      </c>
      <c r="B1" s="59"/>
      <c r="C1" s="59"/>
    </row>
    <row r="2" spans="1:3" x14ac:dyDescent="0.25">
      <c r="A2" s="59"/>
      <c r="B2" s="59"/>
      <c r="C2" s="59"/>
    </row>
    <row r="3" spans="1:3" s="46" customFormat="1" ht="12.75" x14ac:dyDescent="0.2"/>
    <row r="4" spans="1:3" s="48" customFormat="1" ht="12.75" x14ac:dyDescent="0.2">
      <c r="A4" s="47"/>
      <c r="B4" s="60" t="s">
        <v>232</v>
      </c>
      <c r="C4" s="61"/>
    </row>
    <row r="5" spans="1:3" s="48" customFormat="1" ht="12.75" x14ac:dyDescent="0.2">
      <c r="A5" s="49" t="s">
        <v>233</v>
      </c>
      <c r="B5" s="50" t="s">
        <v>224</v>
      </c>
      <c r="C5" s="50" t="s">
        <v>225</v>
      </c>
    </row>
    <row r="6" spans="1:3" s="48" customFormat="1" ht="12.75" x14ac:dyDescent="0.2">
      <c r="A6" s="51"/>
      <c r="B6" s="52" t="s">
        <v>15</v>
      </c>
      <c r="C6" s="52" t="s">
        <v>14</v>
      </c>
    </row>
    <row r="7" spans="1:3" x14ac:dyDescent="0.25">
      <c r="C7" s="53"/>
    </row>
    <row r="8" spans="1:3" x14ac:dyDescent="0.25">
      <c r="A8" s="54" t="s">
        <v>0</v>
      </c>
      <c r="B8" s="55">
        <v>13659627239.02</v>
      </c>
      <c r="C8" s="55">
        <v>28231705197.459999</v>
      </c>
    </row>
    <row r="9" spans="1:3" x14ac:dyDescent="0.25">
      <c r="A9" s="54" t="s">
        <v>1</v>
      </c>
      <c r="B9" s="55"/>
      <c r="C9" s="55"/>
    </row>
    <row r="10" spans="1:3" x14ac:dyDescent="0.25">
      <c r="A10" s="54" t="s">
        <v>2</v>
      </c>
      <c r="B10" s="55">
        <v>1655621355.1500001</v>
      </c>
      <c r="C10" s="55">
        <v>4249985883.3800001</v>
      </c>
    </row>
    <row r="11" spans="1:3" x14ac:dyDescent="0.25">
      <c r="A11" s="54" t="s">
        <v>288</v>
      </c>
      <c r="B11" s="55">
        <v>195781.29</v>
      </c>
      <c r="C11" s="55">
        <v>1080319.1000000001</v>
      </c>
    </row>
    <row r="12" spans="1:3" x14ac:dyDescent="0.25">
      <c r="A12" s="54" t="s">
        <v>265</v>
      </c>
      <c r="B12" s="55">
        <v>693603654.00999999</v>
      </c>
      <c r="C12" s="55">
        <v>1845116905.8</v>
      </c>
    </row>
    <row r="13" spans="1:3" x14ac:dyDescent="0.25">
      <c r="A13" s="54" t="s">
        <v>292</v>
      </c>
      <c r="B13" s="55">
        <v>20969821.300000001</v>
      </c>
      <c r="C13" s="55">
        <v>55735577.119999997</v>
      </c>
    </row>
    <row r="14" spans="1:3" x14ac:dyDescent="0.25">
      <c r="A14" s="54" t="s">
        <v>301</v>
      </c>
      <c r="B14" s="55">
        <v>2560641.27</v>
      </c>
      <c r="C14" s="55">
        <v>5880033.8300000001</v>
      </c>
    </row>
    <row r="15" spans="1:3" x14ac:dyDescent="0.25">
      <c r="A15" s="54" t="s">
        <v>300</v>
      </c>
      <c r="B15" s="55">
        <v>2368487.6800000002</v>
      </c>
      <c r="C15" s="55">
        <v>9539603</v>
      </c>
    </row>
    <row r="16" spans="1:3" x14ac:dyDescent="0.25">
      <c r="A16" s="54" t="s">
        <v>303</v>
      </c>
      <c r="B16" s="55">
        <v>29818105.789999999</v>
      </c>
      <c r="C16" s="55">
        <v>80041484.219999999</v>
      </c>
    </row>
    <row r="17" spans="1:3" x14ac:dyDescent="0.25">
      <c r="A17" s="54" t="s">
        <v>281</v>
      </c>
      <c r="B17" s="55">
        <v>55243.13</v>
      </c>
      <c r="C17" s="55">
        <v>107578.06</v>
      </c>
    </row>
    <row r="18" spans="1:3" x14ac:dyDescent="0.25">
      <c r="A18" s="54" t="s">
        <v>313</v>
      </c>
      <c r="B18" s="55">
        <v>375512725.49000001</v>
      </c>
      <c r="C18" s="55">
        <v>989434997.01999998</v>
      </c>
    </row>
    <row r="19" spans="1:3" x14ac:dyDescent="0.25">
      <c r="A19" s="54" t="s">
        <v>321</v>
      </c>
      <c r="B19" s="55">
        <v>571528.09</v>
      </c>
      <c r="C19" s="55">
        <v>308213.99</v>
      </c>
    </row>
    <row r="20" spans="1:3" x14ac:dyDescent="0.25">
      <c r="A20" s="54" t="s">
        <v>322</v>
      </c>
      <c r="B20" s="55">
        <v>267725.93</v>
      </c>
      <c r="C20" s="55">
        <v>1134870.97</v>
      </c>
    </row>
    <row r="21" spans="1:3" x14ac:dyDescent="0.25">
      <c r="A21" s="54" t="s">
        <v>325</v>
      </c>
      <c r="B21" s="55">
        <v>21549325.77</v>
      </c>
      <c r="C21" s="55">
        <v>55857130.280000001</v>
      </c>
    </row>
    <row r="22" spans="1:3" x14ac:dyDescent="0.25">
      <c r="A22" s="54" t="s">
        <v>329</v>
      </c>
      <c r="B22" s="55">
        <v>54597.53</v>
      </c>
      <c r="C22" s="55">
        <v>110086.21</v>
      </c>
    </row>
    <row r="23" spans="1:3" x14ac:dyDescent="0.25">
      <c r="A23" s="54" t="s">
        <v>349</v>
      </c>
      <c r="B23" s="55">
        <v>14273894.48</v>
      </c>
      <c r="C23" s="55">
        <v>73894732.510000005</v>
      </c>
    </row>
    <row r="24" spans="1:3" x14ac:dyDescent="0.25">
      <c r="A24" s="54" t="s">
        <v>355</v>
      </c>
      <c r="B24" s="55">
        <v>53475.98</v>
      </c>
      <c r="C24" s="55">
        <v>102383.06</v>
      </c>
    </row>
    <row r="25" spans="1:3" x14ac:dyDescent="0.25">
      <c r="A25" s="54" t="s">
        <v>356</v>
      </c>
      <c r="B25" s="55">
        <v>25878265.98</v>
      </c>
      <c r="C25" s="55">
        <v>73222686.989999995</v>
      </c>
    </row>
    <row r="26" spans="1:3" x14ac:dyDescent="0.25">
      <c r="A26" s="54" t="s">
        <v>360</v>
      </c>
      <c r="B26" s="55">
        <v>6908846.4000000004</v>
      </c>
      <c r="C26" s="55">
        <v>10140220</v>
      </c>
    </row>
    <row r="27" spans="1:3" x14ac:dyDescent="0.25">
      <c r="A27" s="54" t="s">
        <v>364</v>
      </c>
      <c r="B27" s="55">
        <v>672614.25</v>
      </c>
      <c r="C27" s="55">
        <v>3405737.6</v>
      </c>
    </row>
    <row r="28" spans="1:3" x14ac:dyDescent="0.25">
      <c r="A28" s="54" t="s">
        <v>372</v>
      </c>
      <c r="B28" s="55">
        <v>141893139.03999999</v>
      </c>
      <c r="C28" s="55">
        <v>287887049.72000003</v>
      </c>
    </row>
    <row r="29" spans="1:3" x14ac:dyDescent="0.25">
      <c r="A29" s="54" t="s">
        <v>367</v>
      </c>
      <c r="B29" s="55">
        <v>24016050.879999999</v>
      </c>
      <c r="C29" s="55">
        <v>60123403.950000003</v>
      </c>
    </row>
    <row r="30" spans="1:3" x14ac:dyDescent="0.25">
      <c r="A30" s="54" t="s">
        <v>366</v>
      </c>
      <c r="B30" s="55">
        <v>5198406.91</v>
      </c>
      <c r="C30" s="55">
        <v>27770003.620000001</v>
      </c>
    </row>
    <row r="31" spans="1:3" x14ac:dyDescent="0.25">
      <c r="A31" s="54" t="s">
        <v>381</v>
      </c>
      <c r="B31" s="55" t="s">
        <v>30</v>
      </c>
      <c r="C31" s="55" t="s">
        <v>30</v>
      </c>
    </row>
    <row r="32" spans="1:3" x14ac:dyDescent="0.25">
      <c r="A32" s="54" t="s">
        <v>382</v>
      </c>
      <c r="B32" s="55">
        <v>9740106.3699999992</v>
      </c>
      <c r="C32" s="55">
        <v>40876411.259999998</v>
      </c>
    </row>
    <row r="33" spans="1:3" x14ac:dyDescent="0.25">
      <c r="A33" s="54" t="s">
        <v>401</v>
      </c>
      <c r="B33" s="55">
        <v>21882286.289999999</v>
      </c>
      <c r="C33" s="55">
        <v>79664702.150000006</v>
      </c>
    </row>
    <row r="34" spans="1:3" x14ac:dyDescent="0.25">
      <c r="A34" s="54" t="s">
        <v>404</v>
      </c>
      <c r="B34" s="55">
        <v>56827.16</v>
      </c>
      <c r="C34" s="55">
        <v>110632.72</v>
      </c>
    </row>
    <row r="35" spans="1:3" x14ac:dyDescent="0.25">
      <c r="A35" s="54" t="s">
        <v>422</v>
      </c>
      <c r="B35" s="55">
        <v>1776387.84</v>
      </c>
      <c r="C35" s="55">
        <v>9619414.0199999996</v>
      </c>
    </row>
    <row r="36" spans="1:3" x14ac:dyDescent="0.25">
      <c r="A36" s="54" t="s">
        <v>424</v>
      </c>
      <c r="B36" s="55">
        <v>26707.7</v>
      </c>
      <c r="C36" s="55">
        <v>53534.48</v>
      </c>
    </row>
    <row r="37" spans="1:3" x14ac:dyDescent="0.25">
      <c r="A37" s="54" t="s">
        <v>426</v>
      </c>
      <c r="B37" s="55">
        <v>25285484.050000001</v>
      </c>
      <c r="C37" s="55">
        <v>52687705.920000002</v>
      </c>
    </row>
    <row r="38" spans="1:3" x14ac:dyDescent="0.25">
      <c r="A38" s="54" t="s">
        <v>428</v>
      </c>
      <c r="B38" s="55">
        <v>2352904.2400000002</v>
      </c>
      <c r="C38" s="55">
        <v>12415721.73</v>
      </c>
    </row>
    <row r="39" spans="1:3" x14ac:dyDescent="0.25">
      <c r="A39" s="54" t="s">
        <v>267</v>
      </c>
      <c r="B39" s="55">
        <v>2834534.8</v>
      </c>
      <c r="C39" s="55">
        <v>5835966.3600000003</v>
      </c>
    </row>
    <row r="40" spans="1:3" x14ac:dyDescent="0.25">
      <c r="A40" s="54" t="s">
        <v>290</v>
      </c>
      <c r="B40" s="55">
        <v>741739.44</v>
      </c>
      <c r="C40" s="55">
        <v>4168667.8</v>
      </c>
    </row>
    <row r="41" spans="1:3" x14ac:dyDescent="0.25">
      <c r="A41" s="54" t="s">
        <v>373</v>
      </c>
      <c r="B41" s="55">
        <v>47817476.850000001</v>
      </c>
      <c r="C41" s="55">
        <v>68472670.480000004</v>
      </c>
    </row>
    <row r="42" spans="1:3" x14ac:dyDescent="0.25">
      <c r="A42" s="54" t="s">
        <v>309</v>
      </c>
      <c r="B42" s="55">
        <v>110984.07</v>
      </c>
      <c r="C42" s="55">
        <v>231697</v>
      </c>
    </row>
    <row r="43" spans="1:3" x14ac:dyDescent="0.25">
      <c r="A43" s="54" t="s">
        <v>409</v>
      </c>
      <c r="B43" s="55">
        <v>173909638.16999999</v>
      </c>
      <c r="C43" s="55">
        <v>393804653.19999999</v>
      </c>
    </row>
    <row r="44" spans="1:3" x14ac:dyDescent="0.25">
      <c r="A44" s="54" t="s">
        <v>317</v>
      </c>
      <c r="B44" s="55">
        <v>168080.49</v>
      </c>
      <c r="C44" s="55">
        <v>333597.96000000002</v>
      </c>
    </row>
    <row r="45" spans="1:3" x14ac:dyDescent="0.25">
      <c r="A45" s="54" t="s">
        <v>416</v>
      </c>
      <c r="B45" s="55">
        <v>2495866.48</v>
      </c>
      <c r="C45" s="55">
        <v>817491.25</v>
      </c>
    </row>
    <row r="46" spans="1:3" x14ac:dyDescent="0.25">
      <c r="A46" s="54" t="s">
        <v>1</v>
      </c>
      <c r="B46" s="55"/>
      <c r="C46" s="55"/>
    </row>
    <row r="47" spans="1:3" x14ac:dyDescent="0.25">
      <c r="A47" s="54" t="s">
        <v>3</v>
      </c>
      <c r="B47" s="55">
        <v>3085528393.2600002</v>
      </c>
      <c r="C47" s="55">
        <v>4111430570.6199999</v>
      </c>
    </row>
    <row r="48" spans="1:3" x14ac:dyDescent="0.25">
      <c r="A48" s="54" t="s">
        <v>277</v>
      </c>
      <c r="B48" s="55" t="s">
        <v>30</v>
      </c>
      <c r="C48" s="55" t="s">
        <v>30</v>
      </c>
    </row>
    <row r="49" spans="1:3" x14ac:dyDescent="0.25">
      <c r="A49" s="54" t="s">
        <v>282</v>
      </c>
      <c r="B49" s="55">
        <v>90074747.560000002</v>
      </c>
      <c r="C49" s="55">
        <v>113663479.04000001</v>
      </c>
    </row>
    <row r="50" spans="1:3" x14ac:dyDescent="0.25">
      <c r="A50" s="54" t="s">
        <v>285</v>
      </c>
      <c r="B50" s="55">
        <v>1276239991.6900001</v>
      </c>
      <c r="C50" s="55">
        <v>1322304058.1500001</v>
      </c>
    </row>
    <row r="51" spans="1:3" x14ac:dyDescent="0.25">
      <c r="A51" s="54" t="s">
        <v>293</v>
      </c>
      <c r="B51" s="55">
        <v>28714765.43</v>
      </c>
      <c r="C51" s="55">
        <v>38515460.890000001</v>
      </c>
    </row>
    <row r="52" spans="1:3" x14ac:dyDescent="0.25">
      <c r="A52" s="54" t="s">
        <v>298</v>
      </c>
      <c r="B52" s="55">
        <v>52406809.969999999</v>
      </c>
      <c r="C52" s="55">
        <v>79566486.530000001</v>
      </c>
    </row>
    <row r="53" spans="1:3" x14ac:dyDescent="0.25">
      <c r="A53" s="54" t="s">
        <v>302</v>
      </c>
      <c r="B53" s="55">
        <v>2121448.27</v>
      </c>
      <c r="C53" s="55">
        <v>2257787.94</v>
      </c>
    </row>
    <row r="54" spans="1:3" x14ac:dyDescent="0.25">
      <c r="A54" s="54" t="s">
        <v>442</v>
      </c>
      <c r="B54" s="55">
        <v>52715506.020000003</v>
      </c>
      <c r="C54" s="55">
        <v>165751370.34</v>
      </c>
    </row>
    <row r="55" spans="1:3" x14ac:dyDescent="0.25">
      <c r="A55" s="54" t="s">
        <v>296</v>
      </c>
      <c r="B55" s="55">
        <v>399918552.94</v>
      </c>
      <c r="C55" s="55">
        <v>698353311.26999998</v>
      </c>
    </row>
    <row r="56" spans="1:3" x14ac:dyDescent="0.25">
      <c r="A56" s="54" t="s">
        <v>311</v>
      </c>
      <c r="B56" s="55">
        <v>9564584.4100000001</v>
      </c>
      <c r="C56" s="55">
        <v>16028824.83</v>
      </c>
    </row>
    <row r="57" spans="1:3" x14ac:dyDescent="0.25">
      <c r="A57" s="54" t="s">
        <v>312</v>
      </c>
      <c r="B57" s="55">
        <v>111243225.42</v>
      </c>
      <c r="C57" s="55">
        <v>282951580.05000001</v>
      </c>
    </row>
    <row r="58" spans="1:3" x14ac:dyDescent="0.25">
      <c r="A58" s="54" t="s">
        <v>314</v>
      </c>
      <c r="B58" s="55">
        <v>583150.18000000005</v>
      </c>
      <c r="C58" s="55">
        <v>193813.72</v>
      </c>
    </row>
    <row r="59" spans="1:3" x14ac:dyDescent="0.25">
      <c r="A59" s="54" t="s">
        <v>432</v>
      </c>
      <c r="B59" s="55">
        <v>150257043.59</v>
      </c>
      <c r="C59" s="55">
        <v>83073594.659999996</v>
      </c>
    </row>
    <row r="60" spans="1:3" x14ac:dyDescent="0.25">
      <c r="A60" s="54" t="s">
        <v>328</v>
      </c>
      <c r="B60" s="55">
        <v>12486333.710000001</v>
      </c>
      <c r="C60" s="55">
        <v>16511246.24</v>
      </c>
    </row>
    <row r="61" spans="1:3" x14ac:dyDescent="0.25">
      <c r="A61" s="54" t="s">
        <v>332</v>
      </c>
      <c r="B61" s="55">
        <v>2002825.58</v>
      </c>
      <c r="C61" s="55">
        <v>2671516.86</v>
      </c>
    </row>
    <row r="62" spans="1:3" x14ac:dyDescent="0.25">
      <c r="A62" s="54" t="s">
        <v>333</v>
      </c>
      <c r="B62" s="55">
        <v>125086.05</v>
      </c>
      <c r="C62" s="55">
        <v>307197.5</v>
      </c>
    </row>
    <row r="63" spans="1:3" x14ac:dyDescent="0.25">
      <c r="A63" s="54" t="s">
        <v>334</v>
      </c>
      <c r="B63" s="55">
        <v>905820.91</v>
      </c>
      <c r="C63" s="55">
        <v>553383.26</v>
      </c>
    </row>
    <row r="64" spans="1:3" x14ac:dyDescent="0.25">
      <c r="A64" s="54" t="s">
        <v>345</v>
      </c>
      <c r="B64" s="55">
        <v>7397.92</v>
      </c>
      <c r="C64" s="55">
        <v>6842.92</v>
      </c>
    </row>
    <row r="65" spans="1:3" x14ac:dyDescent="0.25">
      <c r="A65" s="54" t="s">
        <v>368</v>
      </c>
      <c r="B65" s="55">
        <v>70160358.040000007</v>
      </c>
      <c r="C65" s="55">
        <v>42854772.640000001</v>
      </c>
    </row>
    <row r="66" spans="1:3" x14ac:dyDescent="0.25">
      <c r="A66" s="54" t="s">
        <v>380</v>
      </c>
      <c r="B66" s="55">
        <v>2627429.88</v>
      </c>
      <c r="C66" s="55">
        <v>278536.90999999997</v>
      </c>
    </row>
    <row r="67" spans="1:3" x14ac:dyDescent="0.25">
      <c r="A67" s="54" t="s">
        <v>387</v>
      </c>
      <c r="B67" s="55">
        <v>5692597.8700000001</v>
      </c>
      <c r="C67" s="55">
        <v>4456957.57</v>
      </c>
    </row>
    <row r="68" spans="1:3" x14ac:dyDescent="0.25">
      <c r="A68" s="54" t="s">
        <v>389</v>
      </c>
      <c r="B68" s="55">
        <v>173592075.16999999</v>
      </c>
      <c r="C68" s="55">
        <v>165463117.56999999</v>
      </c>
    </row>
    <row r="69" spans="1:3" x14ac:dyDescent="0.25">
      <c r="A69" s="54" t="s">
        <v>390</v>
      </c>
      <c r="B69" s="55">
        <v>320277076.36000001</v>
      </c>
      <c r="C69" s="55">
        <v>515196149.18000001</v>
      </c>
    </row>
    <row r="70" spans="1:3" x14ac:dyDescent="0.25">
      <c r="A70" s="54" t="s">
        <v>394</v>
      </c>
      <c r="B70" s="55">
        <v>2337221.2999999998</v>
      </c>
      <c r="C70" s="55">
        <v>5859846.9199999999</v>
      </c>
    </row>
    <row r="71" spans="1:3" x14ac:dyDescent="0.25">
      <c r="A71" s="54" t="s">
        <v>425</v>
      </c>
      <c r="B71" s="55">
        <v>404385.87</v>
      </c>
      <c r="C71" s="55">
        <v>233644.41</v>
      </c>
    </row>
    <row r="72" spans="1:3" x14ac:dyDescent="0.25">
      <c r="A72" s="54" t="s">
        <v>433</v>
      </c>
      <c r="B72" s="55">
        <v>130184408.01000001</v>
      </c>
      <c r="C72" s="55">
        <v>204381573.72</v>
      </c>
    </row>
    <row r="73" spans="1:3" x14ac:dyDescent="0.25">
      <c r="A73" s="54" t="s">
        <v>435</v>
      </c>
      <c r="B73" s="55">
        <v>177668016.46000001</v>
      </c>
      <c r="C73" s="55">
        <v>316630005.76999998</v>
      </c>
    </row>
    <row r="74" spans="1:3" x14ac:dyDescent="0.25">
      <c r="A74" s="54" t="s">
        <v>417</v>
      </c>
      <c r="B74" s="55">
        <v>9340.7800000000007</v>
      </c>
      <c r="C74" s="55">
        <v>14074.39</v>
      </c>
    </row>
    <row r="75" spans="1:3" x14ac:dyDescent="0.25">
      <c r="A75" s="54" t="s">
        <v>377</v>
      </c>
      <c r="B75" s="55">
        <v>13208165.82</v>
      </c>
      <c r="C75" s="55">
        <v>33351906.170000002</v>
      </c>
    </row>
    <row r="76" spans="1:3" x14ac:dyDescent="0.25">
      <c r="A76" s="54" t="s">
        <v>270</v>
      </c>
      <c r="B76" s="55" t="s">
        <v>30</v>
      </c>
      <c r="C76" s="55" t="s">
        <v>30</v>
      </c>
    </row>
    <row r="77" spans="1:3" x14ac:dyDescent="0.25">
      <c r="A77" s="54" t="s">
        <v>446</v>
      </c>
      <c r="B77" s="55">
        <v>28.05</v>
      </c>
      <c r="C77" s="55">
        <v>31.17</v>
      </c>
    </row>
    <row r="78" spans="1:3" x14ac:dyDescent="0.25">
      <c r="A78" s="54" t="s">
        <v>1</v>
      </c>
      <c r="B78" s="55"/>
      <c r="C78" s="55"/>
    </row>
    <row r="79" spans="1:3" x14ac:dyDescent="0.25">
      <c r="A79" s="54" t="s">
        <v>4</v>
      </c>
      <c r="B79" s="55">
        <v>5106016422.3000002</v>
      </c>
      <c r="C79" s="55">
        <v>11156976838.200001</v>
      </c>
    </row>
    <row r="80" spans="1:3" x14ac:dyDescent="0.25">
      <c r="A80" s="54" t="s">
        <v>400</v>
      </c>
      <c r="B80" s="55">
        <v>192490987.31999999</v>
      </c>
      <c r="C80" s="55">
        <v>650212742.38999999</v>
      </c>
    </row>
    <row r="81" spans="1:3" x14ac:dyDescent="0.25">
      <c r="A81" s="54" t="s">
        <v>275</v>
      </c>
      <c r="B81" s="55">
        <v>968663.18</v>
      </c>
      <c r="C81" s="55">
        <v>2647406.48</v>
      </c>
    </row>
    <row r="82" spans="1:3" x14ac:dyDescent="0.25">
      <c r="A82" s="54" t="s">
        <v>291</v>
      </c>
      <c r="B82" s="55" t="s">
        <v>30</v>
      </c>
      <c r="C82" s="55" t="s">
        <v>30</v>
      </c>
    </row>
    <row r="83" spans="1:3" x14ac:dyDescent="0.25">
      <c r="A83" s="54" t="s">
        <v>412</v>
      </c>
      <c r="B83" s="55">
        <v>122150.48</v>
      </c>
      <c r="C83" s="55">
        <v>137435</v>
      </c>
    </row>
    <row r="84" spans="1:3" x14ac:dyDescent="0.25">
      <c r="A84" s="54" t="s">
        <v>350</v>
      </c>
      <c r="B84" s="55">
        <v>12464430.15</v>
      </c>
      <c r="C84" s="55">
        <v>64483192.149999999</v>
      </c>
    </row>
    <row r="85" spans="1:3" x14ac:dyDescent="0.25">
      <c r="A85" s="54" t="s">
        <v>297</v>
      </c>
      <c r="B85" s="55">
        <v>722767826.65999997</v>
      </c>
      <c r="C85" s="55">
        <v>922617202.55999994</v>
      </c>
    </row>
    <row r="86" spans="1:3" x14ac:dyDescent="0.25">
      <c r="A86" s="54" t="s">
        <v>391</v>
      </c>
      <c r="B86" s="55">
        <v>220601044.94999999</v>
      </c>
      <c r="C86" s="55">
        <v>576009110.64999998</v>
      </c>
    </row>
    <row r="87" spans="1:3" x14ac:dyDescent="0.25">
      <c r="A87" s="54" t="s">
        <v>421</v>
      </c>
      <c r="B87" s="55">
        <v>17926658.710000001</v>
      </c>
      <c r="C87" s="55">
        <v>20954221.789999999</v>
      </c>
    </row>
    <row r="88" spans="1:3" x14ac:dyDescent="0.25">
      <c r="A88" s="54" t="s">
        <v>338</v>
      </c>
      <c r="B88" s="55">
        <v>991199424.71000004</v>
      </c>
      <c r="C88" s="55">
        <v>1419995833.4400001</v>
      </c>
    </row>
    <row r="89" spans="1:3" x14ac:dyDescent="0.25">
      <c r="A89" s="54" t="s">
        <v>339</v>
      </c>
      <c r="B89" s="55">
        <v>604539315.73000002</v>
      </c>
      <c r="C89" s="55">
        <v>1631806371.3299999</v>
      </c>
    </row>
    <row r="90" spans="1:3" x14ac:dyDescent="0.25">
      <c r="A90" s="54" t="s">
        <v>341</v>
      </c>
      <c r="B90" s="55">
        <v>108429033.59999999</v>
      </c>
      <c r="C90" s="55">
        <v>290518563.69999999</v>
      </c>
    </row>
    <row r="91" spans="1:3" x14ac:dyDescent="0.25">
      <c r="A91" s="54" t="s">
        <v>340</v>
      </c>
      <c r="B91" s="55">
        <v>215494042.88</v>
      </c>
      <c r="C91" s="55">
        <v>462998005.22000003</v>
      </c>
    </row>
    <row r="92" spans="1:3" x14ac:dyDescent="0.25">
      <c r="A92" s="54" t="s">
        <v>343</v>
      </c>
      <c r="B92" s="55">
        <v>66457574.100000001</v>
      </c>
      <c r="C92" s="55">
        <v>75571383.290000007</v>
      </c>
    </row>
    <row r="93" spans="1:3" x14ac:dyDescent="0.25">
      <c r="A93" s="54" t="s">
        <v>346</v>
      </c>
      <c r="B93" s="55">
        <v>36538178.719999999</v>
      </c>
      <c r="C93" s="55">
        <v>63173128.810000002</v>
      </c>
    </row>
    <row r="94" spans="1:3" x14ac:dyDescent="0.25">
      <c r="A94" s="54" t="s">
        <v>347</v>
      </c>
      <c r="B94" s="55">
        <v>101361904.86</v>
      </c>
      <c r="C94" s="55">
        <v>293473365.75999999</v>
      </c>
    </row>
    <row r="95" spans="1:3" x14ac:dyDescent="0.25">
      <c r="A95" s="54" t="s">
        <v>395</v>
      </c>
      <c r="B95" s="55">
        <v>488014.07</v>
      </c>
      <c r="C95" s="55">
        <v>285791.08</v>
      </c>
    </row>
    <row r="96" spans="1:3" x14ac:dyDescent="0.25">
      <c r="A96" s="54" t="s">
        <v>351</v>
      </c>
      <c r="B96" s="55">
        <v>4732392.8099999996</v>
      </c>
      <c r="C96" s="55">
        <v>25087203.640000001</v>
      </c>
    </row>
    <row r="97" spans="1:3" x14ac:dyDescent="0.25">
      <c r="A97" s="54" t="s">
        <v>353</v>
      </c>
      <c r="B97" s="55">
        <v>39861062</v>
      </c>
      <c r="C97" s="55">
        <v>99012682.920000002</v>
      </c>
    </row>
    <row r="98" spans="1:3" x14ac:dyDescent="0.25">
      <c r="A98" s="54" t="s">
        <v>362</v>
      </c>
      <c r="B98" s="55">
        <v>381751566.04000002</v>
      </c>
      <c r="C98" s="55">
        <v>1094347127.1900001</v>
      </c>
    </row>
    <row r="99" spans="1:3" x14ac:dyDescent="0.25">
      <c r="A99" s="54" t="s">
        <v>385</v>
      </c>
      <c r="B99" s="55">
        <v>11854129</v>
      </c>
      <c r="C99" s="55">
        <v>42382181.490000002</v>
      </c>
    </row>
    <row r="100" spans="1:3" x14ac:dyDescent="0.25">
      <c r="A100" s="54" t="s">
        <v>376</v>
      </c>
      <c r="B100" s="55">
        <v>477140.04</v>
      </c>
      <c r="C100" s="55">
        <v>1324907.8500000001</v>
      </c>
    </row>
    <row r="101" spans="1:3" x14ac:dyDescent="0.25">
      <c r="A101" s="54" t="s">
        <v>430</v>
      </c>
      <c r="B101" s="55">
        <v>39613266.219999999</v>
      </c>
      <c r="C101" s="55">
        <v>117841957.5</v>
      </c>
    </row>
    <row r="102" spans="1:3" x14ac:dyDescent="0.25">
      <c r="A102" s="54" t="s">
        <v>386</v>
      </c>
      <c r="B102" s="55">
        <v>21937350.719999999</v>
      </c>
      <c r="C102" s="55">
        <v>27838994.739999998</v>
      </c>
    </row>
    <row r="103" spans="1:3" x14ac:dyDescent="0.25">
      <c r="A103" s="54" t="s">
        <v>405</v>
      </c>
      <c r="B103" s="55">
        <v>670684.4</v>
      </c>
      <c r="C103" s="55">
        <v>1036970.18</v>
      </c>
    </row>
    <row r="104" spans="1:3" x14ac:dyDescent="0.25">
      <c r="A104" s="54" t="s">
        <v>420</v>
      </c>
      <c r="B104" s="55">
        <v>222075.85</v>
      </c>
      <c r="C104" s="55">
        <v>454775.5</v>
      </c>
    </row>
    <row r="105" spans="1:3" x14ac:dyDescent="0.25">
      <c r="A105" s="54" t="s">
        <v>423</v>
      </c>
      <c r="B105" s="55">
        <v>206139571.41</v>
      </c>
      <c r="C105" s="55">
        <v>406263090.01999998</v>
      </c>
    </row>
    <row r="106" spans="1:3" x14ac:dyDescent="0.25">
      <c r="A106" s="54" t="s">
        <v>436</v>
      </c>
      <c r="B106" s="55">
        <v>718212979.25</v>
      </c>
      <c r="C106" s="55">
        <v>2188753898.3899999</v>
      </c>
    </row>
    <row r="107" spans="1:3" x14ac:dyDescent="0.25">
      <c r="A107" s="54" t="s">
        <v>335</v>
      </c>
      <c r="B107" s="55">
        <v>39615093.530000001</v>
      </c>
      <c r="C107" s="55">
        <v>12688674.16</v>
      </c>
    </row>
    <row r="108" spans="1:3" x14ac:dyDescent="0.25">
      <c r="A108" s="54" t="s">
        <v>276</v>
      </c>
      <c r="B108" s="55">
        <v>272279536.33999997</v>
      </c>
      <c r="C108" s="55">
        <v>442922404.61000001</v>
      </c>
    </row>
    <row r="109" spans="1:3" x14ac:dyDescent="0.25">
      <c r="A109" s="54" t="s">
        <v>286</v>
      </c>
      <c r="B109" s="55" t="s">
        <v>30</v>
      </c>
      <c r="C109" s="55" t="s">
        <v>30</v>
      </c>
    </row>
    <row r="110" spans="1:3" x14ac:dyDescent="0.25">
      <c r="A110" s="54" t="s">
        <v>437</v>
      </c>
      <c r="B110" s="55">
        <v>76336171.810000002</v>
      </c>
      <c r="C110" s="55">
        <v>222076288.09999999</v>
      </c>
    </row>
    <row r="111" spans="1:3" x14ac:dyDescent="0.25">
      <c r="A111" s="54" t="s">
        <v>269</v>
      </c>
      <c r="B111" s="55">
        <v>10779.5</v>
      </c>
      <c r="C111" s="55">
        <v>21486.52</v>
      </c>
    </row>
    <row r="112" spans="1:3" x14ac:dyDescent="0.25">
      <c r="A112" s="54" t="s">
        <v>273</v>
      </c>
      <c r="B112" s="55" t="s">
        <v>30</v>
      </c>
      <c r="C112" s="55" t="s">
        <v>30</v>
      </c>
    </row>
    <row r="113" spans="1:3" x14ac:dyDescent="0.25">
      <c r="A113" s="54" t="s">
        <v>323</v>
      </c>
      <c r="B113" s="55">
        <v>8936.86</v>
      </c>
      <c r="C113" s="55">
        <v>18294.400000000001</v>
      </c>
    </row>
    <row r="114" spans="1:3" x14ac:dyDescent="0.25">
      <c r="A114" s="54" t="s">
        <v>348</v>
      </c>
      <c r="B114" s="55">
        <v>444436.4</v>
      </c>
      <c r="C114" s="55">
        <v>22147.34</v>
      </c>
    </row>
    <row r="115" spans="1:3" x14ac:dyDescent="0.25">
      <c r="A115" s="54" t="s">
        <v>1</v>
      </c>
      <c r="B115" s="55"/>
      <c r="C115" s="55"/>
    </row>
    <row r="116" spans="1:3" x14ac:dyDescent="0.25">
      <c r="A116" s="54" t="s">
        <v>5</v>
      </c>
      <c r="B116" s="55">
        <v>3505714342.6300001</v>
      </c>
      <c r="C116" s="55">
        <v>7961099617.6199999</v>
      </c>
    </row>
    <row r="117" spans="1:3" x14ac:dyDescent="0.25">
      <c r="A117" s="54" t="s">
        <v>264</v>
      </c>
      <c r="B117" s="55">
        <v>20429.32</v>
      </c>
      <c r="C117" s="55">
        <v>37971.269999999997</v>
      </c>
    </row>
    <row r="118" spans="1:3" x14ac:dyDescent="0.25">
      <c r="A118" s="54" t="s">
        <v>272</v>
      </c>
      <c r="B118" s="55">
        <v>884021.97</v>
      </c>
      <c r="C118" s="55">
        <v>34498.76</v>
      </c>
    </row>
    <row r="119" spans="1:3" x14ac:dyDescent="0.25">
      <c r="A119" s="54" t="s">
        <v>279</v>
      </c>
      <c r="B119" s="55">
        <v>93767380.579999998</v>
      </c>
      <c r="C119" s="55">
        <v>174182095.94</v>
      </c>
    </row>
    <row r="120" spans="1:3" x14ac:dyDescent="0.25">
      <c r="A120" s="54" t="s">
        <v>287</v>
      </c>
      <c r="B120" s="55">
        <v>551980.68000000005</v>
      </c>
      <c r="C120" s="55">
        <v>98116.07</v>
      </c>
    </row>
    <row r="121" spans="1:3" x14ac:dyDescent="0.25">
      <c r="A121" s="54" t="s">
        <v>308</v>
      </c>
      <c r="B121" s="55">
        <v>181239567.28999999</v>
      </c>
      <c r="C121" s="55">
        <v>471125283.06999999</v>
      </c>
    </row>
    <row r="122" spans="1:3" x14ac:dyDescent="0.25">
      <c r="A122" s="54" t="s">
        <v>411</v>
      </c>
      <c r="B122" s="55">
        <v>434585974.08999997</v>
      </c>
      <c r="C122" s="55">
        <v>1223429952.54</v>
      </c>
    </row>
    <row r="123" spans="1:3" x14ac:dyDescent="0.25">
      <c r="A123" s="54" t="s">
        <v>319</v>
      </c>
      <c r="B123" s="55">
        <v>7304.14</v>
      </c>
      <c r="C123" s="55">
        <v>8934.61</v>
      </c>
    </row>
    <row r="124" spans="1:3" x14ac:dyDescent="0.25">
      <c r="A124" s="54" t="s">
        <v>320</v>
      </c>
      <c r="B124" s="55">
        <v>33146527.100000001</v>
      </c>
      <c r="C124" s="55">
        <v>79355618.579999998</v>
      </c>
    </row>
    <row r="125" spans="1:3" x14ac:dyDescent="0.25">
      <c r="A125" s="54" t="s">
        <v>326</v>
      </c>
      <c r="B125" s="55">
        <v>70948706.709999993</v>
      </c>
      <c r="C125" s="55">
        <v>192785775.21000001</v>
      </c>
    </row>
    <row r="126" spans="1:3" x14ac:dyDescent="0.25">
      <c r="A126" s="54" t="s">
        <v>336</v>
      </c>
      <c r="B126" s="55">
        <v>5953.29</v>
      </c>
      <c r="C126" s="55">
        <v>5353.68</v>
      </c>
    </row>
    <row r="127" spans="1:3" x14ac:dyDescent="0.25">
      <c r="A127" s="54" t="s">
        <v>342</v>
      </c>
      <c r="B127" s="55">
        <v>152128924.75</v>
      </c>
      <c r="C127" s="55">
        <v>526029119.24000001</v>
      </c>
    </row>
    <row r="128" spans="1:3" x14ac:dyDescent="0.25">
      <c r="A128" s="54" t="s">
        <v>344</v>
      </c>
      <c r="B128" s="55">
        <v>382809446.24000001</v>
      </c>
      <c r="C128" s="55">
        <v>924866093.23000002</v>
      </c>
    </row>
    <row r="129" spans="1:3" x14ac:dyDescent="0.25">
      <c r="A129" s="54" t="s">
        <v>365</v>
      </c>
      <c r="B129" s="55">
        <v>228331922.5</v>
      </c>
      <c r="C129" s="55">
        <v>321909226</v>
      </c>
    </row>
    <row r="130" spans="1:3" x14ac:dyDescent="0.25">
      <c r="A130" s="54" t="s">
        <v>384</v>
      </c>
      <c r="B130" s="55">
        <v>22567.34</v>
      </c>
      <c r="C130" s="55">
        <v>13698.39</v>
      </c>
    </row>
    <row r="131" spans="1:3" x14ac:dyDescent="0.25">
      <c r="A131" s="54" t="s">
        <v>378</v>
      </c>
      <c r="B131" s="55">
        <v>610862000.38999999</v>
      </c>
      <c r="C131" s="55">
        <v>1080392130.21</v>
      </c>
    </row>
    <row r="132" spans="1:3" x14ac:dyDescent="0.25">
      <c r="A132" s="54" t="s">
        <v>392</v>
      </c>
      <c r="B132" s="55">
        <v>381894633.12</v>
      </c>
      <c r="C132" s="55">
        <v>1029095549.8</v>
      </c>
    </row>
    <row r="133" spans="1:3" x14ac:dyDescent="0.25">
      <c r="A133" s="54" t="s">
        <v>393</v>
      </c>
      <c r="B133" s="55">
        <v>1757321.45</v>
      </c>
      <c r="C133" s="55">
        <v>281223.82</v>
      </c>
    </row>
    <row r="134" spans="1:3" x14ac:dyDescent="0.25">
      <c r="A134" s="54" t="s">
        <v>431</v>
      </c>
      <c r="B134" s="55">
        <v>320523983.31999999</v>
      </c>
      <c r="C134" s="55">
        <v>932903774.39999998</v>
      </c>
    </row>
    <row r="135" spans="1:3" x14ac:dyDescent="0.25">
      <c r="A135" s="54" t="s">
        <v>396</v>
      </c>
      <c r="B135" s="55">
        <v>11237687.720000001</v>
      </c>
      <c r="C135" s="55">
        <v>26646618.120000001</v>
      </c>
    </row>
    <row r="136" spans="1:3" x14ac:dyDescent="0.25">
      <c r="A136" s="54" t="s">
        <v>418</v>
      </c>
      <c r="B136" s="55">
        <v>7786643.0700000003</v>
      </c>
      <c r="C136" s="55">
        <v>252608.11</v>
      </c>
    </row>
    <row r="137" spans="1:3" x14ac:dyDescent="0.25">
      <c r="A137" s="54" t="s">
        <v>419</v>
      </c>
      <c r="B137" s="55">
        <v>3537707.31</v>
      </c>
      <c r="C137" s="55">
        <v>224281.7</v>
      </c>
    </row>
    <row r="138" spans="1:3" x14ac:dyDescent="0.25">
      <c r="A138" s="54" t="s">
        <v>306</v>
      </c>
      <c r="B138" s="55">
        <v>13451356.800000001</v>
      </c>
      <c r="C138" s="55">
        <v>33164704.489999998</v>
      </c>
    </row>
    <row r="139" spans="1:3" x14ac:dyDescent="0.25">
      <c r="A139" s="54" t="s">
        <v>427</v>
      </c>
      <c r="B139" s="55">
        <v>239483632.43000001</v>
      </c>
      <c r="C139" s="55">
        <v>613121645.07000005</v>
      </c>
    </row>
    <row r="140" spans="1:3" x14ac:dyDescent="0.25">
      <c r="A140" s="54" t="s">
        <v>324</v>
      </c>
      <c r="B140" s="55">
        <v>111530834.48999999</v>
      </c>
      <c r="C140" s="55">
        <v>15192210.130000001</v>
      </c>
    </row>
    <row r="141" spans="1:3" x14ac:dyDescent="0.25">
      <c r="A141" s="54" t="s">
        <v>278</v>
      </c>
      <c r="B141" s="55">
        <v>33749038.520000003</v>
      </c>
      <c r="C141" s="55">
        <v>96109055</v>
      </c>
    </row>
    <row r="142" spans="1:3" x14ac:dyDescent="0.25">
      <c r="A142" s="54" t="s">
        <v>316</v>
      </c>
      <c r="B142" s="55" t="s">
        <v>30</v>
      </c>
      <c r="C142" s="55" t="s">
        <v>30</v>
      </c>
    </row>
    <row r="143" spans="1:3" x14ac:dyDescent="0.25">
      <c r="A143" s="54" t="s">
        <v>352</v>
      </c>
      <c r="B143" s="55">
        <v>37040447.840000004</v>
      </c>
      <c r="C143" s="55">
        <v>99769168.400000006</v>
      </c>
    </row>
    <row r="144" spans="1:3" x14ac:dyDescent="0.25">
      <c r="A144" s="54" t="s">
        <v>357</v>
      </c>
      <c r="B144" s="55">
        <v>22124866.199999999</v>
      </c>
      <c r="C144" s="55">
        <v>63667475.710000001</v>
      </c>
    </row>
    <row r="145" spans="1:3" x14ac:dyDescent="0.25">
      <c r="A145" s="54" t="s">
        <v>369</v>
      </c>
      <c r="B145" s="55" t="s">
        <v>30</v>
      </c>
      <c r="C145" s="55" t="s">
        <v>30</v>
      </c>
    </row>
    <row r="146" spans="1:3" x14ac:dyDescent="0.25">
      <c r="A146" s="54" t="s">
        <v>397</v>
      </c>
      <c r="B146" s="55">
        <v>129741039.61</v>
      </c>
      <c r="C146" s="55">
        <v>55701452.439999998</v>
      </c>
    </row>
    <row r="147" spans="1:3" x14ac:dyDescent="0.25">
      <c r="A147" s="54" t="s">
        <v>429</v>
      </c>
      <c r="B147" s="55">
        <v>762430.9</v>
      </c>
      <c r="C147" s="55">
        <v>122417.57</v>
      </c>
    </row>
    <row r="148" spans="1:3" x14ac:dyDescent="0.25">
      <c r="A148" s="54" t="s">
        <v>283</v>
      </c>
      <c r="B148" s="55">
        <v>24573.18</v>
      </c>
      <c r="C148" s="55">
        <v>47586.2</v>
      </c>
    </row>
    <row r="149" spans="1:3" x14ac:dyDescent="0.25">
      <c r="A149" s="54" t="s">
        <v>304</v>
      </c>
      <c r="B149" s="55">
        <v>25979.11</v>
      </c>
      <c r="C149" s="55">
        <v>39064.42</v>
      </c>
    </row>
    <row r="150" spans="1:3" x14ac:dyDescent="0.25">
      <c r="A150" s="54" t="s">
        <v>406</v>
      </c>
      <c r="B150" s="55">
        <v>1467.28</v>
      </c>
      <c r="C150" s="55">
        <v>2597.5</v>
      </c>
    </row>
    <row r="151" spans="1:3" x14ac:dyDescent="0.25">
      <c r="A151" s="54" t="s">
        <v>407</v>
      </c>
      <c r="B151" s="55">
        <v>1330.09</v>
      </c>
      <c r="C151" s="55">
        <v>2597.5</v>
      </c>
    </row>
    <row r="152" spans="1:3" x14ac:dyDescent="0.25">
      <c r="A152" s="54" t="s">
        <v>383</v>
      </c>
      <c r="B152" s="55">
        <v>28815.94</v>
      </c>
      <c r="C152" s="55">
        <v>55170.9</v>
      </c>
    </row>
    <row r="153" spans="1:3" x14ac:dyDescent="0.25">
      <c r="A153" s="54" t="s">
        <v>307</v>
      </c>
      <c r="B153" s="55">
        <v>1652589.67</v>
      </c>
      <c r="C153" s="55">
        <v>403106.51</v>
      </c>
    </row>
    <row r="154" spans="1:3" x14ac:dyDescent="0.25">
      <c r="A154" s="54" t="s">
        <v>371</v>
      </c>
      <c r="B154" s="55">
        <v>11590.68</v>
      </c>
      <c r="C154" s="55">
        <v>15482.71</v>
      </c>
    </row>
    <row r="155" spans="1:3" x14ac:dyDescent="0.25">
      <c r="A155" s="54" t="s">
        <v>402</v>
      </c>
      <c r="B155" s="55">
        <v>33667.51</v>
      </c>
      <c r="C155" s="55">
        <v>7960.32</v>
      </c>
    </row>
    <row r="156" spans="1:3" x14ac:dyDescent="0.25">
      <c r="A156" s="54" t="s">
        <v>1</v>
      </c>
      <c r="B156" s="55"/>
      <c r="C156" s="55"/>
    </row>
    <row r="157" spans="1:3" x14ac:dyDescent="0.25">
      <c r="A157" s="54" t="s">
        <v>6</v>
      </c>
      <c r="B157" s="55">
        <v>260007779.28999999</v>
      </c>
      <c r="C157" s="55">
        <v>705284213.00999999</v>
      </c>
    </row>
    <row r="158" spans="1:3" x14ac:dyDescent="0.25">
      <c r="A158" s="54" t="s">
        <v>271</v>
      </c>
      <c r="B158" s="55">
        <v>234513103.38</v>
      </c>
      <c r="C158" s="55">
        <v>611124742.76999998</v>
      </c>
    </row>
    <row r="159" spans="1:3" x14ac:dyDescent="0.25">
      <c r="A159" s="54" t="s">
        <v>379</v>
      </c>
      <c r="B159" s="55">
        <v>25494675.91</v>
      </c>
      <c r="C159" s="55">
        <v>94159470.239999995</v>
      </c>
    </row>
    <row r="160" spans="1:3" x14ac:dyDescent="0.25">
      <c r="A160" s="54" t="s">
        <v>1</v>
      </c>
      <c r="B160" s="55"/>
      <c r="C160" s="55"/>
    </row>
    <row r="161" spans="1:3" x14ac:dyDescent="0.25">
      <c r="A161" s="54" t="s">
        <v>223</v>
      </c>
      <c r="B161" s="55">
        <v>46738946.390000001</v>
      </c>
      <c r="C161" s="55">
        <v>46928074.630000003</v>
      </c>
    </row>
    <row r="162" spans="1:3" x14ac:dyDescent="0.25">
      <c r="A162" s="54" t="s">
        <v>443</v>
      </c>
      <c r="B162" s="55" t="s">
        <v>30</v>
      </c>
      <c r="C162" s="55" t="s">
        <v>30</v>
      </c>
    </row>
    <row r="163" spans="1:3" x14ac:dyDescent="0.25">
      <c r="A163" s="54" t="s">
        <v>455</v>
      </c>
      <c r="B163" s="55">
        <v>46738946.390000001</v>
      </c>
      <c r="C163" s="55">
        <v>46928074.630000003</v>
      </c>
    </row>
    <row r="164" spans="1:3" ht="24" customHeight="1" x14ac:dyDescent="0.25">
      <c r="A164" s="62" t="s">
        <v>227</v>
      </c>
      <c r="B164" s="62"/>
      <c r="C164" s="62"/>
    </row>
    <row r="165" spans="1:3" x14ac:dyDescent="0.25">
      <c r="A165" s="56" t="s">
        <v>228</v>
      </c>
      <c r="B165" s="57"/>
      <c r="C165" s="57"/>
    </row>
    <row r="166" spans="1:3" x14ac:dyDescent="0.25">
      <c r="A166" s="58" t="s">
        <v>234</v>
      </c>
      <c r="B166" s="57"/>
      <c r="C166" s="57"/>
    </row>
    <row r="167" spans="1:3" x14ac:dyDescent="0.25">
      <c r="A167" s="56" t="s">
        <v>229</v>
      </c>
      <c r="B167" s="57"/>
      <c r="C167" s="57"/>
    </row>
  </sheetData>
  <mergeCells count="3">
    <mergeCell ref="A1:C2"/>
    <mergeCell ref="B4:C4"/>
    <mergeCell ref="A164:C16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85"/>
  <sheetViews>
    <sheetView tabSelected="1" workbookViewId="0">
      <selection activeCell="D1" sqref="D1:G1048576"/>
    </sheetView>
  </sheetViews>
  <sheetFormatPr baseColWidth="10" defaultRowHeight="15.75" x14ac:dyDescent="0.25"/>
  <cols>
    <col min="1" max="1" width="40.125" style="45" customWidth="1"/>
    <col min="2" max="2" width="16" style="45" bestFit="1" customWidth="1"/>
    <col min="3" max="3" width="14.875" style="45" customWidth="1"/>
    <col min="4" max="7" width="11" style="8"/>
    <col min="8" max="16384" width="11" style="45"/>
  </cols>
  <sheetData>
    <row r="1" spans="1:7" x14ac:dyDescent="0.25">
      <c r="A1" s="59" t="s">
        <v>242</v>
      </c>
      <c r="B1" s="59"/>
      <c r="C1" s="59"/>
    </row>
    <row r="2" spans="1:7" x14ac:dyDescent="0.25">
      <c r="A2" s="59"/>
      <c r="B2" s="59"/>
      <c r="C2" s="59"/>
    </row>
    <row r="3" spans="1:7" s="46" customFormat="1" ht="15" x14ac:dyDescent="0.2">
      <c r="D3" s="8"/>
      <c r="E3" s="8"/>
      <c r="F3" s="8"/>
      <c r="G3" s="8"/>
    </row>
    <row r="4" spans="1:7" s="48" customFormat="1" ht="15" x14ac:dyDescent="0.2">
      <c r="A4" s="47"/>
      <c r="B4" s="60" t="s">
        <v>235</v>
      </c>
      <c r="C4" s="61"/>
      <c r="D4" s="8"/>
      <c r="E4" s="8"/>
      <c r="F4" s="8"/>
      <c r="G4" s="8"/>
    </row>
    <row r="5" spans="1:7" s="48" customFormat="1" ht="15" x14ac:dyDescent="0.2">
      <c r="A5" s="49" t="s">
        <v>233</v>
      </c>
      <c r="B5" s="50" t="s">
        <v>224</v>
      </c>
      <c r="C5" s="50" t="s">
        <v>225</v>
      </c>
      <c r="D5" s="8"/>
      <c r="E5" s="8"/>
      <c r="F5" s="8"/>
      <c r="G5" s="8"/>
    </row>
    <row r="6" spans="1:7" s="48" customFormat="1" ht="15" x14ac:dyDescent="0.2">
      <c r="A6" s="51"/>
      <c r="B6" s="52" t="s">
        <v>15</v>
      </c>
      <c r="C6" s="52" t="s">
        <v>14</v>
      </c>
      <c r="D6" s="8"/>
      <c r="E6" s="8"/>
      <c r="F6" s="8"/>
      <c r="G6" s="8"/>
    </row>
    <row r="7" spans="1:7" x14ac:dyDescent="0.25">
      <c r="C7" s="53"/>
    </row>
    <row r="8" spans="1:7" x14ac:dyDescent="0.25">
      <c r="A8" s="54" t="s">
        <v>0</v>
      </c>
      <c r="B8" s="55">
        <v>13760730242</v>
      </c>
      <c r="C8" s="55">
        <v>32478765441</v>
      </c>
    </row>
    <row r="9" spans="1:7" x14ac:dyDescent="0.25">
      <c r="A9" s="54" t="s">
        <v>1</v>
      </c>
      <c r="B9" s="55"/>
      <c r="C9" s="55"/>
    </row>
    <row r="10" spans="1:7" x14ac:dyDescent="0.25">
      <c r="A10" s="54" t="s">
        <v>2</v>
      </c>
      <c r="B10" s="55">
        <v>1657302681</v>
      </c>
      <c r="C10" s="55">
        <v>5046525614</v>
      </c>
      <c r="D10" s="70"/>
      <c r="G10" s="70"/>
    </row>
    <row r="11" spans="1:7" x14ac:dyDescent="0.25">
      <c r="A11" s="54" t="s">
        <v>288</v>
      </c>
      <c r="B11" s="55">
        <v>496327</v>
      </c>
      <c r="C11" s="55">
        <v>2627186</v>
      </c>
      <c r="D11" s="70"/>
      <c r="G11" s="70"/>
    </row>
    <row r="12" spans="1:7" x14ac:dyDescent="0.25">
      <c r="A12" s="54" t="s">
        <v>265</v>
      </c>
      <c r="B12" s="55">
        <v>512609156</v>
      </c>
      <c r="C12" s="55">
        <v>1656412330</v>
      </c>
      <c r="D12" s="70"/>
      <c r="G12" s="70"/>
    </row>
    <row r="13" spans="1:7" x14ac:dyDescent="0.25">
      <c r="A13" s="54" t="s">
        <v>289</v>
      </c>
      <c r="B13" s="55">
        <v>551533</v>
      </c>
      <c r="C13" s="55">
        <v>3010866</v>
      </c>
      <c r="D13" s="70"/>
      <c r="G13" s="70"/>
    </row>
    <row r="14" spans="1:7" x14ac:dyDescent="0.25">
      <c r="A14" s="54" t="s">
        <v>292</v>
      </c>
      <c r="B14" s="55">
        <v>8551764</v>
      </c>
      <c r="C14" s="55">
        <v>32113917</v>
      </c>
      <c r="D14" s="70"/>
      <c r="G14" s="70"/>
    </row>
    <row r="15" spans="1:7" x14ac:dyDescent="0.25">
      <c r="A15" s="54" t="s">
        <v>301</v>
      </c>
      <c r="B15" s="55">
        <v>1446228</v>
      </c>
      <c r="C15" s="55">
        <v>3227467</v>
      </c>
      <c r="D15" s="70"/>
      <c r="G15" s="70"/>
    </row>
    <row r="16" spans="1:7" x14ac:dyDescent="0.25">
      <c r="A16" s="54" t="s">
        <v>300</v>
      </c>
      <c r="B16" s="55">
        <v>3794232</v>
      </c>
      <c r="C16" s="55">
        <v>14689775</v>
      </c>
      <c r="D16" s="70"/>
      <c r="G16" s="70"/>
    </row>
    <row r="17" spans="1:7" x14ac:dyDescent="0.25">
      <c r="A17" s="54" t="s">
        <v>303</v>
      </c>
      <c r="B17" s="55">
        <v>16481267</v>
      </c>
      <c r="C17" s="55">
        <v>56816169</v>
      </c>
      <c r="D17" s="70"/>
      <c r="G17" s="70"/>
    </row>
    <row r="18" spans="1:7" x14ac:dyDescent="0.25">
      <c r="A18" s="54" t="s">
        <v>281</v>
      </c>
      <c r="B18" s="55">
        <v>154144</v>
      </c>
      <c r="C18" s="55">
        <v>161179</v>
      </c>
      <c r="D18" s="70"/>
      <c r="G18" s="70"/>
    </row>
    <row r="19" spans="1:7" x14ac:dyDescent="0.25">
      <c r="A19" s="54" t="s">
        <v>313</v>
      </c>
      <c r="B19" s="55">
        <v>531252094</v>
      </c>
      <c r="C19" s="55">
        <v>1549214272</v>
      </c>
      <c r="D19" s="70"/>
      <c r="G19" s="70"/>
    </row>
    <row r="20" spans="1:7" x14ac:dyDescent="0.25">
      <c r="A20" s="54" t="s">
        <v>321</v>
      </c>
      <c r="B20" s="55">
        <v>1052316</v>
      </c>
      <c r="C20" s="55">
        <v>2843521</v>
      </c>
      <c r="D20" s="70"/>
      <c r="G20" s="70"/>
    </row>
    <row r="21" spans="1:7" x14ac:dyDescent="0.25">
      <c r="A21" s="54" t="s">
        <v>322</v>
      </c>
      <c r="B21" s="55">
        <v>678398</v>
      </c>
      <c r="C21" s="55">
        <v>3726144</v>
      </c>
      <c r="D21" s="70"/>
      <c r="G21" s="70"/>
    </row>
    <row r="22" spans="1:7" x14ac:dyDescent="0.25">
      <c r="A22" s="54" t="s">
        <v>325</v>
      </c>
      <c r="B22" s="55">
        <v>13972846</v>
      </c>
      <c r="C22" s="55">
        <v>45797824</v>
      </c>
      <c r="D22" s="70"/>
      <c r="G22" s="70"/>
    </row>
    <row r="23" spans="1:7" x14ac:dyDescent="0.25">
      <c r="A23" s="54" t="s">
        <v>329</v>
      </c>
      <c r="B23" s="55">
        <v>63799</v>
      </c>
      <c r="C23" s="55">
        <v>118161</v>
      </c>
      <c r="D23" s="70"/>
      <c r="G23" s="70"/>
    </row>
    <row r="24" spans="1:7" x14ac:dyDescent="0.25">
      <c r="A24" s="54" t="s">
        <v>349</v>
      </c>
      <c r="B24" s="55">
        <v>11868706</v>
      </c>
      <c r="C24" s="55">
        <v>66533905</v>
      </c>
      <c r="D24" s="70"/>
      <c r="G24" s="70"/>
    </row>
    <row r="25" spans="1:7" x14ac:dyDescent="0.25">
      <c r="A25" s="54" t="s">
        <v>354</v>
      </c>
      <c r="B25" s="55">
        <v>49962</v>
      </c>
      <c r="C25" s="55">
        <v>30834</v>
      </c>
      <c r="D25" s="70"/>
      <c r="G25" s="70"/>
    </row>
    <row r="26" spans="1:7" x14ac:dyDescent="0.25">
      <c r="A26" s="54" t="s">
        <v>355</v>
      </c>
      <c r="B26" s="55">
        <v>72827</v>
      </c>
      <c r="C26" s="55">
        <v>127350</v>
      </c>
      <c r="D26" s="70"/>
      <c r="G26" s="70"/>
    </row>
    <row r="27" spans="1:7" x14ac:dyDescent="0.25">
      <c r="A27" s="54" t="s">
        <v>356</v>
      </c>
      <c r="B27" s="55">
        <v>6205244</v>
      </c>
      <c r="C27" s="55">
        <v>18106122</v>
      </c>
      <c r="D27" s="70"/>
      <c r="G27" s="70"/>
    </row>
    <row r="28" spans="1:7" x14ac:dyDescent="0.25">
      <c r="A28" s="54" t="s">
        <v>360</v>
      </c>
      <c r="B28" s="55">
        <v>12361516</v>
      </c>
      <c r="C28" s="55">
        <v>15975000</v>
      </c>
      <c r="D28" s="70"/>
      <c r="G28" s="70"/>
    </row>
    <row r="29" spans="1:7" x14ac:dyDescent="0.25">
      <c r="A29" s="54" t="s">
        <v>361</v>
      </c>
      <c r="B29" s="55">
        <v>439017</v>
      </c>
      <c r="C29" s="55">
        <v>2421990</v>
      </c>
      <c r="D29" s="70"/>
      <c r="G29" s="70"/>
    </row>
    <row r="30" spans="1:7" x14ac:dyDescent="0.25">
      <c r="A30" s="54" t="s">
        <v>364</v>
      </c>
      <c r="B30" s="55">
        <v>1944684</v>
      </c>
      <c r="C30" s="55">
        <v>10558869</v>
      </c>
      <c r="D30" s="70"/>
      <c r="G30" s="70"/>
    </row>
    <row r="31" spans="1:7" x14ac:dyDescent="0.25">
      <c r="A31" s="54" t="s">
        <v>372</v>
      </c>
      <c r="B31" s="55">
        <v>152535518</v>
      </c>
      <c r="C31" s="55">
        <v>526377722</v>
      </c>
      <c r="D31" s="70"/>
      <c r="G31" s="70"/>
    </row>
    <row r="32" spans="1:7" x14ac:dyDescent="0.25">
      <c r="A32" s="54" t="s">
        <v>367</v>
      </c>
      <c r="B32" s="55">
        <v>22654009</v>
      </c>
      <c r="C32" s="55">
        <v>65303698</v>
      </c>
      <c r="D32" s="70"/>
      <c r="G32" s="70"/>
    </row>
    <row r="33" spans="1:7" x14ac:dyDescent="0.25">
      <c r="A33" s="54" t="s">
        <v>366</v>
      </c>
      <c r="B33" s="55">
        <v>801664</v>
      </c>
      <c r="C33" s="55">
        <v>4132481</v>
      </c>
      <c r="D33" s="70"/>
      <c r="G33" s="70"/>
    </row>
    <row r="34" spans="1:7" x14ac:dyDescent="0.25">
      <c r="A34" s="54" t="s">
        <v>381</v>
      </c>
      <c r="B34" s="55">
        <v>2984850</v>
      </c>
      <c r="C34" s="55">
        <v>849159</v>
      </c>
      <c r="D34" s="70"/>
      <c r="G34" s="70"/>
    </row>
    <row r="35" spans="1:7" x14ac:dyDescent="0.25">
      <c r="A35" s="54" t="s">
        <v>382</v>
      </c>
      <c r="B35" s="55">
        <v>11685780</v>
      </c>
      <c r="C35" s="55">
        <v>57721353</v>
      </c>
      <c r="D35" s="70"/>
      <c r="G35" s="70"/>
    </row>
    <row r="36" spans="1:7" x14ac:dyDescent="0.25">
      <c r="A36" s="54" t="s">
        <v>398</v>
      </c>
      <c r="B36" s="55">
        <v>1145958</v>
      </c>
      <c r="C36" s="55">
        <v>6560888</v>
      </c>
      <c r="D36" s="70"/>
      <c r="G36" s="70"/>
    </row>
    <row r="37" spans="1:7" x14ac:dyDescent="0.25">
      <c r="A37" s="54" t="s">
        <v>401</v>
      </c>
      <c r="B37" s="55">
        <v>19503667</v>
      </c>
      <c r="C37" s="55">
        <v>79073478</v>
      </c>
      <c r="D37" s="70"/>
      <c r="G37" s="70"/>
    </row>
    <row r="38" spans="1:7" x14ac:dyDescent="0.25">
      <c r="A38" s="54" t="s">
        <v>404</v>
      </c>
      <c r="B38" s="55">
        <v>8620</v>
      </c>
      <c r="C38" s="55">
        <v>15236</v>
      </c>
      <c r="D38" s="70"/>
      <c r="G38" s="70"/>
    </row>
    <row r="39" spans="1:7" x14ac:dyDescent="0.25">
      <c r="A39" s="54" t="s">
        <v>422</v>
      </c>
      <c r="B39" s="55">
        <v>5108244</v>
      </c>
      <c r="C39" s="55">
        <v>17899079</v>
      </c>
      <c r="D39" s="70"/>
      <c r="G39" s="70"/>
    </row>
    <row r="40" spans="1:7" x14ac:dyDescent="0.25">
      <c r="A40" s="54" t="s">
        <v>424</v>
      </c>
      <c r="B40" s="55">
        <v>96681</v>
      </c>
      <c r="C40" s="55">
        <v>60238</v>
      </c>
      <c r="D40" s="70"/>
      <c r="G40" s="70"/>
    </row>
    <row r="41" spans="1:7" x14ac:dyDescent="0.25">
      <c r="A41" s="54" t="s">
        <v>426</v>
      </c>
      <c r="B41" s="55">
        <v>41361362</v>
      </c>
      <c r="C41" s="55">
        <v>123788877</v>
      </c>
      <c r="D41" s="70"/>
      <c r="G41" s="70"/>
    </row>
    <row r="42" spans="1:7" x14ac:dyDescent="0.25">
      <c r="A42" s="54" t="s">
        <v>428</v>
      </c>
      <c r="B42" s="55">
        <v>6218995</v>
      </c>
      <c r="C42" s="55">
        <v>30566641</v>
      </c>
      <c r="D42" s="70"/>
      <c r="G42" s="70"/>
    </row>
    <row r="43" spans="1:7" x14ac:dyDescent="0.25">
      <c r="A43" s="54" t="s">
        <v>438</v>
      </c>
      <c r="B43" s="55">
        <v>4539</v>
      </c>
      <c r="C43" s="55">
        <v>30</v>
      </c>
      <c r="D43" s="70"/>
      <c r="G43" s="70"/>
    </row>
    <row r="44" spans="1:7" x14ac:dyDescent="0.25">
      <c r="A44" s="54" t="s">
        <v>66</v>
      </c>
      <c r="B44" s="55">
        <v>4461444</v>
      </c>
      <c r="C44" s="55">
        <v>17023160</v>
      </c>
      <c r="D44" s="70"/>
      <c r="G44" s="70"/>
    </row>
    <row r="45" spans="1:7" x14ac:dyDescent="0.25">
      <c r="A45" s="54" t="s">
        <v>267</v>
      </c>
      <c r="B45" s="55">
        <v>4588945</v>
      </c>
      <c r="C45" s="55">
        <v>4454463</v>
      </c>
      <c r="D45" s="70"/>
      <c r="G45" s="70"/>
    </row>
    <row r="46" spans="1:7" x14ac:dyDescent="0.25">
      <c r="A46" s="54" t="s">
        <v>290</v>
      </c>
      <c r="B46" s="55">
        <v>502570</v>
      </c>
      <c r="C46" s="55">
        <v>3098416</v>
      </c>
      <c r="D46" s="70"/>
      <c r="G46" s="70"/>
    </row>
    <row r="47" spans="1:7" x14ac:dyDescent="0.25">
      <c r="A47" s="54" t="s">
        <v>373</v>
      </c>
      <c r="B47" s="55">
        <v>25087357</v>
      </c>
      <c r="C47" s="55">
        <v>33660639</v>
      </c>
      <c r="D47" s="70"/>
      <c r="G47" s="70"/>
    </row>
    <row r="48" spans="1:7" x14ac:dyDescent="0.25">
      <c r="A48" s="54" t="s">
        <v>309</v>
      </c>
      <c r="B48" s="55">
        <v>34928</v>
      </c>
      <c r="C48" s="55">
        <v>65984</v>
      </c>
      <c r="D48" s="70"/>
      <c r="G48" s="70"/>
    </row>
    <row r="49" spans="1:7" x14ac:dyDescent="0.25">
      <c r="A49" s="54" t="s">
        <v>375</v>
      </c>
      <c r="B49" s="55">
        <v>1237230</v>
      </c>
      <c r="C49" s="55">
        <v>4146067</v>
      </c>
      <c r="D49" s="70"/>
      <c r="G49" s="70"/>
    </row>
    <row r="50" spans="1:7" x14ac:dyDescent="0.25">
      <c r="A50" s="54" t="s">
        <v>409</v>
      </c>
      <c r="B50" s="55">
        <v>222799183</v>
      </c>
      <c r="C50" s="55">
        <v>570910601</v>
      </c>
      <c r="D50" s="70"/>
      <c r="G50" s="70"/>
    </row>
    <row r="51" spans="1:7" x14ac:dyDescent="0.25">
      <c r="A51" s="54" t="s">
        <v>317</v>
      </c>
      <c r="B51" s="55">
        <v>203447</v>
      </c>
      <c r="C51" s="55">
        <v>386491</v>
      </c>
      <c r="D51" s="70"/>
      <c r="G51" s="70"/>
    </row>
    <row r="52" spans="1:7" x14ac:dyDescent="0.25">
      <c r="A52" s="54" t="s">
        <v>416</v>
      </c>
      <c r="B52" s="55">
        <v>10231630</v>
      </c>
      <c r="C52" s="55">
        <v>15918032</v>
      </c>
      <c r="D52" s="70"/>
      <c r="G52" s="70"/>
    </row>
    <row r="53" spans="1:7" x14ac:dyDescent="0.25">
      <c r="A53" s="54" t="s">
        <v>1</v>
      </c>
      <c r="B53" s="55"/>
      <c r="C53" s="55"/>
      <c r="D53" s="70"/>
      <c r="G53" s="70"/>
    </row>
    <row r="54" spans="1:7" x14ac:dyDescent="0.25">
      <c r="A54" s="54" t="s">
        <v>3</v>
      </c>
      <c r="B54" s="55">
        <v>3275285067</v>
      </c>
      <c r="C54" s="55">
        <v>4414750895</v>
      </c>
      <c r="D54" s="70"/>
      <c r="G54" s="70"/>
    </row>
    <row r="55" spans="1:7" x14ac:dyDescent="0.25">
      <c r="A55" s="54" t="s">
        <v>277</v>
      </c>
      <c r="B55" s="55">
        <v>17792</v>
      </c>
      <c r="C55" s="55">
        <v>686</v>
      </c>
      <c r="D55" s="70"/>
      <c r="G55" s="70"/>
    </row>
    <row r="56" spans="1:7" x14ac:dyDescent="0.25">
      <c r="A56" s="54" t="s">
        <v>282</v>
      </c>
      <c r="B56" s="55">
        <v>87240659</v>
      </c>
      <c r="C56" s="55">
        <v>128770496</v>
      </c>
      <c r="D56" s="70"/>
      <c r="G56" s="70"/>
    </row>
    <row r="57" spans="1:7" x14ac:dyDescent="0.25">
      <c r="A57" s="54" t="s">
        <v>285</v>
      </c>
      <c r="B57" s="55">
        <v>1164271044</v>
      </c>
      <c r="C57" s="55">
        <v>1139744599</v>
      </c>
      <c r="D57" s="70"/>
      <c r="G57" s="70"/>
    </row>
    <row r="58" spans="1:7" x14ac:dyDescent="0.25">
      <c r="A58" s="54" t="s">
        <v>293</v>
      </c>
      <c r="B58" s="55">
        <v>1899896</v>
      </c>
      <c r="C58" s="55">
        <v>759577</v>
      </c>
      <c r="D58" s="70"/>
      <c r="G58" s="70"/>
    </row>
    <row r="59" spans="1:7" x14ac:dyDescent="0.25">
      <c r="A59" s="54" t="s">
        <v>298</v>
      </c>
      <c r="B59" s="55">
        <v>50169004</v>
      </c>
      <c r="C59" s="55">
        <v>66567271</v>
      </c>
      <c r="D59" s="70"/>
      <c r="G59" s="70"/>
    </row>
    <row r="60" spans="1:7" x14ac:dyDescent="0.25">
      <c r="A60" s="54" t="s">
        <v>302</v>
      </c>
      <c r="B60" s="55">
        <v>4206364</v>
      </c>
      <c r="C60" s="55">
        <v>7730097</v>
      </c>
      <c r="D60" s="70"/>
      <c r="G60" s="70"/>
    </row>
    <row r="61" spans="1:7" x14ac:dyDescent="0.25">
      <c r="A61" s="54" t="s">
        <v>442</v>
      </c>
      <c r="B61" s="55">
        <v>20023488</v>
      </c>
      <c r="C61" s="55">
        <v>86710222</v>
      </c>
      <c r="D61" s="70"/>
      <c r="G61" s="70"/>
    </row>
    <row r="62" spans="1:7" x14ac:dyDescent="0.25">
      <c r="A62" s="54" t="s">
        <v>296</v>
      </c>
      <c r="B62" s="55">
        <v>339727178</v>
      </c>
      <c r="C62" s="55">
        <v>727888742</v>
      </c>
      <c r="D62" s="70"/>
      <c r="G62" s="70"/>
    </row>
    <row r="63" spans="1:7" x14ac:dyDescent="0.25">
      <c r="A63" s="54" t="s">
        <v>311</v>
      </c>
      <c r="B63" s="55">
        <v>8882860</v>
      </c>
      <c r="C63" s="55">
        <v>17479289</v>
      </c>
      <c r="D63" s="70"/>
      <c r="G63" s="70"/>
    </row>
    <row r="64" spans="1:7" x14ac:dyDescent="0.25">
      <c r="A64" s="54" t="s">
        <v>312</v>
      </c>
      <c r="B64" s="55">
        <v>100273938</v>
      </c>
      <c r="C64" s="55">
        <v>303533861</v>
      </c>
      <c r="D64" s="70"/>
      <c r="G64" s="70"/>
    </row>
    <row r="65" spans="1:7" x14ac:dyDescent="0.25">
      <c r="A65" s="54" t="s">
        <v>314</v>
      </c>
      <c r="B65" s="55">
        <v>1812436</v>
      </c>
      <c r="C65" s="55">
        <v>2169479</v>
      </c>
      <c r="D65" s="70"/>
      <c r="G65" s="70"/>
    </row>
    <row r="66" spans="1:7" x14ac:dyDescent="0.25">
      <c r="A66" s="54" t="s">
        <v>432</v>
      </c>
      <c r="B66" s="55">
        <v>671085183</v>
      </c>
      <c r="C66" s="55">
        <v>801528902</v>
      </c>
      <c r="D66" s="70"/>
      <c r="G66" s="70"/>
    </row>
    <row r="67" spans="1:7" x14ac:dyDescent="0.25">
      <c r="A67" s="54" t="s">
        <v>328</v>
      </c>
      <c r="B67" s="55">
        <v>25757899</v>
      </c>
      <c r="C67" s="55">
        <v>33210799</v>
      </c>
      <c r="D67" s="70"/>
      <c r="G67" s="70"/>
    </row>
    <row r="68" spans="1:7" x14ac:dyDescent="0.25">
      <c r="A68" s="54" t="s">
        <v>332</v>
      </c>
      <c r="B68" s="55">
        <v>120927</v>
      </c>
      <c r="C68" s="55">
        <v>142044</v>
      </c>
      <c r="D68" s="70"/>
      <c r="G68" s="70"/>
    </row>
    <row r="69" spans="1:7" x14ac:dyDescent="0.25">
      <c r="A69" s="54" t="s">
        <v>333</v>
      </c>
      <c r="B69" s="55">
        <v>2200828</v>
      </c>
      <c r="C69" s="55">
        <v>2861954</v>
      </c>
      <c r="D69" s="70"/>
      <c r="G69" s="70"/>
    </row>
    <row r="70" spans="1:7" x14ac:dyDescent="0.25">
      <c r="A70" s="54" t="s">
        <v>334</v>
      </c>
      <c r="B70" s="55">
        <v>1009118</v>
      </c>
      <c r="C70" s="55">
        <v>466946</v>
      </c>
      <c r="D70" s="70"/>
      <c r="G70" s="70"/>
    </row>
    <row r="71" spans="1:7" x14ac:dyDescent="0.25">
      <c r="A71" s="54" t="s">
        <v>345</v>
      </c>
      <c r="B71" s="55">
        <v>2961</v>
      </c>
      <c r="C71" s="55">
        <v>1863</v>
      </c>
      <c r="D71" s="70"/>
      <c r="G71" s="70"/>
    </row>
    <row r="72" spans="1:7" x14ac:dyDescent="0.25">
      <c r="A72" s="54" t="s">
        <v>368</v>
      </c>
      <c r="B72" s="55">
        <v>52110509</v>
      </c>
      <c r="C72" s="55">
        <v>40976337</v>
      </c>
      <c r="D72" s="70"/>
      <c r="G72" s="70"/>
    </row>
    <row r="73" spans="1:7" x14ac:dyDescent="0.25">
      <c r="A73" s="54" t="s">
        <v>380</v>
      </c>
      <c r="B73" s="55">
        <v>5140119</v>
      </c>
      <c r="C73" s="55">
        <v>3809743</v>
      </c>
      <c r="D73" s="70"/>
      <c r="G73" s="70"/>
    </row>
    <row r="74" spans="1:7" x14ac:dyDescent="0.25">
      <c r="A74" s="54" t="s">
        <v>387</v>
      </c>
      <c r="B74" s="55">
        <v>4010805</v>
      </c>
      <c r="C74" s="55">
        <v>3374013</v>
      </c>
      <c r="D74" s="70"/>
      <c r="G74" s="70"/>
    </row>
    <row r="75" spans="1:7" x14ac:dyDescent="0.25">
      <c r="A75" s="54" t="s">
        <v>389</v>
      </c>
      <c r="B75" s="55">
        <v>130058544</v>
      </c>
      <c r="C75" s="55">
        <v>126972175</v>
      </c>
      <c r="D75" s="70"/>
      <c r="G75" s="70"/>
    </row>
    <row r="76" spans="1:7" x14ac:dyDescent="0.25">
      <c r="A76" s="54" t="s">
        <v>390</v>
      </c>
      <c r="B76" s="55">
        <v>328929038</v>
      </c>
      <c r="C76" s="55">
        <v>519726344</v>
      </c>
      <c r="D76" s="70"/>
      <c r="G76" s="70"/>
    </row>
    <row r="77" spans="1:7" x14ac:dyDescent="0.25">
      <c r="A77" s="54" t="s">
        <v>394</v>
      </c>
      <c r="B77" s="55">
        <v>3689686</v>
      </c>
      <c r="C77" s="55">
        <v>14135628</v>
      </c>
      <c r="D77" s="70"/>
      <c r="G77" s="70"/>
    </row>
    <row r="78" spans="1:7" x14ac:dyDescent="0.25">
      <c r="A78" s="54" t="s">
        <v>425</v>
      </c>
      <c r="B78" s="55">
        <v>237636</v>
      </c>
      <c r="C78" s="55">
        <v>121778</v>
      </c>
      <c r="D78" s="70"/>
      <c r="G78" s="70"/>
    </row>
    <row r="79" spans="1:7" x14ac:dyDescent="0.25">
      <c r="A79" s="54" t="s">
        <v>433</v>
      </c>
      <c r="B79" s="55">
        <v>132663854</v>
      </c>
      <c r="C79" s="55">
        <v>157950103</v>
      </c>
      <c r="D79" s="70"/>
      <c r="G79" s="70"/>
    </row>
    <row r="80" spans="1:7" x14ac:dyDescent="0.25">
      <c r="A80" s="54" t="s">
        <v>435</v>
      </c>
      <c r="B80" s="55">
        <v>123547111</v>
      </c>
      <c r="C80" s="55">
        <v>187659625</v>
      </c>
      <c r="D80" s="70"/>
      <c r="G80" s="70"/>
    </row>
    <row r="81" spans="1:7" x14ac:dyDescent="0.25">
      <c r="A81" s="54" t="s">
        <v>447</v>
      </c>
      <c r="B81" s="55">
        <v>6048254</v>
      </c>
      <c r="C81" s="55">
        <v>19397009</v>
      </c>
      <c r="D81" s="70"/>
      <c r="G81" s="70"/>
    </row>
    <row r="82" spans="1:7" x14ac:dyDescent="0.25">
      <c r="A82" s="54" t="s">
        <v>417</v>
      </c>
      <c r="B82" s="55">
        <v>11773</v>
      </c>
      <c r="C82" s="55">
        <v>14591</v>
      </c>
      <c r="D82" s="70"/>
      <c r="G82" s="70"/>
    </row>
    <row r="83" spans="1:7" x14ac:dyDescent="0.25">
      <c r="A83" s="54" t="s">
        <v>415</v>
      </c>
      <c r="B83" s="55">
        <v>81250</v>
      </c>
      <c r="C83" s="55">
        <v>25000</v>
      </c>
      <c r="D83" s="70"/>
      <c r="G83" s="70"/>
    </row>
    <row r="84" spans="1:7" x14ac:dyDescent="0.25">
      <c r="A84" s="54" t="s">
        <v>327</v>
      </c>
      <c r="B84" s="55">
        <v>86250</v>
      </c>
      <c r="C84" s="55">
        <v>25000</v>
      </c>
      <c r="D84" s="70"/>
      <c r="G84" s="70"/>
    </row>
    <row r="85" spans="1:7" x14ac:dyDescent="0.25">
      <c r="A85" s="54" t="s">
        <v>377</v>
      </c>
      <c r="B85" s="55">
        <v>8908862</v>
      </c>
      <c r="C85" s="55">
        <v>20503900</v>
      </c>
      <c r="D85" s="70"/>
      <c r="G85" s="70"/>
    </row>
    <row r="86" spans="1:7" x14ac:dyDescent="0.25">
      <c r="A86" s="54" t="s">
        <v>270</v>
      </c>
      <c r="B86" s="55">
        <v>355289</v>
      </c>
      <c r="C86" s="55">
        <v>46817</v>
      </c>
      <c r="D86" s="70"/>
      <c r="G86" s="70"/>
    </row>
    <row r="87" spans="1:7" x14ac:dyDescent="0.25">
      <c r="A87" s="54" t="s">
        <v>445</v>
      </c>
      <c r="B87" s="55">
        <v>423330</v>
      </c>
      <c r="C87" s="55">
        <v>92078</v>
      </c>
      <c r="D87" s="70"/>
      <c r="G87" s="70"/>
    </row>
    <row r="88" spans="1:7" x14ac:dyDescent="0.25">
      <c r="A88" s="54" t="s">
        <v>446</v>
      </c>
      <c r="B88" s="55">
        <v>164032</v>
      </c>
      <c r="C88" s="55">
        <v>23927</v>
      </c>
      <c r="D88" s="70"/>
      <c r="G88" s="70"/>
    </row>
    <row r="89" spans="1:7" x14ac:dyDescent="0.25">
      <c r="A89" s="54" t="s">
        <v>440</v>
      </c>
      <c r="B89" s="55">
        <v>117150</v>
      </c>
      <c r="C89" s="55">
        <v>330000</v>
      </c>
      <c r="D89" s="70"/>
      <c r="G89" s="70"/>
    </row>
    <row r="90" spans="1:7" x14ac:dyDescent="0.25">
      <c r="A90" s="54" t="s">
        <v>1</v>
      </c>
      <c r="B90" s="55"/>
      <c r="C90" s="55"/>
      <c r="D90" s="70"/>
      <c r="G90" s="70"/>
    </row>
    <row r="91" spans="1:7" x14ac:dyDescent="0.25">
      <c r="A91" s="54" t="s">
        <v>4</v>
      </c>
      <c r="B91" s="55">
        <v>5508504558</v>
      </c>
      <c r="C91" s="55">
        <v>13710975331</v>
      </c>
      <c r="D91" s="70"/>
      <c r="G91" s="70"/>
    </row>
    <row r="92" spans="1:7" x14ac:dyDescent="0.25">
      <c r="A92" s="54" t="s">
        <v>263</v>
      </c>
      <c r="B92" s="55">
        <v>100993</v>
      </c>
      <c r="C92" s="55">
        <v>19324</v>
      </c>
      <c r="D92" s="70"/>
      <c r="G92" s="70"/>
    </row>
    <row r="93" spans="1:7" x14ac:dyDescent="0.25">
      <c r="A93" s="54" t="s">
        <v>400</v>
      </c>
      <c r="B93" s="55">
        <v>171270709</v>
      </c>
      <c r="C93" s="55">
        <v>705236996</v>
      </c>
      <c r="D93" s="70"/>
      <c r="G93" s="70"/>
    </row>
    <row r="94" spans="1:7" x14ac:dyDescent="0.25">
      <c r="A94" s="54" t="s">
        <v>275</v>
      </c>
      <c r="B94" s="55">
        <v>367315</v>
      </c>
      <c r="C94" s="55">
        <v>1176614</v>
      </c>
      <c r="D94" s="70"/>
      <c r="G94" s="70"/>
    </row>
    <row r="95" spans="1:7" x14ac:dyDescent="0.25">
      <c r="A95" s="54" t="s">
        <v>374</v>
      </c>
      <c r="B95" s="55">
        <v>963390</v>
      </c>
      <c r="C95" s="55">
        <v>2762491</v>
      </c>
      <c r="D95" s="70"/>
      <c r="G95" s="70"/>
    </row>
    <row r="96" spans="1:7" x14ac:dyDescent="0.25">
      <c r="A96" s="54" t="s">
        <v>291</v>
      </c>
      <c r="B96" s="55">
        <v>1731797</v>
      </c>
      <c r="C96" s="55">
        <v>80447</v>
      </c>
      <c r="D96" s="70"/>
      <c r="G96" s="70"/>
    </row>
    <row r="97" spans="1:7" x14ac:dyDescent="0.25">
      <c r="A97" s="54" t="s">
        <v>412</v>
      </c>
      <c r="B97" s="55">
        <v>632410</v>
      </c>
      <c r="C97" s="55">
        <v>150793</v>
      </c>
      <c r="D97" s="70"/>
      <c r="G97" s="70"/>
    </row>
    <row r="98" spans="1:7" x14ac:dyDescent="0.25">
      <c r="A98" s="54" t="s">
        <v>350</v>
      </c>
      <c r="B98" s="55">
        <v>61880387</v>
      </c>
      <c r="C98" s="55">
        <v>253820304</v>
      </c>
      <c r="D98" s="70"/>
      <c r="G98" s="70"/>
    </row>
    <row r="99" spans="1:7" x14ac:dyDescent="0.25">
      <c r="A99" s="54" t="s">
        <v>297</v>
      </c>
      <c r="B99" s="55">
        <v>660387319</v>
      </c>
      <c r="C99" s="55">
        <v>1308274689</v>
      </c>
      <c r="D99" s="70"/>
      <c r="G99" s="70"/>
    </row>
    <row r="100" spans="1:7" x14ac:dyDescent="0.25">
      <c r="A100" s="54" t="s">
        <v>391</v>
      </c>
      <c r="B100" s="55">
        <v>127985379</v>
      </c>
      <c r="C100" s="55">
        <v>400731112</v>
      </c>
      <c r="D100" s="70"/>
      <c r="G100" s="70"/>
    </row>
    <row r="101" spans="1:7" x14ac:dyDescent="0.25">
      <c r="A101" s="54" t="s">
        <v>421</v>
      </c>
      <c r="B101" s="55">
        <v>18377237</v>
      </c>
      <c r="C101" s="55">
        <v>28660858</v>
      </c>
      <c r="D101" s="70"/>
      <c r="G101" s="70"/>
    </row>
    <row r="102" spans="1:7" x14ac:dyDescent="0.25">
      <c r="A102" s="54" t="s">
        <v>338</v>
      </c>
      <c r="B102" s="55">
        <v>1298666339</v>
      </c>
      <c r="C102" s="55">
        <v>1751437599</v>
      </c>
      <c r="D102" s="70"/>
      <c r="G102" s="70"/>
    </row>
    <row r="103" spans="1:7" x14ac:dyDescent="0.25">
      <c r="A103" s="54" t="s">
        <v>339</v>
      </c>
      <c r="B103" s="55">
        <v>619615558</v>
      </c>
      <c r="C103" s="55">
        <v>1937481707</v>
      </c>
      <c r="D103" s="70"/>
      <c r="G103" s="70"/>
    </row>
    <row r="104" spans="1:7" x14ac:dyDescent="0.25">
      <c r="A104" s="54" t="s">
        <v>341</v>
      </c>
      <c r="B104" s="55">
        <v>60307715</v>
      </c>
      <c r="C104" s="55">
        <v>194392961</v>
      </c>
      <c r="D104" s="70"/>
      <c r="G104" s="70"/>
    </row>
    <row r="105" spans="1:7" x14ac:dyDescent="0.25">
      <c r="A105" s="54" t="s">
        <v>340</v>
      </c>
      <c r="B105" s="55">
        <v>280973107</v>
      </c>
      <c r="C105" s="55">
        <v>661664078</v>
      </c>
      <c r="D105" s="70"/>
      <c r="G105" s="70"/>
    </row>
    <row r="106" spans="1:7" x14ac:dyDescent="0.25">
      <c r="A106" s="54" t="s">
        <v>343</v>
      </c>
      <c r="B106" s="55">
        <v>43616638</v>
      </c>
      <c r="C106" s="55">
        <v>22228124</v>
      </c>
      <c r="D106" s="70"/>
      <c r="G106" s="70"/>
    </row>
    <row r="107" spans="1:7" x14ac:dyDescent="0.25">
      <c r="A107" s="54" t="s">
        <v>346</v>
      </c>
      <c r="B107" s="55">
        <v>52435920</v>
      </c>
      <c r="C107" s="55">
        <v>143819783</v>
      </c>
      <c r="D107" s="70"/>
      <c r="G107" s="70"/>
    </row>
    <row r="108" spans="1:7" x14ac:dyDescent="0.25">
      <c r="A108" s="54" t="s">
        <v>347</v>
      </c>
      <c r="B108" s="55">
        <v>119663942</v>
      </c>
      <c r="C108" s="55">
        <v>407466962</v>
      </c>
      <c r="D108" s="70"/>
      <c r="G108" s="70"/>
    </row>
    <row r="109" spans="1:7" x14ac:dyDescent="0.25">
      <c r="A109" s="54" t="s">
        <v>395</v>
      </c>
      <c r="B109" s="55">
        <v>585200</v>
      </c>
      <c r="C109" s="55">
        <v>1291097</v>
      </c>
      <c r="D109" s="70"/>
      <c r="G109" s="70"/>
    </row>
    <row r="110" spans="1:7" x14ac:dyDescent="0.25">
      <c r="A110" s="54" t="s">
        <v>351</v>
      </c>
      <c r="B110" s="55">
        <v>2658360</v>
      </c>
      <c r="C110" s="55">
        <v>10269234</v>
      </c>
      <c r="D110" s="70"/>
      <c r="G110" s="70"/>
    </row>
    <row r="111" spans="1:7" x14ac:dyDescent="0.25">
      <c r="A111" s="54" t="s">
        <v>353</v>
      </c>
      <c r="B111" s="55">
        <v>48681159</v>
      </c>
      <c r="C111" s="55">
        <v>141931689</v>
      </c>
      <c r="D111" s="70"/>
      <c r="G111" s="70"/>
    </row>
    <row r="112" spans="1:7" x14ac:dyDescent="0.25">
      <c r="A112" s="54" t="s">
        <v>362</v>
      </c>
      <c r="B112" s="55">
        <v>422109696</v>
      </c>
      <c r="C112" s="55">
        <v>1370294023</v>
      </c>
      <c r="D112" s="70"/>
      <c r="G112" s="70"/>
    </row>
    <row r="113" spans="1:7" x14ac:dyDescent="0.25">
      <c r="A113" s="54" t="s">
        <v>385</v>
      </c>
      <c r="B113" s="55">
        <v>13753307</v>
      </c>
      <c r="C113" s="55">
        <v>55806689</v>
      </c>
      <c r="D113" s="70"/>
      <c r="G113" s="70"/>
    </row>
    <row r="114" spans="1:7" x14ac:dyDescent="0.25">
      <c r="A114" s="54" t="s">
        <v>370</v>
      </c>
      <c r="B114" s="55">
        <v>1174371</v>
      </c>
      <c r="C114" s="55">
        <v>283490</v>
      </c>
      <c r="D114" s="70"/>
      <c r="G114" s="70"/>
    </row>
    <row r="115" spans="1:7" x14ac:dyDescent="0.25">
      <c r="A115" s="54" t="s">
        <v>376</v>
      </c>
      <c r="B115" s="55">
        <v>548054</v>
      </c>
      <c r="C115" s="55">
        <v>1329220</v>
      </c>
      <c r="D115" s="70"/>
      <c r="G115" s="70"/>
    </row>
    <row r="116" spans="1:7" x14ac:dyDescent="0.25">
      <c r="A116" s="54" t="s">
        <v>430</v>
      </c>
      <c r="B116" s="55">
        <v>34389695</v>
      </c>
      <c r="C116" s="55">
        <v>117599016</v>
      </c>
      <c r="D116" s="70"/>
      <c r="G116" s="70"/>
    </row>
    <row r="117" spans="1:7" x14ac:dyDescent="0.25">
      <c r="A117" s="54" t="s">
        <v>386</v>
      </c>
      <c r="B117" s="55">
        <v>37833514</v>
      </c>
      <c r="C117" s="55">
        <v>83256154</v>
      </c>
      <c r="D117" s="70"/>
      <c r="G117" s="70"/>
    </row>
    <row r="118" spans="1:7" x14ac:dyDescent="0.25">
      <c r="A118" s="54" t="s">
        <v>405</v>
      </c>
      <c r="B118" s="55">
        <v>533460</v>
      </c>
      <c r="C118" s="55">
        <v>862110</v>
      </c>
      <c r="D118" s="70"/>
      <c r="G118" s="70"/>
    </row>
    <row r="119" spans="1:7" x14ac:dyDescent="0.25">
      <c r="A119" s="54" t="s">
        <v>420</v>
      </c>
      <c r="B119" s="55">
        <v>149271</v>
      </c>
      <c r="C119" s="55">
        <v>87639</v>
      </c>
      <c r="D119" s="70"/>
      <c r="G119" s="70"/>
    </row>
    <row r="120" spans="1:7" x14ac:dyDescent="0.25">
      <c r="A120" s="54" t="s">
        <v>423</v>
      </c>
      <c r="B120" s="55">
        <v>228793669</v>
      </c>
      <c r="C120" s="55">
        <v>558989807</v>
      </c>
      <c r="D120" s="70"/>
      <c r="G120" s="70"/>
    </row>
    <row r="121" spans="1:7" x14ac:dyDescent="0.25">
      <c r="A121" s="54" t="s">
        <v>436</v>
      </c>
      <c r="B121" s="55">
        <v>810819526</v>
      </c>
      <c r="C121" s="55">
        <v>2789691769</v>
      </c>
      <c r="D121" s="70"/>
      <c r="G121" s="70"/>
    </row>
    <row r="122" spans="1:7" x14ac:dyDescent="0.25">
      <c r="A122" s="54" t="s">
        <v>335</v>
      </c>
      <c r="B122" s="55">
        <v>37023707</v>
      </c>
      <c r="C122" s="55">
        <v>11838138</v>
      </c>
      <c r="D122" s="70"/>
      <c r="G122" s="70"/>
    </row>
    <row r="123" spans="1:7" x14ac:dyDescent="0.25">
      <c r="A123" s="54" t="s">
        <v>276</v>
      </c>
      <c r="B123" s="55">
        <v>299622182</v>
      </c>
      <c r="C123" s="55">
        <v>553777305</v>
      </c>
      <c r="D123" s="70"/>
      <c r="G123" s="70"/>
    </row>
    <row r="124" spans="1:7" x14ac:dyDescent="0.25">
      <c r="A124" s="54" t="s">
        <v>286</v>
      </c>
      <c r="B124" s="55">
        <v>2868052</v>
      </c>
      <c r="C124" s="55">
        <v>10097430</v>
      </c>
      <c r="D124" s="70"/>
      <c r="G124" s="70"/>
    </row>
    <row r="125" spans="1:7" x14ac:dyDescent="0.25">
      <c r="A125" s="54" t="s">
        <v>437</v>
      </c>
      <c r="B125" s="55">
        <v>47128194</v>
      </c>
      <c r="C125" s="55">
        <v>183848576</v>
      </c>
      <c r="D125" s="70"/>
      <c r="G125" s="70"/>
    </row>
    <row r="126" spans="1:7" x14ac:dyDescent="0.25">
      <c r="A126" s="54" t="s">
        <v>269</v>
      </c>
      <c r="B126" s="55">
        <v>44632</v>
      </c>
      <c r="C126" s="55">
        <v>101607</v>
      </c>
      <c r="D126" s="70"/>
      <c r="G126" s="70"/>
    </row>
    <row r="127" spans="1:7" x14ac:dyDescent="0.25">
      <c r="A127" s="54" t="s">
        <v>273</v>
      </c>
      <c r="B127" s="55">
        <v>24408</v>
      </c>
      <c r="C127" s="55">
        <v>43663</v>
      </c>
      <c r="D127" s="70"/>
      <c r="G127" s="70"/>
    </row>
    <row r="128" spans="1:7" x14ac:dyDescent="0.25">
      <c r="A128" s="54" t="s">
        <v>323</v>
      </c>
      <c r="B128" s="55">
        <v>7157</v>
      </c>
      <c r="C128" s="55">
        <v>14119</v>
      </c>
      <c r="D128" s="70"/>
      <c r="G128" s="70"/>
    </row>
    <row r="129" spans="1:7" x14ac:dyDescent="0.25">
      <c r="A129" s="54" t="s">
        <v>348</v>
      </c>
      <c r="B129" s="55">
        <v>773539</v>
      </c>
      <c r="C129" s="55">
        <v>157532</v>
      </c>
      <c r="D129" s="70"/>
      <c r="G129" s="70"/>
    </row>
    <row r="130" spans="1:7" x14ac:dyDescent="0.25">
      <c r="A130" s="54" t="s">
        <v>159</v>
      </c>
      <c r="B130" s="55">
        <v>7250</v>
      </c>
      <c r="C130" s="55">
        <v>182</v>
      </c>
      <c r="D130" s="70"/>
      <c r="G130" s="70"/>
    </row>
    <row r="131" spans="1:7" x14ac:dyDescent="0.25">
      <c r="A131" s="54" t="s">
        <v>1</v>
      </c>
      <c r="B131" s="55"/>
      <c r="C131" s="55"/>
      <c r="D131" s="70"/>
      <c r="G131" s="70"/>
    </row>
    <row r="132" spans="1:7" x14ac:dyDescent="0.25">
      <c r="A132" s="54" t="s">
        <v>5</v>
      </c>
      <c r="B132" s="55">
        <v>3180869241</v>
      </c>
      <c r="C132" s="55">
        <v>8871738388</v>
      </c>
      <c r="D132" s="70"/>
      <c r="G132" s="70"/>
    </row>
    <row r="133" spans="1:7" x14ac:dyDescent="0.25">
      <c r="A133" s="54" t="s">
        <v>264</v>
      </c>
      <c r="B133" s="55">
        <v>139878</v>
      </c>
      <c r="C133" s="55">
        <v>49943</v>
      </c>
      <c r="D133" s="70"/>
      <c r="G133" s="70"/>
    </row>
    <row r="134" spans="1:7" x14ac:dyDescent="0.25">
      <c r="A134" s="54" t="s">
        <v>272</v>
      </c>
      <c r="B134" s="55">
        <v>1860033</v>
      </c>
      <c r="C134" s="55">
        <v>80497</v>
      </c>
      <c r="D134" s="70"/>
      <c r="G134" s="70"/>
    </row>
    <row r="135" spans="1:7" x14ac:dyDescent="0.25">
      <c r="A135" s="54" t="s">
        <v>279</v>
      </c>
      <c r="B135" s="55">
        <v>68344858</v>
      </c>
      <c r="C135" s="55">
        <v>186129636</v>
      </c>
      <c r="D135" s="70"/>
      <c r="G135" s="70"/>
    </row>
    <row r="136" spans="1:7" x14ac:dyDescent="0.25">
      <c r="A136" s="54" t="s">
        <v>287</v>
      </c>
      <c r="B136" s="55">
        <v>722714</v>
      </c>
      <c r="C136" s="55">
        <v>89358</v>
      </c>
      <c r="D136" s="70"/>
      <c r="G136" s="70"/>
    </row>
    <row r="137" spans="1:7" x14ac:dyDescent="0.25">
      <c r="A137" s="54" t="s">
        <v>308</v>
      </c>
      <c r="B137" s="55">
        <v>151569128</v>
      </c>
      <c r="C137" s="55">
        <v>471043450</v>
      </c>
      <c r="D137" s="70"/>
      <c r="G137" s="70"/>
    </row>
    <row r="138" spans="1:7" x14ac:dyDescent="0.25">
      <c r="A138" s="54" t="s">
        <v>411</v>
      </c>
      <c r="B138" s="55">
        <v>526044477</v>
      </c>
      <c r="C138" s="55">
        <v>1606185755</v>
      </c>
      <c r="D138" s="70"/>
      <c r="G138" s="70"/>
    </row>
    <row r="139" spans="1:7" x14ac:dyDescent="0.25">
      <c r="A139" s="54" t="s">
        <v>319</v>
      </c>
      <c r="B139" s="55">
        <v>34775</v>
      </c>
      <c r="C139" s="55">
        <v>11672</v>
      </c>
      <c r="D139" s="70"/>
      <c r="G139" s="70"/>
    </row>
    <row r="140" spans="1:7" x14ac:dyDescent="0.25">
      <c r="A140" s="54" t="s">
        <v>320</v>
      </c>
      <c r="B140" s="55">
        <v>29776522</v>
      </c>
      <c r="C140" s="55">
        <v>81302022</v>
      </c>
      <c r="D140" s="70"/>
      <c r="G140" s="70"/>
    </row>
    <row r="141" spans="1:7" x14ac:dyDescent="0.25">
      <c r="A141" s="54" t="s">
        <v>326</v>
      </c>
      <c r="B141" s="55">
        <v>62942495</v>
      </c>
      <c r="C141" s="55">
        <v>195432242</v>
      </c>
      <c r="D141" s="70"/>
      <c r="G141" s="70"/>
    </row>
    <row r="142" spans="1:7" x14ac:dyDescent="0.25">
      <c r="A142" s="54" t="s">
        <v>336</v>
      </c>
      <c r="B142" s="55">
        <v>103610</v>
      </c>
      <c r="C142" s="55">
        <v>2916</v>
      </c>
      <c r="D142" s="70"/>
      <c r="G142" s="70"/>
    </row>
    <row r="143" spans="1:7" x14ac:dyDescent="0.25">
      <c r="A143" s="54" t="s">
        <v>342</v>
      </c>
      <c r="B143" s="55">
        <v>96925210</v>
      </c>
      <c r="C143" s="55">
        <v>412073866</v>
      </c>
      <c r="D143" s="70"/>
      <c r="G143" s="70"/>
    </row>
    <row r="144" spans="1:7" x14ac:dyDescent="0.25">
      <c r="A144" s="54" t="s">
        <v>344</v>
      </c>
      <c r="B144" s="55">
        <v>451929318</v>
      </c>
      <c r="C144" s="55">
        <v>1395475402</v>
      </c>
      <c r="D144" s="70"/>
      <c r="G144" s="70"/>
    </row>
    <row r="145" spans="1:7" x14ac:dyDescent="0.25">
      <c r="A145" s="54" t="s">
        <v>365</v>
      </c>
      <c r="B145" s="55">
        <v>159963888</v>
      </c>
      <c r="C145" s="55">
        <v>215090774</v>
      </c>
      <c r="D145" s="70"/>
      <c r="G145" s="70"/>
    </row>
    <row r="146" spans="1:7" x14ac:dyDescent="0.25">
      <c r="A146" s="54" t="s">
        <v>384</v>
      </c>
      <c r="B146" s="55">
        <v>33369</v>
      </c>
      <c r="C146" s="55">
        <v>22722</v>
      </c>
      <c r="D146" s="70"/>
      <c r="G146" s="70"/>
    </row>
    <row r="147" spans="1:7" x14ac:dyDescent="0.25">
      <c r="A147" s="54" t="s">
        <v>378</v>
      </c>
      <c r="B147" s="55">
        <v>418795250</v>
      </c>
      <c r="C147" s="55">
        <v>1076502772</v>
      </c>
      <c r="D147" s="70"/>
      <c r="G147" s="70"/>
    </row>
    <row r="148" spans="1:7" x14ac:dyDescent="0.25">
      <c r="A148" s="54" t="s">
        <v>392</v>
      </c>
      <c r="B148" s="55">
        <v>381725865</v>
      </c>
      <c r="C148" s="55">
        <v>1190873251</v>
      </c>
      <c r="D148" s="70"/>
      <c r="G148" s="70"/>
    </row>
    <row r="149" spans="1:7" x14ac:dyDescent="0.25">
      <c r="A149" s="54" t="s">
        <v>393</v>
      </c>
      <c r="B149" s="55">
        <v>24478678</v>
      </c>
      <c r="C149" s="55">
        <v>78237025</v>
      </c>
      <c r="D149" s="70"/>
      <c r="G149" s="70"/>
    </row>
    <row r="150" spans="1:7" x14ac:dyDescent="0.25">
      <c r="A150" s="54" t="s">
        <v>431</v>
      </c>
      <c r="B150" s="55">
        <v>254894147</v>
      </c>
      <c r="C150" s="55">
        <v>867237824</v>
      </c>
      <c r="D150" s="70"/>
      <c r="G150" s="70"/>
    </row>
    <row r="151" spans="1:7" x14ac:dyDescent="0.25">
      <c r="A151" s="54" t="s">
        <v>396</v>
      </c>
      <c r="B151" s="55">
        <v>51801848</v>
      </c>
      <c r="C151" s="55">
        <v>156457267</v>
      </c>
      <c r="D151" s="70"/>
      <c r="G151" s="70"/>
    </row>
    <row r="152" spans="1:7" x14ac:dyDescent="0.25">
      <c r="A152" s="54" t="s">
        <v>418</v>
      </c>
      <c r="B152" s="55">
        <v>5036147</v>
      </c>
      <c r="C152" s="55">
        <v>110257</v>
      </c>
      <c r="D152" s="70"/>
    </row>
    <row r="153" spans="1:7" x14ac:dyDescent="0.25">
      <c r="A153" s="54" t="s">
        <v>419</v>
      </c>
      <c r="B153" s="55">
        <v>3786359</v>
      </c>
      <c r="C153" s="55">
        <v>683119</v>
      </c>
      <c r="D153" s="70"/>
    </row>
    <row r="154" spans="1:7" x14ac:dyDescent="0.25">
      <c r="A154" s="54" t="s">
        <v>306</v>
      </c>
      <c r="B154" s="55">
        <v>10348994</v>
      </c>
      <c r="C154" s="55">
        <v>32119601</v>
      </c>
      <c r="D154" s="70"/>
    </row>
    <row r="155" spans="1:7" x14ac:dyDescent="0.25">
      <c r="A155" s="54" t="s">
        <v>427</v>
      </c>
      <c r="B155" s="55">
        <v>184019038</v>
      </c>
      <c r="C155" s="55">
        <v>575426634</v>
      </c>
      <c r="D155" s="70"/>
    </row>
    <row r="156" spans="1:7" x14ac:dyDescent="0.25">
      <c r="A156" s="54" t="s">
        <v>324</v>
      </c>
      <c r="B156" s="55">
        <v>116762137</v>
      </c>
      <c r="C156" s="55">
        <v>45576213</v>
      </c>
    </row>
    <row r="157" spans="1:7" x14ac:dyDescent="0.25">
      <c r="A157" s="54" t="s">
        <v>278</v>
      </c>
      <c r="B157" s="55">
        <v>26307558</v>
      </c>
      <c r="C157" s="55">
        <v>80630680</v>
      </c>
    </row>
    <row r="158" spans="1:7" x14ac:dyDescent="0.25">
      <c r="A158" s="54" t="s">
        <v>316</v>
      </c>
      <c r="B158" s="55">
        <v>8463</v>
      </c>
      <c r="C158" s="55">
        <v>3220</v>
      </c>
    </row>
    <row r="159" spans="1:7" x14ac:dyDescent="0.25">
      <c r="A159" s="54" t="s">
        <v>352</v>
      </c>
      <c r="B159" s="55">
        <v>36048479</v>
      </c>
      <c r="C159" s="55">
        <v>111290626</v>
      </c>
    </row>
    <row r="160" spans="1:7" x14ac:dyDescent="0.25">
      <c r="A160" s="54" t="s">
        <v>357</v>
      </c>
      <c r="B160" s="55">
        <v>18770517</v>
      </c>
      <c r="C160" s="55">
        <v>57532015</v>
      </c>
    </row>
    <row r="161" spans="1:3" x14ac:dyDescent="0.25">
      <c r="A161" s="54" t="s">
        <v>369</v>
      </c>
      <c r="B161" s="55">
        <v>61607</v>
      </c>
      <c r="C161" s="55">
        <v>3576</v>
      </c>
    </row>
    <row r="162" spans="1:3" x14ac:dyDescent="0.25">
      <c r="A162" s="54" t="s">
        <v>397</v>
      </c>
      <c r="B162" s="55">
        <v>70532258</v>
      </c>
      <c r="C162" s="55">
        <v>30951684</v>
      </c>
    </row>
    <row r="163" spans="1:3" x14ac:dyDescent="0.25">
      <c r="A163" s="54" t="s">
        <v>429</v>
      </c>
      <c r="B163" s="55">
        <v>3143375</v>
      </c>
      <c r="C163" s="55">
        <v>2939023</v>
      </c>
    </row>
    <row r="164" spans="1:3" x14ac:dyDescent="0.25">
      <c r="A164" s="54" t="s">
        <v>283</v>
      </c>
      <c r="B164" s="55">
        <v>26745</v>
      </c>
      <c r="C164" s="55">
        <v>51390</v>
      </c>
    </row>
    <row r="165" spans="1:3" x14ac:dyDescent="0.25">
      <c r="A165" s="54" t="s">
        <v>304</v>
      </c>
      <c r="B165" s="55">
        <v>938066</v>
      </c>
      <c r="C165" s="55">
        <v>468020</v>
      </c>
    </row>
    <row r="166" spans="1:3" x14ac:dyDescent="0.25">
      <c r="A166" s="54" t="s">
        <v>406</v>
      </c>
      <c r="B166" s="55">
        <v>21572780</v>
      </c>
      <c r="C166" s="55">
        <v>1224001</v>
      </c>
    </row>
    <row r="167" spans="1:3" x14ac:dyDescent="0.25">
      <c r="A167" s="54" t="s">
        <v>407</v>
      </c>
      <c r="B167" s="55">
        <v>2761</v>
      </c>
      <c r="C167" s="55">
        <v>6</v>
      </c>
    </row>
    <row r="168" spans="1:3" x14ac:dyDescent="0.25">
      <c r="A168" s="54" t="s">
        <v>383</v>
      </c>
      <c r="B168" s="55">
        <v>33776</v>
      </c>
      <c r="C168" s="55">
        <v>56547</v>
      </c>
    </row>
    <row r="169" spans="1:3" x14ac:dyDescent="0.25">
      <c r="A169" s="54" t="s">
        <v>307</v>
      </c>
      <c r="B169" s="55">
        <v>1336729</v>
      </c>
      <c r="C169" s="55">
        <v>326802</v>
      </c>
    </row>
    <row r="170" spans="1:3" x14ac:dyDescent="0.25">
      <c r="A170" s="54" t="s">
        <v>371</v>
      </c>
      <c r="B170" s="55">
        <v>12443</v>
      </c>
      <c r="C170" s="55">
        <v>24260</v>
      </c>
    </row>
    <row r="171" spans="1:3" x14ac:dyDescent="0.25">
      <c r="A171" s="54" t="s">
        <v>402</v>
      </c>
      <c r="B171" s="55">
        <v>34643</v>
      </c>
      <c r="C171" s="55">
        <v>22082</v>
      </c>
    </row>
    <row r="172" spans="1:3" x14ac:dyDescent="0.25">
      <c r="A172" s="54" t="s">
        <v>444</v>
      </c>
      <c r="B172" s="55">
        <v>303</v>
      </c>
      <c r="C172" s="55">
        <v>238</v>
      </c>
    </row>
    <row r="173" spans="1:3" x14ac:dyDescent="0.25">
      <c r="A173" s="54" t="s">
        <v>1</v>
      </c>
      <c r="B173" s="55"/>
      <c r="C173" s="55"/>
    </row>
    <row r="174" spans="1:3" x14ac:dyDescent="0.25">
      <c r="A174" s="54" t="s">
        <v>6</v>
      </c>
      <c r="B174" s="55">
        <v>138768695</v>
      </c>
      <c r="C174" s="55">
        <v>434775213</v>
      </c>
    </row>
    <row r="175" spans="1:3" x14ac:dyDescent="0.25">
      <c r="A175" s="54" t="s">
        <v>271</v>
      </c>
      <c r="B175" s="55">
        <v>110651508</v>
      </c>
      <c r="C175" s="55">
        <v>315890673</v>
      </c>
    </row>
    <row r="176" spans="1:3" x14ac:dyDescent="0.25">
      <c r="A176" s="54" t="s">
        <v>379</v>
      </c>
      <c r="B176" s="55">
        <v>28097723</v>
      </c>
      <c r="C176" s="55">
        <v>118848281</v>
      </c>
    </row>
    <row r="177" spans="1:3" x14ac:dyDescent="0.25">
      <c r="A177" s="54" t="s">
        <v>318</v>
      </c>
      <c r="B177" s="55">
        <v>1557</v>
      </c>
      <c r="C177" s="55">
        <v>2930</v>
      </c>
    </row>
    <row r="178" spans="1:3" x14ac:dyDescent="0.25">
      <c r="A178" s="54" t="s">
        <v>408</v>
      </c>
      <c r="B178" s="55">
        <v>17907</v>
      </c>
      <c r="C178" s="55">
        <v>33329</v>
      </c>
    </row>
    <row r="179" spans="1:3" x14ac:dyDescent="0.25">
      <c r="A179" s="54" t="s">
        <v>1</v>
      </c>
      <c r="B179" s="55"/>
      <c r="C179" s="55"/>
    </row>
    <row r="180" spans="1:3" x14ac:dyDescent="0.25">
      <c r="A180" s="54" t="s">
        <v>223</v>
      </c>
      <c r="B180" s="55" t="s">
        <v>30</v>
      </c>
      <c r="C180" s="55" t="s">
        <v>30</v>
      </c>
    </row>
    <row r="181" spans="1:3" ht="15" customHeight="1" x14ac:dyDescent="0.25">
      <c r="A181" s="54" t="s">
        <v>455</v>
      </c>
      <c r="B181" s="55" t="s">
        <v>30</v>
      </c>
      <c r="C181" s="55" t="s">
        <v>30</v>
      </c>
    </row>
    <row r="182" spans="1:3" ht="24" customHeight="1" x14ac:dyDescent="0.25">
      <c r="A182" s="62" t="s">
        <v>227</v>
      </c>
      <c r="B182" s="62"/>
      <c r="C182" s="62"/>
    </row>
    <row r="183" spans="1:3" x14ac:dyDescent="0.25">
      <c r="A183" s="56" t="s">
        <v>228</v>
      </c>
      <c r="B183" s="57"/>
      <c r="C183" s="57"/>
    </row>
    <row r="184" spans="1:3" x14ac:dyDescent="0.25">
      <c r="A184" s="58" t="s">
        <v>234</v>
      </c>
      <c r="B184" s="57"/>
      <c r="C184" s="57"/>
    </row>
    <row r="185" spans="1:3" x14ac:dyDescent="0.25">
      <c r="A185" s="56" t="s">
        <v>229</v>
      </c>
      <c r="B185" s="57"/>
      <c r="C185" s="57"/>
    </row>
  </sheetData>
  <mergeCells count="3">
    <mergeCell ref="A1:C2"/>
    <mergeCell ref="B4:C4"/>
    <mergeCell ref="A182:C18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87"/>
  <sheetViews>
    <sheetView showGridLines="0" workbookViewId="0">
      <pane ySplit="8" topLeftCell="A9" activePane="bottomLeft" state="frozen"/>
      <selection pane="bottomLeft" activeCell="D1" sqref="D1:G1048576"/>
    </sheetView>
  </sheetViews>
  <sheetFormatPr baseColWidth="10" defaultRowHeight="15" x14ac:dyDescent="0.2"/>
  <cols>
    <col min="1" max="1" width="45.25" style="17" customWidth="1"/>
    <col min="2" max="2" width="15.125" style="40" customWidth="1"/>
    <col min="3" max="3" width="14.375" style="40" bestFit="1" customWidth="1"/>
    <col min="4" max="7" width="11" style="8"/>
    <col min="8" max="16384" width="11" style="17"/>
  </cols>
  <sheetData>
    <row r="1" spans="1:7" ht="12.75" customHeight="1" x14ac:dyDescent="0.2">
      <c r="A1" s="63" t="s">
        <v>243</v>
      </c>
      <c r="B1" s="63"/>
      <c r="C1" s="63"/>
    </row>
    <row r="2" spans="1:7" x14ac:dyDescent="0.2">
      <c r="A2" s="63"/>
      <c r="B2" s="63"/>
      <c r="C2" s="63"/>
    </row>
    <row r="3" spans="1:7" s="18" customFormat="1" x14ac:dyDescent="0.2">
      <c r="B3" s="35"/>
      <c r="C3" s="35"/>
      <c r="D3" s="8"/>
      <c r="E3" s="8"/>
      <c r="F3" s="8"/>
      <c r="G3" s="8"/>
    </row>
    <row r="4" spans="1:7" x14ac:dyDescent="0.2">
      <c r="A4" s="36"/>
      <c r="B4" s="64" t="s">
        <v>221</v>
      </c>
      <c r="C4" s="64"/>
    </row>
    <row r="5" spans="1:7" x14ac:dyDescent="0.2">
      <c r="A5" s="18" t="s">
        <v>465</v>
      </c>
      <c r="B5" s="37" t="s">
        <v>10</v>
      </c>
      <c r="C5" s="37" t="s">
        <v>12</v>
      </c>
    </row>
    <row r="6" spans="1:7" x14ac:dyDescent="0.2">
      <c r="A6" s="38"/>
      <c r="B6" s="39" t="s">
        <v>15</v>
      </c>
      <c r="C6" s="39" t="s">
        <v>14</v>
      </c>
    </row>
    <row r="8" spans="1:7" s="18" customFormat="1" x14ac:dyDescent="0.2">
      <c r="A8" s="23" t="s">
        <v>0</v>
      </c>
      <c r="B8" s="41">
        <v>13829380695</v>
      </c>
      <c r="C8" s="41">
        <v>32170096041</v>
      </c>
      <c r="D8" s="8"/>
      <c r="E8" s="8"/>
      <c r="F8" s="8"/>
      <c r="G8" s="8"/>
    </row>
    <row r="9" spans="1:7" x14ac:dyDescent="0.2">
      <c r="A9" s="25" t="s">
        <v>1</v>
      </c>
      <c r="B9" s="42" t="s">
        <v>466</v>
      </c>
      <c r="C9" s="42" t="s">
        <v>466</v>
      </c>
    </row>
    <row r="10" spans="1:7" x14ac:dyDescent="0.2">
      <c r="A10" s="25" t="s">
        <v>2</v>
      </c>
      <c r="B10" s="26">
        <v>1858395967</v>
      </c>
      <c r="C10" s="26">
        <v>5239322058</v>
      </c>
      <c r="D10" s="70">
        <f>+B10/$B$8</f>
        <v>0.1343802739967887</v>
      </c>
      <c r="F10" s="8" t="str" cm="1">
        <f t="array" ref="F10:F153">+_xlfn.UNIQUE(A10:A155)</f>
        <v xml:space="preserve">   AFRICA</v>
      </c>
      <c r="G10" s="70">
        <f>+SUMIF(A10:A155,F10,D10:D155)</f>
        <v>0.1343802739967887</v>
      </c>
    </row>
    <row r="11" spans="1:7" x14ac:dyDescent="0.2">
      <c r="A11" s="25" t="s">
        <v>288</v>
      </c>
      <c r="B11" s="26">
        <v>216064</v>
      </c>
      <c r="C11" s="26">
        <v>115436</v>
      </c>
      <c r="D11" s="70">
        <f t="shared" ref="D11:D74" si="0">+B11/$B$8</f>
        <v>1.5623548499038553E-5</v>
      </c>
      <c r="F11" s="8" t="str">
        <v>Burkina Faso</v>
      </c>
      <c r="G11" s="70">
        <f t="shared" ref="G11:G74" si="1">+SUMIF(A11:A156,F11,D11:D156)</f>
        <v>1.5623548499038553E-5</v>
      </c>
    </row>
    <row r="12" spans="1:7" x14ac:dyDescent="0.2">
      <c r="A12" s="25" t="s">
        <v>265</v>
      </c>
      <c r="B12" s="26">
        <v>517143557</v>
      </c>
      <c r="C12" s="26">
        <v>1476332755</v>
      </c>
      <c r="D12" s="70">
        <f t="shared" si="0"/>
        <v>3.7394556445103345E-2</v>
      </c>
      <c r="F12" s="8" t="str">
        <v>Argelia</v>
      </c>
      <c r="G12" s="70">
        <f t="shared" si="1"/>
        <v>3.7394556445103345E-2</v>
      </c>
    </row>
    <row r="13" spans="1:7" x14ac:dyDescent="0.2">
      <c r="A13" s="25" t="s">
        <v>284</v>
      </c>
      <c r="B13" s="26">
        <v>94624</v>
      </c>
      <c r="C13" s="26">
        <v>12460</v>
      </c>
      <c r="D13" s="70">
        <f t="shared" si="0"/>
        <v>6.8422442108496744E-6</v>
      </c>
      <c r="F13" s="8" t="str">
        <v>Botswana</v>
      </c>
      <c r="G13" s="70">
        <f t="shared" si="1"/>
        <v>6.8422442108496744E-6</v>
      </c>
    </row>
    <row r="14" spans="1:7" x14ac:dyDescent="0.2">
      <c r="A14" s="25" t="s">
        <v>289</v>
      </c>
      <c r="B14" s="26">
        <v>58989</v>
      </c>
      <c r="C14" s="26">
        <v>331400</v>
      </c>
      <c r="D14" s="70">
        <f t="shared" si="0"/>
        <v>4.2654838492751462E-6</v>
      </c>
      <c r="F14" s="8" t="str">
        <v>Burundi</v>
      </c>
      <c r="G14" s="70">
        <f t="shared" si="1"/>
        <v>4.2654838492751462E-6</v>
      </c>
    </row>
    <row r="15" spans="1:7" x14ac:dyDescent="0.2">
      <c r="A15" s="25" t="s">
        <v>292</v>
      </c>
      <c r="B15" s="26">
        <v>9049337</v>
      </c>
      <c r="C15" s="26">
        <v>26705595</v>
      </c>
      <c r="D15" s="70">
        <f t="shared" si="0"/>
        <v>6.5435591076553267E-4</v>
      </c>
      <c r="F15" s="8" t="str">
        <v>Camerún</v>
      </c>
      <c r="G15" s="70">
        <f t="shared" si="1"/>
        <v>6.5435591076553267E-4</v>
      </c>
    </row>
    <row r="16" spans="1:7" x14ac:dyDescent="0.2">
      <c r="A16" s="25" t="s">
        <v>301</v>
      </c>
      <c r="B16" s="26">
        <v>403642</v>
      </c>
      <c r="C16" s="26">
        <v>450418</v>
      </c>
      <c r="D16" s="70">
        <f t="shared" si="0"/>
        <v>2.9187279524811721E-5</v>
      </c>
      <c r="F16" s="8" t="str">
        <v>Congo</v>
      </c>
      <c r="G16" s="70">
        <f t="shared" si="1"/>
        <v>2.9187279524811721E-5</v>
      </c>
    </row>
    <row r="17" spans="1:7" x14ac:dyDescent="0.2">
      <c r="A17" s="25" t="s">
        <v>300</v>
      </c>
      <c r="B17" s="26">
        <v>975837</v>
      </c>
      <c r="C17" s="26">
        <v>2784665</v>
      </c>
      <c r="D17" s="70">
        <f t="shared" si="0"/>
        <v>7.056259578947111E-5</v>
      </c>
      <c r="F17" s="8" t="str">
        <v>Rep. Democrática del Congo (ex Zaire)</v>
      </c>
      <c r="G17" s="70">
        <f t="shared" si="1"/>
        <v>7.056259578947111E-5</v>
      </c>
    </row>
    <row r="18" spans="1:7" x14ac:dyDescent="0.2">
      <c r="A18" s="25" t="s">
        <v>303</v>
      </c>
      <c r="B18" s="26">
        <v>8879317</v>
      </c>
      <c r="C18" s="26">
        <v>27183300</v>
      </c>
      <c r="D18" s="70">
        <f t="shared" si="0"/>
        <v>6.4206179552279659E-4</v>
      </c>
      <c r="F18" s="8" t="str">
        <v>Costa de Marfil</v>
      </c>
      <c r="G18" s="70">
        <f t="shared" si="1"/>
        <v>6.4206179552279659E-4</v>
      </c>
    </row>
    <row r="19" spans="1:7" x14ac:dyDescent="0.2">
      <c r="A19" s="25" t="s">
        <v>295</v>
      </c>
      <c r="B19" s="26" t="s">
        <v>30</v>
      </c>
      <c r="C19" s="26" t="s">
        <v>30</v>
      </c>
      <c r="D19" s="70" t="e">
        <f t="shared" si="0"/>
        <v>#VALUE!</v>
      </c>
      <c r="F19" s="8" t="str">
        <v>Chad</v>
      </c>
      <c r="G19" s="70" t="e">
        <f t="shared" si="1"/>
        <v>#VALUE!</v>
      </c>
    </row>
    <row r="20" spans="1:7" x14ac:dyDescent="0.2">
      <c r="A20" s="25" t="s">
        <v>281</v>
      </c>
      <c r="B20" s="26">
        <v>45281</v>
      </c>
      <c r="C20" s="26">
        <v>94740</v>
      </c>
      <c r="D20" s="70">
        <f t="shared" si="0"/>
        <v>3.2742608652295836E-6</v>
      </c>
      <c r="F20" s="8" t="str">
        <v>Benin</v>
      </c>
      <c r="G20" s="70">
        <f t="shared" si="1"/>
        <v>3.2742608652295836E-6</v>
      </c>
    </row>
    <row r="21" spans="1:7" x14ac:dyDescent="0.2">
      <c r="A21" s="25" t="s">
        <v>313</v>
      </c>
      <c r="B21" s="26">
        <v>741395315</v>
      </c>
      <c r="C21" s="26">
        <v>1875674186</v>
      </c>
      <c r="D21" s="70">
        <f t="shared" si="0"/>
        <v>5.3610160234293845E-2</v>
      </c>
      <c r="F21" s="8" t="str">
        <v>Egipto</v>
      </c>
      <c r="G21" s="70">
        <f t="shared" si="1"/>
        <v>5.3610160234293845E-2</v>
      </c>
    </row>
    <row r="22" spans="1:7" x14ac:dyDescent="0.2">
      <c r="A22" s="25" t="s">
        <v>321</v>
      </c>
      <c r="B22" s="26">
        <v>43570</v>
      </c>
      <c r="C22" s="26">
        <v>65830</v>
      </c>
      <c r="D22" s="70">
        <f t="shared" si="0"/>
        <v>3.1505387667686879E-6</v>
      </c>
      <c r="F22" s="8" t="str">
        <v>Gabón</v>
      </c>
      <c r="G22" s="70">
        <f t="shared" si="1"/>
        <v>3.1505387667686879E-6</v>
      </c>
    </row>
    <row r="23" spans="1:7" x14ac:dyDescent="0.2">
      <c r="A23" s="25" t="s">
        <v>322</v>
      </c>
      <c r="B23" s="26">
        <v>388143</v>
      </c>
      <c r="C23" s="26">
        <v>1324584</v>
      </c>
      <c r="D23" s="70">
        <f t="shared" si="0"/>
        <v>2.8066549656871673E-5</v>
      </c>
      <c r="F23" s="8" t="str">
        <v>Gambia</v>
      </c>
      <c r="G23" s="70">
        <f t="shared" si="1"/>
        <v>2.8066549656871673E-5</v>
      </c>
    </row>
    <row r="24" spans="1:7" x14ac:dyDescent="0.2">
      <c r="A24" s="25" t="s">
        <v>325</v>
      </c>
      <c r="B24" s="26">
        <v>5558807</v>
      </c>
      <c r="C24" s="26">
        <v>18992784</v>
      </c>
      <c r="D24" s="70">
        <f t="shared" si="0"/>
        <v>4.0195632202169265E-4</v>
      </c>
      <c r="F24" s="8" t="str">
        <v>Ghana</v>
      </c>
      <c r="G24" s="70">
        <f t="shared" si="1"/>
        <v>4.0195632202169265E-4</v>
      </c>
    </row>
    <row r="25" spans="1:7" x14ac:dyDescent="0.2">
      <c r="A25" s="25" t="s">
        <v>329</v>
      </c>
      <c r="B25" s="26">
        <v>104926</v>
      </c>
      <c r="C25" s="26">
        <v>91183</v>
      </c>
      <c r="D25" s="70">
        <f t="shared" si="0"/>
        <v>7.5871799550601641E-6</v>
      </c>
      <c r="F25" s="8" t="str">
        <v>Guinea</v>
      </c>
      <c r="G25" s="70">
        <f t="shared" si="1"/>
        <v>7.5871799550601641E-6</v>
      </c>
    </row>
    <row r="26" spans="1:7" x14ac:dyDescent="0.2">
      <c r="A26" s="25" t="s">
        <v>349</v>
      </c>
      <c r="B26" s="26">
        <v>3121770</v>
      </c>
      <c r="C26" s="26">
        <v>15296708</v>
      </c>
      <c r="D26" s="70">
        <f t="shared" si="0"/>
        <v>2.2573462028770914E-4</v>
      </c>
      <c r="F26" s="8" t="str">
        <v>Kenya</v>
      </c>
      <c r="G26" s="70">
        <f t="shared" si="1"/>
        <v>2.2573462028770914E-4</v>
      </c>
    </row>
    <row r="27" spans="1:7" x14ac:dyDescent="0.2">
      <c r="A27" s="25" t="s">
        <v>354</v>
      </c>
      <c r="B27" s="26">
        <v>107397</v>
      </c>
      <c r="C27" s="26">
        <v>74631</v>
      </c>
      <c r="D27" s="70">
        <f t="shared" si="0"/>
        <v>7.76585751514016E-6</v>
      </c>
      <c r="F27" s="8" t="str">
        <v>Lesotho</v>
      </c>
      <c r="G27" s="70">
        <f t="shared" si="1"/>
        <v>7.76585751514016E-6</v>
      </c>
    </row>
    <row r="28" spans="1:7" x14ac:dyDescent="0.2">
      <c r="A28" s="25" t="s">
        <v>355</v>
      </c>
      <c r="B28" s="26">
        <v>73519</v>
      </c>
      <c r="C28" s="26">
        <v>154140</v>
      </c>
      <c r="D28" s="70">
        <f t="shared" si="0"/>
        <v>5.3161455036508417E-6</v>
      </c>
      <c r="F28" s="8" t="str">
        <v>Liberia</v>
      </c>
      <c r="G28" s="70">
        <f t="shared" si="1"/>
        <v>5.3161455036508417E-6</v>
      </c>
    </row>
    <row r="29" spans="1:7" x14ac:dyDescent="0.2">
      <c r="A29" s="25" t="s">
        <v>356</v>
      </c>
      <c r="B29" s="26">
        <v>40022967</v>
      </c>
      <c r="C29" s="26">
        <v>116256469</v>
      </c>
      <c r="D29" s="70">
        <f t="shared" si="0"/>
        <v>2.8940534563829216E-3</v>
      </c>
      <c r="F29" s="8" t="str">
        <v>Libia</v>
      </c>
      <c r="G29" s="70">
        <f t="shared" si="1"/>
        <v>2.8940534563829216E-3</v>
      </c>
    </row>
    <row r="30" spans="1:7" x14ac:dyDescent="0.2">
      <c r="A30" s="25" t="s">
        <v>360</v>
      </c>
      <c r="B30" s="26">
        <v>10661247</v>
      </c>
      <c r="C30" s="26">
        <v>16288530</v>
      </c>
      <c r="D30" s="70">
        <f t="shared" si="0"/>
        <v>7.7091282936874849E-4</v>
      </c>
      <c r="F30" s="8" t="str">
        <v>Madagascar</v>
      </c>
      <c r="G30" s="70">
        <f t="shared" si="1"/>
        <v>7.7091282936874849E-4</v>
      </c>
    </row>
    <row r="31" spans="1:7" x14ac:dyDescent="0.2">
      <c r="A31" s="25" t="s">
        <v>361</v>
      </c>
      <c r="B31" s="26">
        <v>855343</v>
      </c>
      <c r="C31" s="26">
        <v>4805300</v>
      </c>
      <c r="D31" s="70">
        <f t="shared" si="0"/>
        <v>6.1849696589034417E-5</v>
      </c>
      <c r="F31" s="8" t="str">
        <v>Malawi</v>
      </c>
      <c r="G31" s="70">
        <f t="shared" si="1"/>
        <v>6.1849696589034417E-5</v>
      </c>
    </row>
    <row r="32" spans="1:7" x14ac:dyDescent="0.2">
      <c r="A32" s="25" t="s">
        <v>364</v>
      </c>
      <c r="B32" s="26">
        <v>76851</v>
      </c>
      <c r="C32" s="26">
        <v>71105</v>
      </c>
      <c r="D32" s="70">
        <f t="shared" si="0"/>
        <v>5.5570818169598448E-6</v>
      </c>
      <c r="F32" s="8" t="str">
        <v>Mali</v>
      </c>
      <c r="G32" s="70">
        <f t="shared" si="1"/>
        <v>5.5570818169598448E-6</v>
      </c>
    </row>
    <row r="33" spans="1:7" x14ac:dyDescent="0.2">
      <c r="A33" s="25" t="s">
        <v>372</v>
      </c>
      <c r="B33" s="26">
        <v>125018177</v>
      </c>
      <c r="C33" s="26">
        <v>434874589</v>
      </c>
      <c r="D33" s="70">
        <f t="shared" si="0"/>
        <v>9.0400416155439426E-3</v>
      </c>
      <c r="F33" s="8" t="str">
        <v>Marruecos</v>
      </c>
      <c r="G33" s="70">
        <f t="shared" si="1"/>
        <v>9.0400416155439426E-3</v>
      </c>
    </row>
    <row r="34" spans="1:7" x14ac:dyDescent="0.2">
      <c r="A34" s="25" t="s">
        <v>367</v>
      </c>
      <c r="B34" s="26">
        <v>26707364</v>
      </c>
      <c r="C34" s="26">
        <v>68679721</v>
      </c>
      <c r="D34" s="70">
        <f t="shared" si="0"/>
        <v>1.9312046279596614E-3</v>
      </c>
      <c r="F34" s="8" t="str">
        <v>Mauricio</v>
      </c>
      <c r="G34" s="70">
        <f t="shared" si="1"/>
        <v>1.9312046279596614E-3</v>
      </c>
    </row>
    <row r="35" spans="1:7" x14ac:dyDescent="0.2">
      <c r="A35" s="25" t="s">
        <v>366</v>
      </c>
      <c r="B35" s="26">
        <v>763596</v>
      </c>
      <c r="C35" s="26">
        <v>4561804</v>
      </c>
      <c r="D35" s="70">
        <f t="shared" si="0"/>
        <v>5.5215487724340209E-5</v>
      </c>
      <c r="F35" s="8" t="str">
        <v>Mauritania</v>
      </c>
      <c r="G35" s="70">
        <f t="shared" si="1"/>
        <v>5.5215487724340209E-5</v>
      </c>
    </row>
    <row r="36" spans="1:7" x14ac:dyDescent="0.2">
      <c r="A36" s="25" t="s">
        <v>381</v>
      </c>
      <c r="B36" s="26">
        <v>3980142</v>
      </c>
      <c r="C36" s="26">
        <v>1604350</v>
      </c>
      <c r="D36" s="70">
        <f t="shared" si="0"/>
        <v>2.8780334331522282E-4</v>
      </c>
      <c r="F36" s="8" t="str">
        <v>Níger</v>
      </c>
      <c r="G36" s="70">
        <f t="shared" si="1"/>
        <v>2.8780334331522282E-4</v>
      </c>
    </row>
    <row r="37" spans="1:7" x14ac:dyDescent="0.2">
      <c r="A37" s="25" t="s">
        <v>382</v>
      </c>
      <c r="B37" s="26">
        <v>7789595</v>
      </c>
      <c r="C37" s="26">
        <v>18083140</v>
      </c>
      <c r="D37" s="70">
        <f t="shared" si="0"/>
        <v>5.6326419611952118E-4</v>
      </c>
      <c r="F37" s="8" t="str">
        <v>Nigeria</v>
      </c>
      <c r="G37" s="70">
        <f t="shared" si="1"/>
        <v>5.6326419611952118E-4</v>
      </c>
    </row>
    <row r="38" spans="1:7" x14ac:dyDescent="0.2">
      <c r="A38" s="25" t="s">
        <v>439</v>
      </c>
      <c r="B38" s="26">
        <v>50867</v>
      </c>
      <c r="C38" s="26">
        <v>22792</v>
      </c>
      <c r="D38" s="70">
        <f t="shared" si="0"/>
        <v>3.6781835081299714E-6</v>
      </c>
      <c r="F38" s="8" t="str">
        <v>Zimbabwe</v>
      </c>
      <c r="G38" s="70">
        <f t="shared" si="1"/>
        <v>3.6781835081299714E-6</v>
      </c>
    </row>
    <row r="39" spans="1:7" x14ac:dyDescent="0.2">
      <c r="A39" s="25" t="s">
        <v>398</v>
      </c>
      <c r="B39" s="26">
        <v>244905</v>
      </c>
      <c r="C39" s="26">
        <v>1408450</v>
      </c>
      <c r="D39" s="70">
        <f t="shared" si="0"/>
        <v>1.7709035957665491E-5</v>
      </c>
      <c r="F39" s="8" t="str">
        <v>Rwanda</v>
      </c>
      <c r="G39" s="70">
        <f t="shared" si="1"/>
        <v>1.7709035957665491E-5</v>
      </c>
    </row>
    <row r="40" spans="1:7" x14ac:dyDescent="0.2">
      <c r="A40" s="25" t="s">
        <v>401</v>
      </c>
      <c r="B40" s="26">
        <v>13663723</v>
      </c>
      <c r="C40" s="26">
        <v>46800565</v>
      </c>
      <c r="D40" s="70">
        <f t="shared" si="0"/>
        <v>9.8802132223752481E-4</v>
      </c>
      <c r="F40" s="8" t="str">
        <v>Senegal</v>
      </c>
      <c r="G40" s="70">
        <f t="shared" si="1"/>
        <v>9.8802132223752481E-4</v>
      </c>
    </row>
    <row r="41" spans="1:7" x14ac:dyDescent="0.2">
      <c r="A41" s="25" t="s">
        <v>404</v>
      </c>
      <c r="B41" s="26">
        <v>34068</v>
      </c>
      <c r="C41" s="26">
        <v>67011</v>
      </c>
      <c r="D41" s="70">
        <f t="shared" si="0"/>
        <v>2.4634508768940936E-6</v>
      </c>
      <c r="F41" s="8" t="str">
        <v>Sierra Leona</v>
      </c>
      <c r="G41" s="70">
        <f t="shared" si="1"/>
        <v>2.4634508768940936E-6</v>
      </c>
    </row>
    <row r="42" spans="1:7" x14ac:dyDescent="0.2">
      <c r="A42" s="25" t="s">
        <v>422</v>
      </c>
      <c r="B42" s="26">
        <v>5797614</v>
      </c>
      <c r="C42" s="26">
        <v>14101079</v>
      </c>
      <c r="D42" s="70">
        <f t="shared" si="0"/>
        <v>4.1922441270968278E-4</v>
      </c>
      <c r="F42" s="8" t="str">
        <v>Tanzania</v>
      </c>
      <c r="G42" s="70">
        <f t="shared" si="1"/>
        <v>4.1922441270968278E-4</v>
      </c>
    </row>
    <row r="43" spans="1:7" x14ac:dyDescent="0.2">
      <c r="A43" s="25" t="s">
        <v>424</v>
      </c>
      <c r="B43" s="26">
        <v>6909</v>
      </c>
      <c r="C43" s="26">
        <v>15261</v>
      </c>
      <c r="D43" s="70">
        <f t="shared" si="0"/>
        <v>4.9958853200837425E-7</v>
      </c>
      <c r="F43" s="8" t="str">
        <v>Togo</v>
      </c>
      <c r="G43" s="70">
        <f t="shared" si="1"/>
        <v>4.9958853200837425E-7</v>
      </c>
    </row>
    <row r="44" spans="1:7" x14ac:dyDescent="0.2">
      <c r="A44" s="25" t="s">
        <v>426</v>
      </c>
      <c r="B44" s="26">
        <v>58429415</v>
      </c>
      <c r="C44" s="26">
        <v>157256325</v>
      </c>
      <c r="D44" s="70">
        <f t="shared" si="0"/>
        <v>4.2250203598144563E-3</v>
      </c>
      <c r="F44" s="8" t="str">
        <v>Túnez</v>
      </c>
      <c r="G44" s="70">
        <f t="shared" si="1"/>
        <v>4.2250203598144563E-3</v>
      </c>
    </row>
    <row r="45" spans="1:7" x14ac:dyDescent="0.2">
      <c r="A45" s="25" t="s">
        <v>428</v>
      </c>
      <c r="B45" s="26">
        <v>1626192</v>
      </c>
      <c r="C45" s="26">
        <v>8864952</v>
      </c>
      <c r="D45" s="70">
        <f t="shared" si="0"/>
        <v>1.1758964742274744E-4</v>
      </c>
      <c r="F45" s="8" t="str">
        <v>Uganda</v>
      </c>
      <c r="G45" s="70">
        <f t="shared" si="1"/>
        <v>1.1758964742274744E-4</v>
      </c>
    </row>
    <row r="46" spans="1:7" x14ac:dyDescent="0.2">
      <c r="A46" s="25" t="s">
        <v>66</v>
      </c>
      <c r="B46" s="26">
        <v>5580025</v>
      </c>
      <c r="C46" s="26">
        <v>19926010</v>
      </c>
      <c r="D46" s="70">
        <f t="shared" si="0"/>
        <v>4.0349059173831644E-4</v>
      </c>
      <c r="F46" s="8" t="str">
        <v>Territorios vinculados a Francia</v>
      </c>
      <c r="G46" s="70">
        <f t="shared" si="1"/>
        <v>4.0349059173831644E-4</v>
      </c>
    </row>
    <row r="47" spans="1:7" x14ac:dyDescent="0.2">
      <c r="A47" s="25" t="s">
        <v>267</v>
      </c>
      <c r="B47" s="26">
        <v>2375988</v>
      </c>
      <c r="C47" s="26">
        <v>4897423</v>
      </c>
      <c r="D47" s="70">
        <f t="shared" si="0"/>
        <v>1.7180725965979345E-4</v>
      </c>
      <c r="F47" s="8" t="str">
        <v>Angola</v>
      </c>
      <c r="G47" s="70">
        <f t="shared" si="1"/>
        <v>1.7180725965979345E-4</v>
      </c>
    </row>
    <row r="48" spans="1:7" x14ac:dyDescent="0.2">
      <c r="A48" s="25" t="s">
        <v>290</v>
      </c>
      <c r="B48" s="26">
        <v>169143</v>
      </c>
      <c r="C48" s="26">
        <v>1040315</v>
      </c>
      <c r="D48" s="70">
        <f t="shared" si="0"/>
        <v>1.2230699532420386E-5</v>
      </c>
      <c r="F48" s="8" t="str">
        <v>Cabo Verde</v>
      </c>
      <c r="G48" s="70"/>
    </row>
    <row r="49" spans="1:7" x14ac:dyDescent="0.2">
      <c r="A49" s="25" t="s">
        <v>373</v>
      </c>
      <c r="B49" s="26">
        <v>17815115</v>
      </c>
      <c r="C49" s="26">
        <v>34497462</v>
      </c>
      <c r="D49" s="70">
        <f t="shared" si="0"/>
        <v>1.2882077218715252E-3</v>
      </c>
      <c r="F49" s="8" t="str">
        <v>Mozambique</v>
      </c>
      <c r="G49" s="70">
        <f t="shared" si="1"/>
        <v>1.2882077218715252E-3</v>
      </c>
    </row>
    <row r="50" spans="1:7" x14ac:dyDescent="0.2">
      <c r="A50" s="25" t="s">
        <v>309</v>
      </c>
      <c r="B50" s="26">
        <v>30284</v>
      </c>
      <c r="C50" s="26">
        <v>56685</v>
      </c>
      <c r="D50" s="70">
        <f t="shared" si="0"/>
        <v>2.1898305258853098E-6</v>
      </c>
      <c r="F50" s="8" t="str">
        <v>Djibouti</v>
      </c>
      <c r="G50" s="70">
        <f t="shared" si="1"/>
        <v>2.1898305258853098E-6</v>
      </c>
    </row>
    <row r="51" spans="1:7" x14ac:dyDescent="0.2">
      <c r="A51" s="25" t="s">
        <v>375</v>
      </c>
      <c r="B51" s="26">
        <v>566898</v>
      </c>
      <c r="C51" s="26">
        <v>3425831</v>
      </c>
      <c r="D51" s="70">
        <f t="shared" si="0"/>
        <v>4.0992291159137839E-5</v>
      </c>
      <c r="F51" s="8" t="str">
        <v>Namibia</v>
      </c>
      <c r="G51" s="70">
        <f t="shared" si="1"/>
        <v>4.0992291159137839E-5</v>
      </c>
    </row>
    <row r="52" spans="1:7" x14ac:dyDescent="0.2">
      <c r="A52" s="25" t="s">
        <v>409</v>
      </c>
      <c r="B52" s="26">
        <v>241646237</v>
      </c>
      <c r="C52" s="26">
        <v>819756341</v>
      </c>
      <c r="D52" s="70">
        <f t="shared" si="0"/>
        <v>1.7473395398491486E-2</v>
      </c>
      <c r="F52" s="8" t="str">
        <v>Sudáfrica</v>
      </c>
      <c r="G52" s="70">
        <f t="shared" si="1"/>
        <v>1.7473395398491486E-2</v>
      </c>
    </row>
    <row r="53" spans="1:7" x14ac:dyDescent="0.2">
      <c r="A53" s="25" t="s">
        <v>315</v>
      </c>
      <c r="B53" s="26">
        <v>6786</v>
      </c>
      <c r="C53" s="26">
        <v>12635</v>
      </c>
      <c r="D53" s="70">
        <f t="shared" si="0"/>
        <v>4.906944244042304E-7</v>
      </c>
      <c r="F53" s="8" t="str">
        <v>Eritrea</v>
      </c>
      <c r="G53" s="70">
        <f t="shared" si="1"/>
        <v>4.906944244042304E-7</v>
      </c>
    </row>
    <row r="54" spans="1:7" x14ac:dyDescent="0.2">
      <c r="A54" s="25" t="s">
        <v>317</v>
      </c>
      <c r="B54" s="26">
        <v>110115</v>
      </c>
      <c r="C54" s="26">
        <v>229805</v>
      </c>
      <c r="D54" s="70">
        <f t="shared" si="0"/>
        <v>7.9623956002463641E-6</v>
      </c>
      <c r="F54" s="8" t="str">
        <v>Etiopía</v>
      </c>
      <c r="G54" s="70">
        <f t="shared" si="1"/>
        <v>7.9623956002463641E-6</v>
      </c>
    </row>
    <row r="55" spans="1:7" x14ac:dyDescent="0.2">
      <c r="A55" s="25" t="s">
        <v>416</v>
      </c>
      <c r="B55" s="26">
        <v>6703375</v>
      </c>
      <c r="C55" s="26">
        <v>16028142</v>
      </c>
      <c r="D55" s="70">
        <f t="shared" si="0"/>
        <v>4.8471982569860117E-4</v>
      </c>
      <c r="F55" s="8" t="str">
        <v>Sudán</v>
      </c>
      <c r="G55" s="70">
        <f t="shared" si="1"/>
        <v>4.8471982569860117E-4</v>
      </c>
    </row>
    <row r="56" spans="1:7" x14ac:dyDescent="0.2">
      <c r="A56" s="25" t="s">
        <v>467</v>
      </c>
      <c r="B56" s="26">
        <v>2931</v>
      </c>
      <c r="C56" s="26">
        <v>5151</v>
      </c>
      <c r="D56" s="70">
        <f t="shared" si="0"/>
        <v>2.1194007632313575E-7</v>
      </c>
      <c r="F56" s="8" t="str">
        <v>Sudán del Sur</v>
      </c>
      <c r="G56" s="70">
        <f t="shared" si="1"/>
        <v>2.1194007632313575E-7</v>
      </c>
    </row>
    <row r="57" spans="1:7" x14ac:dyDescent="0.2">
      <c r="A57" s="25" t="s">
        <v>1</v>
      </c>
      <c r="B57" s="26" t="s">
        <v>466</v>
      </c>
      <c r="C57" s="26" t="s">
        <v>466</v>
      </c>
      <c r="D57" s="70" t="e">
        <f t="shared" si="0"/>
        <v>#VALUE!</v>
      </c>
      <c r="F57" s="8" t="str">
        <v xml:space="preserve">   </v>
      </c>
      <c r="G57" s="70" t="e">
        <f t="shared" si="1"/>
        <v>#VALUE!</v>
      </c>
    </row>
    <row r="58" spans="1:7" x14ac:dyDescent="0.2">
      <c r="A58" s="25" t="s">
        <v>3</v>
      </c>
      <c r="B58" s="26">
        <v>3347218593</v>
      </c>
      <c r="C58" s="26">
        <v>4521443325</v>
      </c>
      <c r="D58" s="70">
        <f t="shared" si="0"/>
        <v>0.24203676699782975</v>
      </c>
      <c r="F58" s="8" t="str">
        <v xml:space="preserve">   AMERICA</v>
      </c>
      <c r="G58" s="70">
        <f t="shared" si="1"/>
        <v>0.24203676699782975</v>
      </c>
    </row>
    <row r="59" spans="1:7" x14ac:dyDescent="0.2">
      <c r="A59" s="25" t="s">
        <v>277</v>
      </c>
      <c r="B59" s="26">
        <v>1880</v>
      </c>
      <c r="C59" s="26">
        <v>5</v>
      </c>
      <c r="D59" s="70">
        <f t="shared" si="0"/>
        <v>1.3594245768935353E-7</v>
      </c>
      <c r="F59" s="8" t="str">
        <v>Barbados</v>
      </c>
      <c r="G59" s="70">
        <f t="shared" si="1"/>
        <v>1.3594245768935353E-7</v>
      </c>
    </row>
    <row r="60" spans="1:7" x14ac:dyDescent="0.2">
      <c r="A60" s="25" t="s">
        <v>282</v>
      </c>
      <c r="B60" s="26">
        <v>76916172</v>
      </c>
      <c r="C60" s="26">
        <v>92048603</v>
      </c>
      <c r="D60" s="70">
        <f t="shared" si="0"/>
        <v>5.5617943924133181E-3</v>
      </c>
      <c r="F60" s="8" t="str">
        <v>Bolivia</v>
      </c>
      <c r="G60" s="70">
        <f t="shared" si="1"/>
        <v>5.5617943924133181E-3</v>
      </c>
    </row>
    <row r="61" spans="1:7" x14ac:dyDescent="0.2">
      <c r="A61" s="25" t="s">
        <v>285</v>
      </c>
      <c r="B61" s="26">
        <v>964374241</v>
      </c>
      <c r="C61" s="26">
        <v>1147120260</v>
      </c>
      <c r="D61" s="70">
        <f t="shared" si="0"/>
        <v>6.9733725773321764E-2</v>
      </c>
      <c r="F61" s="8" t="str">
        <v>Brasil</v>
      </c>
      <c r="G61" s="70">
        <f t="shared" si="1"/>
        <v>6.9733725773321764E-2</v>
      </c>
    </row>
    <row r="62" spans="1:7" x14ac:dyDescent="0.2">
      <c r="A62" s="25" t="s">
        <v>293</v>
      </c>
      <c r="B62" s="26">
        <v>2466991</v>
      </c>
      <c r="C62" s="26">
        <v>944656</v>
      </c>
      <c r="D62" s="70">
        <f t="shared" si="0"/>
        <v>1.783876700199553E-4</v>
      </c>
      <c r="F62" s="8" t="str">
        <v>Canadá</v>
      </c>
      <c r="G62" s="70">
        <f t="shared" si="1"/>
        <v>1.783876700199553E-4</v>
      </c>
    </row>
    <row r="63" spans="1:7" x14ac:dyDescent="0.2">
      <c r="A63" s="25" t="s">
        <v>298</v>
      </c>
      <c r="B63" s="26">
        <v>48276184</v>
      </c>
      <c r="C63" s="26">
        <v>77066690</v>
      </c>
      <c r="D63" s="70">
        <f t="shared" si="0"/>
        <v>3.4908420749060884E-3</v>
      </c>
      <c r="F63" s="8" t="str">
        <v>Colombia</v>
      </c>
      <c r="G63" s="70">
        <f t="shared" si="1"/>
        <v>3.4908420749060884E-3</v>
      </c>
    </row>
    <row r="64" spans="1:7" x14ac:dyDescent="0.2">
      <c r="A64" s="25" t="s">
        <v>302</v>
      </c>
      <c r="B64" s="26">
        <v>3085879</v>
      </c>
      <c r="C64" s="26">
        <v>3385438</v>
      </c>
      <c r="D64" s="70">
        <f t="shared" si="0"/>
        <v>2.2313934861274711E-4</v>
      </c>
      <c r="F64" s="8" t="str">
        <v>Costa Rica</v>
      </c>
      <c r="G64" s="70">
        <f t="shared" si="1"/>
        <v>2.2313934861274711E-4</v>
      </c>
    </row>
    <row r="65" spans="1:7" x14ac:dyDescent="0.2">
      <c r="A65" s="25" t="s">
        <v>442</v>
      </c>
      <c r="B65" s="26">
        <v>51206457</v>
      </c>
      <c r="C65" s="26">
        <v>174100127</v>
      </c>
      <c r="D65" s="70">
        <f t="shared" si="0"/>
        <v>3.7027295819915961E-3</v>
      </c>
      <c r="F65" s="8" t="str">
        <v>Cuba</v>
      </c>
      <c r="G65" s="70">
        <f t="shared" si="1"/>
        <v>3.7027295819915961E-3</v>
      </c>
    </row>
    <row r="66" spans="1:7" x14ac:dyDescent="0.2">
      <c r="A66" s="25" t="s">
        <v>296</v>
      </c>
      <c r="B66" s="26">
        <v>256892339</v>
      </c>
      <c r="C66" s="26">
        <v>398334950</v>
      </c>
      <c r="D66" s="70">
        <f t="shared" si="0"/>
        <v>1.8575838258099237E-2</v>
      </c>
      <c r="F66" s="8" t="str">
        <v>Chile</v>
      </c>
      <c r="G66" s="70">
        <f t="shared" si="1"/>
        <v>1.8575838258099237E-2</v>
      </c>
    </row>
    <row r="67" spans="1:7" x14ac:dyDescent="0.2">
      <c r="A67" s="25" t="s">
        <v>311</v>
      </c>
      <c r="B67" s="26">
        <v>35778448</v>
      </c>
      <c r="C67" s="26">
        <v>74802140</v>
      </c>
      <c r="D67" s="70">
        <f t="shared" si="0"/>
        <v>2.5871330603354976E-3</v>
      </c>
      <c r="F67" s="8" t="str">
        <v>República Dominicana</v>
      </c>
      <c r="G67" s="70">
        <f t="shared" si="1"/>
        <v>2.5871330603354976E-3</v>
      </c>
    </row>
    <row r="68" spans="1:7" x14ac:dyDescent="0.2">
      <c r="A68" s="25" t="s">
        <v>312</v>
      </c>
      <c r="B68" s="26">
        <v>62232000</v>
      </c>
      <c r="C68" s="26">
        <v>182435472</v>
      </c>
      <c r="D68" s="70">
        <f t="shared" si="0"/>
        <v>4.4999845887892815E-3</v>
      </c>
      <c r="F68" s="8" t="str">
        <v>Ecuador</v>
      </c>
      <c r="G68" s="70">
        <f t="shared" si="1"/>
        <v>4.4999845887892815E-3</v>
      </c>
    </row>
    <row r="69" spans="1:7" x14ac:dyDescent="0.2">
      <c r="A69" s="25" t="s">
        <v>314</v>
      </c>
      <c r="B69" s="26">
        <v>1238583</v>
      </c>
      <c r="C69" s="26">
        <v>1237753</v>
      </c>
      <c r="D69" s="70">
        <f t="shared" si="0"/>
        <v>8.9561711208644974E-5</v>
      </c>
      <c r="F69" s="8" t="str">
        <v>El Salvador</v>
      </c>
      <c r="G69" s="70">
        <f t="shared" si="1"/>
        <v>8.9561711208644974E-5</v>
      </c>
    </row>
    <row r="70" spans="1:7" x14ac:dyDescent="0.2">
      <c r="A70" s="25" t="s">
        <v>432</v>
      </c>
      <c r="B70" s="26">
        <v>967308997</v>
      </c>
      <c r="C70" s="26">
        <v>1182289117</v>
      </c>
      <c r="D70" s="70">
        <f t="shared" si="0"/>
        <v>6.9945937445321016E-2</v>
      </c>
      <c r="F70" s="8" t="str">
        <v>Estados Unidos</v>
      </c>
      <c r="G70" s="70">
        <f t="shared" si="1"/>
        <v>6.9945937445321016E-2</v>
      </c>
    </row>
    <row r="71" spans="1:7" x14ac:dyDescent="0.2">
      <c r="A71" s="25" t="s">
        <v>328</v>
      </c>
      <c r="B71" s="26">
        <v>17259622</v>
      </c>
      <c r="C71" s="26">
        <v>20202256</v>
      </c>
      <c r="D71" s="70">
        <f t="shared" si="0"/>
        <v>1.2480401241857634E-3</v>
      </c>
      <c r="F71" s="8" t="str">
        <v>Guatemala</v>
      </c>
      <c r="G71" s="70">
        <f t="shared" si="1"/>
        <v>1.2480401241857634E-3</v>
      </c>
    </row>
    <row r="72" spans="1:7" x14ac:dyDescent="0.2">
      <c r="A72" s="25" t="s">
        <v>332</v>
      </c>
      <c r="B72" s="26">
        <v>39128</v>
      </c>
      <c r="C72" s="26">
        <v>11697</v>
      </c>
      <c r="D72" s="70">
        <f t="shared" si="0"/>
        <v>2.8293385555686301E-6</v>
      </c>
      <c r="F72" s="8" t="str">
        <v>Guyana</v>
      </c>
      <c r="G72" s="70">
        <f t="shared" si="1"/>
        <v>2.8293385555686301E-6</v>
      </c>
    </row>
    <row r="73" spans="1:7" x14ac:dyDescent="0.2">
      <c r="A73" s="25" t="s">
        <v>333</v>
      </c>
      <c r="B73" s="26">
        <v>156041</v>
      </c>
      <c r="C73" s="26">
        <v>644030</v>
      </c>
      <c r="D73" s="70">
        <f t="shared" si="0"/>
        <v>1.1283296298034263E-5</v>
      </c>
      <c r="F73" s="8" t="str">
        <v>Haití</v>
      </c>
      <c r="G73" s="70">
        <f t="shared" si="1"/>
        <v>1.1283296298034263E-5</v>
      </c>
    </row>
    <row r="74" spans="1:7" x14ac:dyDescent="0.2">
      <c r="A74" s="25" t="s">
        <v>334</v>
      </c>
      <c r="B74" s="26">
        <v>972402</v>
      </c>
      <c r="C74" s="26">
        <v>588159</v>
      </c>
      <c r="D74" s="70">
        <f t="shared" si="0"/>
        <v>7.0314211564916361E-5</v>
      </c>
      <c r="F74" s="8" t="str">
        <v>Honduras</v>
      </c>
      <c r="G74" s="70">
        <f t="shared" si="1"/>
        <v>7.0314211564916361E-5</v>
      </c>
    </row>
    <row r="75" spans="1:7" x14ac:dyDescent="0.2">
      <c r="A75" s="25" t="s">
        <v>345</v>
      </c>
      <c r="B75" s="26">
        <v>639634</v>
      </c>
      <c r="C75" s="26">
        <v>586519</v>
      </c>
      <c r="D75" s="70">
        <f t="shared" ref="D75:D138" si="2">+B75/$B$8</f>
        <v>4.6251818075357424E-5</v>
      </c>
      <c r="F75" s="8" t="str">
        <v>Jamaica</v>
      </c>
      <c r="G75" s="70">
        <f t="shared" ref="G75:G138" si="3">+SUMIF(A75:A220,F75,D75:D220)</f>
        <v>4.6251818075357424E-5</v>
      </c>
    </row>
    <row r="76" spans="1:7" x14ac:dyDescent="0.2">
      <c r="A76" s="25" t="s">
        <v>368</v>
      </c>
      <c r="B76" s="26">
        <v>54561678</v>
      </c>
      <c r="C76" s="26">
        <v>35199197</v>
      </c>
      <c r="D76" s="70">
        <f t="shared" si="2"/>
        <v>3.9453450015825165E-3</v>
      </c>
      <c r="F76" s="8" t="str">
        <v>México</v>
      </c>
      <c r="G76" s="70">
        <f t="shared" si="3"/>
        <v>3.9453450015825165E-3</v>
      </c>
    </row>
    <row r="77" spans="1:7" x14ac:dyDescent="0.2">
      <c r="A77" s="25" t="s">
        <v>380</v>
      </c>
      <c r="B77" s="26">
        <v>4922148</v>
      </c>
      <c r="C77" s="26">
        <v>4606225</v>
      </c>
      <c r="D77" s="70">
        <f t="shared" si="2"/>
        <v>3.5591962565464686E-4</v>
      </c>
      <c r="F77" s="8" t="str">
        <v>Nicaragua</v>
      </c>
      <c r="G77" s="70">
        <f t="shared" si="3"/>
        <v>3.5591962565464686E-4</v>
      </c>
    </row>
    <row r="78" spans="1:7" x14ac:dyDescent="0.2">
      <c r="A78" s="25" t="s">
        <v>387</v>
      </c>
      <c r="B78" s="26">
        <v>9939364</v>
      </c>
      <c r="C78" s="26">
        <v>12054829</v>
      </c>
      <c r="D78" s="70">
        <f t="shared" si="2"/>
        <v>7.1871360107929978E-4</v>
      </c>
      <c r="F78" s="8" t="str">
        <v>Panamá</v>
      </c>
      <c r="G78" s="70">
        <f t="shared" si="3"/>
        <v>7.1871360107929978E-4</v>
      </c>
    </row>
    <row r="79" spans="1:7" x14ac:dyDescent="0.2">
      <c r="A79" s="25" t="s">
        <v>389</v>
      </c>
      <c r="B79" s="26">
        <v>129780222</v>
      </c>
      <c r="C79" s="26">
        <v>131280677</v>
      </c>
      <c r="D79" s="70">
        <f t="shared" si="2"/>
        <v>9.3843842224201647E-3</v>
      </c>
      <c r="F79" s="8" t="str">
        <v>Paraguay</v>
      </c>
      <c r="G79" s="70">
        <f t="shared" si="3"/>
        <v>9.3843842224201647E-3</v>
      </c>
    </row>
    <row r="80" spans="1:7" x14ac:dyDescent="0.2">
      <c r="A80" s="25" t="s">
        <v>390</v>
      </c>
      <c r="B80" s="26">
        <v>343140533</v>
      </c>
      <c r="C80" s="26">
        <v>506557737</v>
      </c>
      <c r="D80" s="70">
        <f t="shared" si="2"/>
        <v>2.4812429462156765E-2</v>
      </c>
      <c r="F80" s="8" t="str">
        <v>Perú</v>
      </c>
      <c r="G80" s="70">
        <f t="shared" si="3"/>
        <v>2.4812429462156765E-2</v>
      </c>
    </row>
    <row r="81" spans="1:7" x14ac:dyDescent="0.2">
      <c r="A81" s="25" t="s">
        <v>394</v>
      </c>
      <c r="B81" s="26">
        <v>2593204</v>
      </c>
      <c r="C81" s="26">
        <v>11215502</v>
      </c>
      <c r="D81" s="70">
        <f t="shared" si="2"/>
        <v>1.8751410906907572E-4</v>
      </c>
      <c r="F81" s="8" t="str">
        <v>Puerto Rico(Estado Asociado)</v>
      </c>
      <c r="G81" s="70">
        <f t="shared" si="3"/>
        <v>1.8751410906907572E-4</v>
      </c>
    </row>
    <row r="82" spans="1:7" x14ac:dyDescent="0.2">
      <c r="A82" s="25" t="s">
        <v>425</v>
      </c>
      <c r="B82" s="26">
        <v>237948</v>
      </c>
      <c r="C82" s="26">
        <v>103346</v>
      </c>
      <c r="D82" s="70">
        <f t="shared" si="2"/>
        <v>1.7205976554396964E-5</v>
      </c>
      <c r="F82" s="8" t="str">
        <v>Trinidad y Tobago</v>
      </c>
      <c r="G82" s="70">
        <f t="shared" si="3"/>
        <v>1.7205976554396964E-5</v>
      </c>
    </row>
    <row r="83" spans="1:7" x14ac:dyDescent="0.2">
      <c r="A83" s="25" t="s">
        <v>433</v>
      </c>
      <c r="B83" s="26">
        <v>117931216</v>
      </c>
      <c r="C83" s="26">
        <v>157704714</v>
      </c>
      <c r="D83" s="70">
        <f t="shared" si="2"/>
        <v>8.5275847560287305E-3</v>
      </c>
      <c r="F83" s="8" t="str">
        <v>Uruguay</v>
      </c>
      <c r="G83" s="70">
        <f t="shared" si="3"/>
        <v>8.5275847560287305E-3</v>
      </c>
    </row>
    <row r="84" spans="1:7" x14ac:dyDescent="0.2">
      <c r="A84" s="25" t="s">
        <v>435</v>
      </c>
      <c r="B84" s="26">
        <v>193221423</v>
      </c>
      <c r="C84" s="26">
        <v>305696111</v>
      </c>
      <c r="D84" s="70">
        <f t="shared" si="2"/>
        <v>1.3971805915347968E-2</v>
      </c>
      <c r="F84" s="8" t="str">
        <v>Venezuela</v>
      </c>
      <c r="G84" s="70">
        <f t="shared" si="3"/>
        <v>1.3971805915347968E-2</v>
      </c>
    </row>
    <row r="85" spans="1:7" x14ac:dyDescent="0.2">
      <c r="A85" s="25" t="s">
        <v>218</v>
      </c>
      <c r="B85" s="26" t="s">
        <v>30</v>
      </c>
      <c r="C85" s="26" t="s">
        <v>30</v>
      </c>
      <c r="D85" s="70" t="e">
        <f t="shared" si="2"/>
        <v>#VALUE!</v>
      </c>
      <c r="F85" s="8" t="str">
        <v>Territorios vinculados al Reino Unido</v>
      </c>
      <c r="G85" s="70" t="e">
        <f t="shared" si="3"/>
        <v>#VALUE!</v>
      </c>
    </row>
    <row r="86" spans="1:7" x14ac:dyDescent="0.2">
      <c r="A86" s="25" t="s">
        <v>417</v>
      </c>
      <c r="B86" s="26">
        <v>5594</v>
      </c>
      <c r="C86" s="26">
        <v>8534</v>
      </c>
      <c r="D86" s="70">
        <f t="shared" si="2"/>
        <v>4.0450112144374663E-7</v>
      </c>
      <c r="F86" s="8" t="str">
        <v>Suriname</v>
      </c>
      <c r="G86" s="70">
        <f t="shared" si="3"/>
        <v>4.0450112144374663E-7</v>
      </c>
    </row>
    <row r="87" spans="1:7" x14ac:dyDescent="0.2">
      <c r="A87" s="25" t="s">
        <v>468</v>
      </c>
      <c r="B87" s="26" t="s">
        <v>30</v>
      </c>
      <c r="C87" s="26" t="s">
        <v>30</v>
      </c>
      <c r="D87" s="70" t="e">
        <f t="shared" si="2"/>
        <v>#VALUE!</v>
      </c>
      <c r="F87" s="8" t="str">
        <v>Santa Lucía</v>
      </c>
      <c r="G87" s="70" t="e">
        <f t="shared" si="3"/>
        <v>#VALUE!</v>
      </c>
    </row>
    <row r="88" spans="1:7" x14ac:dyDescent="0.2">
      <c r="A88" s="25" t="s">
        <v>415</v>
      </c>
      <c r="B88" s="26">
        <v>63836</v>
      </c>
      <c r="C88" s="26">
        <v>22399</v>
      </c>
      <c r="D88" s="70">
        <f t="shared" si="2"/>
        <v>4.6159695367327512E-6</v>
      </c>
      <c r="F88" s="8" t="str">
        <v>San Vicente y las Granadinas</v>
      </c>
      <c r="G88" s="70">
        <f t="shared" si="3"/>
        <v>4.6159695367327512E-6</v>
      </c>
    </row>
    <row r="89" spans="1:7" x14ac:dyDescent="0.2">
      <c r="A89" s="25" t="s">
        <v>274</v>
      </c>
      <c r="B89" s="26">
        <v>226951</v>
      </c>
      <c r="C89" s="26">
        <v>493500</v>
      </c>
      <c r="D89" s="70">
        <f t="shared" si="2"/>
        <v>1.6410785486732167E-5</v>
      </c>
      <c r="F89" s="8" t="str">
        <v>Bahamas</v>
      </c>
      <c r="G89" s="70">
        <f t="shared" si="3"/>
        <v>1.6410785486732167E-5</v>
      </c>
    </row>
    <row r="90" spans="1:7" x14ac:dyDescent="0.2">
      <c r="A90" s="25" t="s">
        <v>377</v>
      </c>
      <c r="B90" s="26">
        <v>1275167</v>
      </c>
      <c r="C90" s="26">
        <v>238822</v>
      </c>
      <c r="D90" s="70">
        <f t="shared" si="2"/>
        <v>9.2207093587425468E-5</v>
      </c>
      <c r="F90" s="8" t="str">
        <v>Antillas Holandesas</v>
      </c>
      <c r="G90" s="70">
        <f t="shared" si="3"/>
        <v>9.2207093587425468E-5</v>
      </c>
    </row>
    <row r="91" spans="1:7" x14ac:dyDescent="0.2">
      <c r="A91" s="25" t="s">
        <v>270</v>
      </c>
      <c r="B91" s="26">
        <v>259133</v>
      </c>
      <c r="C91" s="26">
        <v>49538</v>
      </c>
      <c r="D91" s="70">
        <f t="shared" si="2"/>
        <v>1.8737860047029386E-5</v>
      </c>
      <c r="F91" s="8" t="str">
        <v>Aruba</v>
      </c>
      <c r="G91" s="70">
        <f t="shared" si="3"/>
        <v>1.8737860047029386E-5</v>
      </c>
    </row>
    <row r="92" spans="1:7" x14ac:dyDescent="0.2">
      <c r="A92" s="25" t="s">
        <v>445</v>
      </c>
      <c r="B92" s="26" t="s">
        <v>30</v>
      </c>
      <c r="C92" s="26" t="s">
        <v>30</v>
      </c>
      <c r="D92" s="70" t="e">
        <f t="shared" si="2"/>
        <v>#VALUE!</v>
      </c>
      <c r="F92" s="8" t="str">
        <v>Iquique (Chile)</v>
      </c>
      <c r="G92" s="70" t="e">
        <f t="shared" si="3"/>
        <v>#VALUE!</v>
      </c>
    </row>
    <row r="93" spans="1:7" x14ac:dyDescent="0.2">
      <c r="A93" s="25" t="s">
        <v>446</v>
      </c>
      <c r="B93" s="26">
        <v>70015</v>
      </c>
      <c r="C93" s="26">
        <v>6822</v>
      </c>
      <c r="D93" s="70">
        <f t="shared" si="2"/>
        <v>5.0627719016596206E-6</v>
      </c>
      <c r="F93" s="8" t="str">
        <v>Punta Arenas (Chile)</v>
      </c>
      <c r="G93" s="70">
        <f t="shared" si="3"/>
        <v>5.0627719016596206E-6</v>
      </c>
    </row>
    <row r="94" spans="1:7" x14ac:dyDescent="0.2">
      <c r="A94" s="25" t="s">
        <v>440</v>
      </c>
      <c r="B94" s="26">
        <v>145163</v>
      </c>
      <c r="C94" s="26">
        <v>407500</v>
      </c>
      <c r="D94" s="70">
        <f t="shared" si="2"/>
        <v>1.0496710098701928E-5</v>
      </c>
      <c r="F94" s="8" t="str">
        <v>Colonia (Uruguay)</v>
      </c>
      <c r="G94" s="70">
        <f t="shared" si="3"/>
        <v>1.0496710098701928E-5</v>
      </c>
    </row>
    <row r="95" spans="1:7" x14ac:dyDescent="0.2">
      <c r="A95" s="25" t="s">
        <v>469</v>
      </c>
      <c r="B95" s="26" t="s">
        <v>30</v>
      </c>
      <c r="C95" s="26" t="s">
        <v>30</v>
      </c>
      <c r="D95" s="70" t="e">
        <f t="shared" si="2"/>
        <v>#VALUE!</v>
      </c>
      <c r="F95" s="8" t="str">
        <v>Florida (Uruguay)</v>
      </c>
      <c r="G95" s="70" t="e">
        <f t="shared" si="3"/>
        <v>#VALUE!</v>
      </c>
    </row>
    <row r="96" spans="1:7" x14ac:dyDescent="0.2">
      <c r="A96" s="25" t="s">
        <v>1</v>
      </c>
      <c r="B96" s="26" t="s">
        <v>466</v>
      </c>
      <c r="C96" s="26" t="s">
        <v>466</v>
      </c>
      <c r="D96" s="70" t="e">
        <f t="shared" si="2"/>
        <v>#VALUE!</v>
      </c>
      <c r="F96" s="8" t="str">
        <v xml:space="preserve">   ASIA</v>
      </c>
      <c r="G96" s="70">
        <f t="shared" si="3"/>
        <v>0.41253769028592063</v>
      </c>
    </row>
    <row r="97" spans="1:7" x14ac:dyDescent="0.2">
      <c r="A97" s="25" t="s">
        <v>4</v>
      </c>
      <c r="B97" s="26">
        <v>5705140770</v>
      </c>
      <c r="C97" s="26">
        <v>13926748773</v>
      </c>
      <c r="D97" s="70">
        <f t="shared" si="2"/>
        <v>0.41253769028592063</v>
      </c>
      <c r="F97" s="8" t="str">
        <v>Arabia Saudita</v>
      </c>
      <c r="G97" s="70">
        <f t="shared" si="3"/>
        <v>9.8449480857248171E-3</v>
      </c>
    </row>
    <row r="98" spans="1:7" x14ac:dyDescent="0.2">
      <c r="A98" s="25" t="s">
        <v>400</v>
      </c>
      <c r="B98" s="26">
        <v>136149535</v>
      </c>
      <c r="C98" s="26">
        <v>518275173</v>
      </c>
      <c r="D98" s="70">
        <f t="shared" si="2"/>
        <v>9.8449480857248171E-3</v>
      </c>
      <c r="F98" s="8" t="str">
        <v>Bahrein</v>
      </c>
      <c r="G98" s="70">
        <f t="shared" si="3"/>
        <v>3.681516990736077E-5</v>
      </c>
    </row>
    <row r="99" spans="1:7" x14ac:dyDescent="0.2">
      <c r="A99" s="25" t="s">
        <v>275</v>
      </c>
      <c r="B99" s="26">
        <v>509131</v>
      </c>
      <c r="C99" s="26">
        <v>597551</v>
      </c>
      <c r="D99" s="70">
        <f t="shared" si="2"/>
        <v>3.681516990736077E-5</v>
      </c>
      <c r="F99" s="8" t="str">
        <v>Myanmar (ex Birmania) Unión de</v>
      </c>
      <c r="G99" s="70">
        <f t="shared" si="3"/>
        <v>6.5207547603779373E-6</v>
      </c>
    </row>
    <row r="100" spans="1:7" x14ac:dyDescent="0.2">
      <c r="A100" s="25" t="s">
        <v>374</v>
      </c>
      <c r="B100" s="26">
        <v>90178</v>
      </c>
      <c r="C100" s="26">
        <v>146627</v>
      </c>
      <c r="D100" s="70">
        <f t="shared" si="2"/>
        <v>6.5207547603779373E-6</v>
      </c>
      <c r="F100" s="8" t="str">
        <v>Camboya (ex Kampuchea)</v>
      </c>
      <c r="G100" s="70">
        <f t="shared" si="3"/>
        <v>4.4517474323531157E-4</v>
      </c>
    </row>
    <row r="101" spans="1:7" x14ac:dyDescent="0.2">
      <c r="A101" s="25" t="s">
        <v>291</v>
      </c>
      <c r="B101" s="26">
        <v>6156491</v>
      </c>
      <c r="C101" s="26">
        <v>300621</v>
      </c>
      <c r="D101" s="70">
        <f t="shared" si="2"/>
        <v>4.4517474323531157E-4</v>
      </c>
      <c r="F101" s="8" t="str">
        <v>Sri Lanka</v>
      </c>
      <c r="G101" s="70">
        <f t="shared" si="3"/>
        <v>7.9540799711855793E-10</v>
      </c>
    </row>
    <row r="102" spans="1:7" x14ac:dyDescent="0.2">
      <c r="A102" s="25" t="s">
        <v>412</v>
      </c>
      <c r="B102" s="26">
        <v>11</v>
      </c>
      <c r="C102" s="26">
        <v>11</v>
      </c>
      <c r="D102" s="70">
        <f t="shared" si="2"/>
        <v>7.9540799711855793E-10</v>
      </c>
      <c r="F102" s="8" t="str">
        <v>Corea Republicana</v>
      </c>
      <c r="G102" s="70">
        <f t="shared" si="3"/>
        <v>2.2136407316538913E-2</v>
      </c>
    </row>
    <row r="103" spans="1:7" x14ac:dyDescent="0.2">
      <c r="A103" s="25" t="s">
        <v>350</v>
      </c>
      <c r="B103" s="26">
        <v>306132804</v>
      </c>
      <c r="C103" s="26">
        <v>828342047</v>
      </c>
      <c r="D103" s="70">
        <f t="shared" si="2"/>
        <v>2.2136407316538913E-2</v>
      </c>
      <c r="F103" s="8" t="str">
        <v>China</v>
      </c>
      <c r="G103" s="70">
        <f t="shared" si="3"/>
        <v>4.0802480417941808E-2</v>
      </c>
    </row>
    <row r="104" spans="1:7" x14ac:dyDescent="0.2">
      <c r="A104" s="25" t="s">
        <v>297</v>
      </c>
      <c r="B104" s="26">
        <v>564273035</v>
      </c>
      <c r="C104" s="26">
        <v>1243899793</v>
      </c>
      <c r="D104" s="70">
        <f t="shared" si="2"/>
        <v>4.0802480417941808E-2</v>
      </c>
      <c r="F104" s="8" t="str">
        <v>Filipinas</v>
      </c>
      <c r="G104" s="70">
        <f t="shared" si="3"/>
        <v>1.5096084098363162E-2</v>
      </c>
    </row>
    <row r="105" spans="1:7" x14ac:dyDescent="0.2">
      <c r="A105" s="25" t="s">
        <v>391</v>
      </c>
      <c r="B105" s="26">
        <v>208769494</v>
      </c>
      <c r="C105" s="26">
        <v>639867330</v>
      </c>
      <c r="D105" s="70">
        <f t="shared" si="2"/>
        <v>1.5096084098363162E-2</v>
      </c>
      <c r="F105" s="8" t="str">
        <v>Taiwan</v>
      </c>
      <c r="G105" s="70">
        <f t="shared" si="3"/>
        <v>8.7777813538598233E-4</v>
      </c>
    </row>
    <row r="106" spans="1:7" x14ac:dyDescent="0.2">
      <c r="A106" s="25" t="s">
        <v>421</v>
      </c>
      <c r="B106" s="26">
        <v>12139128</v>
      </c>
      <c r="C106" s="26">
        <v>6150992</v>
      </c>
      <c r="D106" s="70">
        <f t="shared" si="2"/>
        <v>8.7777813538598233E-4</v>
      </c>
      <c r="F106" s="8" t="str">
        <v>India</v>
      </c>
      <c r="G106" s="70">
        <f t="shared" si="3"/>
        <v>9.2702227039241983E-2</v>
      </c>
    </row>
    <row r="107" spans="1:7" x14ac:dyDescent="0.2">
      <c r="A107" s="25" t="s">
        <v>338</v>
      </c>
      <c r="B107" s="26">
        <v>1282014389</v>
      </c>
      <c r="C107" s="26">
        <v>1831589948</v>
      </c>
      <c r="D107" s="70">
        <f t="shared" si="2"/>
        <v>9.2702227039241983E-2</v>
      </c>
      <c r="F107" s="8" t="str">
        <v>Indonesia</v>
      </c>
      <c r="G107" s="70">
        <f t="shared" si="3"/>
        <v>3.7842003524366785E-2</v>
      </c>
    </row>
    <row r="108" spans="1:7" x14ac:dyDescent="0.2">
      <c r="A108" s="25" t="s">
        <v>339</v>
      </c>
      <c r="B108" s="26">
        <v>523331473</v>
      </c>
      <c r="C108" s="26">
        <v>1623787849</v>
      </c>
      <c r="D108" s="70">
        <f t="shared" si="2"/>
        <v>3.7842003524366785E-2</v>
      </c>
      <c r="F108" s="8" t="str">
        <v>Iraq</v>
      </c>
      <c r="G108" s="70">
        <f t="shared" si="3"/>
        <v>2.5371687838983163E-3</v>
      </c>
    </row>
    <row r="109" spans="1:7" x14ac:dyDescent="0.2">
      <c r="A109" s="25" t="s">
        <v>341</v>
      </c>
      <c r="B109" s="26">
        <v>35087473</v>
      </c>
      <c r="C109" s="26">
        <v>104708583</v>
      </c>
      <c r="D109" s="70">
        <f t="shared" si="2"/>
        <v>2.5371687838983163E-3</v>
      </c>
      <c r="F109" s="8" t="str">
        <v>Irán</v>
      </c>
      <c r="G109" s="70">
        <f t="shared" si="3"/>
        <v>1.6367896364429355E-2</v>
      </c>
    </row>
    <row r="110" spans="1:7" x14ac:dyDescent="0.2">
      <c r="A110" s="25" t="s">
        <v>340</v>
      </c>
      <c r="B110" s="26">
        <v>226357870</v>
      </c>
      <c r="C110" s="26">
        <v>618427221</v>
      </c>
      <c r="D110" s="70">
        <f t="shared" si="2"/>
        <v>1.6367896364429355E-2</v>
      </c>
      <c r="F110" s="8" t="str">
        <v>Israel</v>
      </c>
      <c r="G110" s="70">
        <f t="shared" si="3"/>
        <v>5.2884761518238038E-3</v>
      </c>
    </row>
    <row r="111" spans="1:7" x14ac:dyDescent="0.2">
      <c r="A111" s="25" t="s">
        <v>343</v>
      </c>
      <c r="B111" s="26">
        <v>73136350</v>
      </c>
      <c r="C111" s="26">
        <v>88959811</v>
      </c>
      <c r="D111" s="70">
        <f t="shared" si="2"/>
        <v>5.2884761518238038E-3</v>
      </c>
      <c r="F111" s="8" t="str">
        <v>Japón</v>
      </c>
      <c r="G111" s="70">
        <f t="shared" si="3"/>
        <v>5.1465074662188264E-3</v>
      </c>
    </row>
    <row r="112" spans="1:7" x14ac:dyDescent="0.2">
      <c r="A112" s="25" t="s">
        <v>346</v>
      </c>
      <c r="B112" s="26">
        <v>71173011</v>
      </c>
      <c r="C112" s="26">
        <v>199979953</v>
      </c>
      <c r="D112" s="70">
        <f t="shared" si="2"/>
        <v>5.1465074662188264E-3</v>
      </c>
      <c r="F112" s="8" t="str">
        <v>Jordania</v>
      </c>
      <c r="G112" s="70">
        <f t="shared" si="3"/>
        <v>6.99211440718821E-3</v>
      </c>
    </row>
    <row r="113" spans="1:7" x14ac:dyDescent="0.2">
      <c r="A113" s="25" t="s">
        <v>347</v>
      </c>
      <c r="B113" s="26">
        <v>96696612</v>
      </c>
      <c r="C113" s="26">
        <v>305101521</v>
      </c>
      <c r="D113" s="70">
        <f t="shared" si="2"/>
        <v>6.99211440718821E-3</v>
      </c>
      <c r="F113" s="8" t="str">
        <v>Qatar</v>
      </c>
      <c r="G113" s="70">
        <f t="shared" si="3"/>
        <v>4.9169374608788295E-5</v>
      </c>
    </row>
    <row r="114" spans="1:7" x14ac:dyDescent="0.2">
      <c r="A114" s="25" t="s">
        <v>395</v>
      </c>
      <c r="B114" s="26">
        <v>679982</v>
      </c>
      <c r="C114" s="26">
        <v>64981</v>
      </c>
      <c r="D114" s="70">
        <f t="shared" si="2"/>
        <v>4.9169374608788295E-5</v>
      </c>
      <c r="F114" s="8" t="str">
        <v>Kuwait</v>
      </c>
      <c r="G114" s="70">
        <f t="shared" si="3"/>
        <v>1.2793096372273958E-4</v>
      </c>
    </row>
    <row r="115" spans="1:7" x14ac:dyDescent="0.2">
      <c r="A115" s="25" t="s">
        <v>351</v>
      </c>
      <c r="B115" s="26">
        <v>1769206</v>
      </c>
      <c r="C115" s="26">
        <v>9561187</v>
      </c>
      <c r="D115" s="70">
        <f t="shared" si="2"/>
        <v>1.2793096372273958E-4</v>
      </c>
      <c r="F115" s="8" t="str">
        <v>Líbano</v>
      </c>
      <c r="G115" s="70">
        <f t="shared" si="3"/>
        <v>3.6067370694360655E-3</v>
      </c>
    </row>
    <row r="116" spans="1:7" x14ac:dyDescent="0.2">
      <c r="A116" s="25" t="s">
        <v>353</v>
      </c>
      <c r="B116" s="26">
        <v>49878940</v>
      </c>
      <c r="C116" s="26">
        <v>144097247</v>
      </c>
      <c r="D116" s="70">
        <f t="shared" si="2"/>
        <v>3.6067370694360655E-3</v>
      </c>
      <c r="F116" s="8" t="str">
        <v>Malasia</v>
      </c>
      <c r="G116" s="70">
        <f t="shared" si="3"/>
        <v>3.3643954871256078E-2</v>
      </c>
    </row>
    <row r="117" spans="1:7" x14ac:dyDescent="0.2">
      <c r="A117" s="25" t="s">
        <v>362</v>
      </c>
      <c r="B117" s="26">
        <v>465275060</v>
      </c>
      <c r="C117" s="26">
        <v>1338491692</v>
      </c>
      <c r="D117" s="70">
        <f t="shared" si="2"/>
        <v>3.3643954871256078E-2</v>
      </c>
      <c r="F117" s="8" t="str">
        <v>Omán</v>
      </c>
      <c r="G117" s="70">
        <f t="shared" si="3"/>
        <v>2.2126840438388843E-4</v>
      </c>
    </row>
    <row r="118" spans="1:7" x14ac:dyDescent="0.2">
      <c r="A118" s="25" t="s">
        <v>385</v>
      </c>
      <c r="B118" s="26">
        <v>3060005</v>
      </c>
      <c r="C118" s="26">
        <v>16813524</v>
      </c>
      <c r="D118" s="70">
        <f t="shared" si="2"/>
        <v>2.2126840438388843E-4</v>
      </c>
      <c r="F118" s="8" t="str">
        <v>Mongolia</v>
      </c>
      <c r="G118" s="70">
        <f t="shared" si="3"/>
        <v>2.6961944878327756E-5</v>
      </c>
    </row>
    <row r="119" spans="1:7" x14ac:dyDescent="0.2">
      <c r="A119" s="25" t="s">
        <v>370</v>
      </c>
      <c r="B119" s="26">
        <v>372867</v>
      </c>
      <c r="C119" s="26">
        <v>100000</v>
      </c>
      <c r="D119" s="70">
        <f t="shared" si="2"/>
        <v>2.6961944878327756E-5</v>
      </c>
      <c r="F119" s="8" t="str">
        <v>Nepal</v>
      </c>
      <c r="G119" s="70">
        <f t="shared" si="3"/>
        <v>4.1791170027516548E-5</v>
      </c>
    </row>
    <row r="120" spans="1:7" x14ac:dyDescent="0.2">
      <c r="A120" s="25" t="s">
        <v>376</v>
      </c>
      <c r="B120" s="26">
        <v>577946</v>
      </c>
      <c r="C120" s="26">
        <v>1244510</v>
      </c>
      <c r="D120" s="70">
        <f t="shared" si="2"/>
        <v>4.1791170027516548E-5</v>
      </c>
      <c r="F120" s="8" t="str">
        <v>Emiratos Arabes Unidos</v>
      </c>
      <c r="G120" s="70">
        <f t="shared" si="3"/>
        <v>2.1636989869559739E-3</v>
      </c>
    </row>
    <row r="121" spans="1:7" x14ac:dyDescent="0.2">
      <c r="A121" s="25" t="s">
        <v>430</v>
      </c>
      <c r="B121" s="26">
        <v>29922617</v>
      </c>
      <c r="C121" s="26">
        <v>92620806</v>
      </c>
      <c r="D121" s="70">
        <f t="shared" si="2"/>
        <v>2.1636989869559739E-3</v>
      </c>
      <c r="F121" s="8" t="str">
        <v>Paquistán</v>
      </c>
      <c r="G121" s="70">
        <f t="shared" si="3"/>
        <v>9.8392489874254627E-3</v>
      </c>
    </row>
    <row r="122" spans="1:7" x14ac:dyDescent="0.2">
      <c r="A122" s="25" t="s">
        <v>386</v>
      </c>
      <c r="B122" s="26">
        <v>136070720</v>
      </c>
      <c r="C122" s="26">
        <v>369101373</v>
      </c>
      <c r="D122" s="70">
        <f t="shared" si="2"/>
        <v>9.8392489874254627E-3</v>
      </c>
      <c r="F122" s="8" t="str">
        <v>Singapur</v>
      </c>
      <c r="G122" s="70">
        <f t="shared" si="3"/>
        <v>6.6585194254788714E-5</v>
      </c>
    </row>
    <row r="123" spans="1:7" x14ac:dyDescent="0.2">
      <c r="A123" s="25" t="s">
        <v>405</v>
      </c>
      <c r="B123" s="26">
        <v>920832</v>
      </c>
      <c r="C123" s="26">
        <v>559436</v>
      </c>
      <c r="D123" s="70">
        <f t="shared" si="2"/>
        <v>6.6585194254788714E-5</v>
      </c>
      <c r="F123" s="8" t="str">
        <v>Siria</v>
      </c>
      <c r="G123" s="70">
        <f t="shared" si="3"/>
        <v>6.8868116440264071E-4</v>
      </c>
    </row>
    <row r="124" spans="1:7" x14ac:dyDescent="0.2">
      <c r="A124" s="25" t="s">
        <v>420</v>
      </c>
      <c r="B124" s="26">
        <v>9524034</v>
      </c>
      <c r="C124" s="26">
        <v>27073802</v>
      </c>
      <c r="D124" s="70">
        <f t="shared" si="2"/>
        <v>6.8868116440264071E-4</v>
      </c>
      <c r="F124" s="8" t="str">
        <v>Tailandia</v>
      </c>
      <c r="G124" s="70">
        <f t="shared" si="3"/>
        <v>1.6357985580785259E-2</v>
      </c>
    </row>
    <row r="125" spans="1:7" x14ac:dyDescent="0.2">
      <c r="A125" s="25" t="s">
        <v>423</v>
      </c>
      <c r="B125" s="26">
        <v>226220810</v>
      </c>
      <c r="C125" s="26">
        <v>525016275</v>
      </c>
      <c r="D125" s="70">
        <f t="shared" si="2"/>
        <v>1.6357985580785259E-2</v>
      </c>
      <c r="F125" s="8" t="str">
        <v>Vietnam</v>
      </c>
      <c r="G125" s="70">
        <f t="shared" si="3"/>
        <v>6.5271177640395417E-2</v>
      </c>
    </row>
    <row r="126" spans="1:7" x14ac:dyDescent="0.2">
      <c r="A126" s="25" t="s">
        <v>436</v>
      </c>
      <c r="B126" s="26">
        <v>902659964</v>
      </c>
      <c r="C126" s="26">
        <v>2798360256</v>
      </c>
      <c r="D126" s="70">
        <f t="shared" si="2"/>
        <v>6.5271177640395417E-2</v>
      </c>
      <c r="F126" s="8" t="str">
        <v>Hong Kong</v>
      </c>
      <c r="G126" s="70">
        <f t="shared" si="3"/>
        <v>2.6424411046267753E-3</v>
      </c>
    </row>
    <row r="127" spans="1:7" x14ac:dyDescent="0.2">
      <c r="A127" s="25" t="s">
        <v>335</v>
      </c>
      <c r="B127" s="26">
        <v>36543324</v>
      </c>
      <c r="C127" s="26">
        <v>20460785</v>
      </c>
      <c r="D127" s="70">
        <f t="shared" si="2"/>
        <v>2.6424411046267753E-3</v>
      </c>
      <c r="F127" s="8" t="str">
        <v>Bangladesh</v>
      </c>
      <c r="G127" s="70">
        <f t="shared" si="3"/>
        <v>1.9059009930596171E-2</v>
      </c>
    </row>
    <row r="128" spans="1:7" x14ac:dyDescent="0.2">
      <c r="A128" s="25" t="s">
        <v>276</v>
      </c>
      <c r="B128" s="26">
        <v>263574304</v>
      </c>
      <c r="C128" s="26">
        <v>432271001</v>
      </c>
      <c r="D128" s="70">
        <f t="shared" si="2"/>
        <v>1.9059009930596171E-2</v>
      </c>
      <c r="F128" s="8" t="str">
        <v>Brunei</v>
      </c>
      <c r="G128" s="70">
        <f t="shared" si="3"/>
        <v>1.5000353564277957E-4</v>
      </c>
    </row>
    <row r="129" spans="1:7" x14ac:dyDescent="0.2">
      <c r="A129" s="25" t="s">
        <v>286</v>
      </c>
      <c r="B129" s="26">
        <v>2074456</v>
      </c>
      <c r="C129" s="26">
        <v>7757431</v>
      </c>
      <c r="D129" s="70">
        <f t="shared" si="2"/>
        <v>1.5000353564277957E-4</v>
      </c>
      <c r="F129" s="8" t="str">
        <v>República de Yemen</v>
      </c>
      <c r="G129" s="70">
        <f t="shared" si="3"/>
        <v>2.2750468508958782E-3</v>
      </c>
    </row>
    <row r="130" spans="1:7" x14ac:dyDescent="0.2">
      <c r="A130" s="25" t="s">
        <v>437</v>
      </c>
      <c r="B130" s="26">
        <v>31462489</v>
      </c>
      <c r="C130" s="26">
        <v>125235401</v>
      </c>
      <c r="D130" s="70">
        <f t="shared" si="2"/>
        <v>2.2750468508958782E-3</v>
      </c>
      <c r="F130" s="8" t="str">
        <v>Armenia</v>
      </c>
      <c r="G130" s="70">
        <f t="shared" si="3"/>
        <v>7.9736036220239437E-7</v>
      </c>
    </row>
    <row r="131" spans="1:7" x14ac:dyDescent="0.2">
      <c r="A131" s="25" t="s">
        <v>269</v>
      </c>
      <c r="B131" s="26">
        <v>11027</v>
      </c>
      <c r="C131" s="26">
        <v>23070</v>
      </c>
      <c r="D131" s="70">
        <f t="shared" si="2"/>
        <v>7.9736036220239437E-7</v>
      </c>
      <c r="F131" s="8" t="str">
        <v>Azerbaiján</v>
      </c>
      <c r="G131" s="70">
        <f t="shared" si="3"/>
        <v>9.8124422917262093E-7</v>
      </c>
    </row>
    <row r="132" spans="1:7" x14ac:dyDescent="0.2">
      <c r="A132" s="25" t="s">
        <v>273</v>
      </c>
      <c r="B132" s="26">
        <v>13570</v>
      </c>
      <c r="C132" s="26">
        <v>27626</v>
      </c>
      <c r="D132" s="70">
        <f t="shared" si="2"/>
        <v>9.8124422917262093E-7</v>
      </c>
      <c r="F132" s="8" t="str">
        <v>Georgia</v>
      </c>
      <c r="G132" s="70">
        <f t="shared" si="3"/>
        <v>1.2712065990312952E-6</v>
      </c>
    </row>
    <row r="133" spans="1:7" x14ac:dyDescent="0.2">
      <c r="A133" s="25" t="s">
        <v>323</v>
      </c>
      <c r="B133" s="26">
        <v>17580</v>
      </c>
      <c r="C133" s="26">
        <v>46235</v>
      </c>
      <c r="D133" s="70">
        <f t="shared" si="2"/>
        <v>1.2712065990312952E-6</v>
      </c>
      <c r="F133" s="8" t="str">
        <v>Kazajstán</v>
      </c>
      <c r="G133" s="70">
        <f t="shared" si="3"/>
        <v>1.2715103002665587E-5</v>
      </c>
    </row>
    <row r="134" spans="1:7" x14ac:dyDescent="0.2">
      <c r="A134" s="25" t="s">
        <v>348</v>
      </c>
      <c r="B134" s="26">
        <v>175842</v>
      </c>
      <c r="C134" s="26">
        <v>45137</v>
      </c>
      <c r="D134" s="70">
        <f t="shared" si="2"/>
        <v>1.2715103002665587E-5</v>
      </c>
      <c r="F134" s="8" t="str">
        <v>Uzbekistán</v>
      </c>
      <c r="G134" s="70">
        <f t="shared" si="3"/>
        <v>1.6687724858383473E-4</v>
      </c>
    </row>
    <row r="135" spans="1:7" x14ac:dyDescent="0.2">
      <c r="A135" s="25" t="s">
        <v>434</v>
      </c>
      <c r="B135" s="26">
        <v>2307809</v>
      </c>
      <c r="C135" s="26">
        <v>7641750</v>
      </c>
      <c r="D135" s="70">
        <f t="shared" si="2"/>
        <v>1.6687724858383473E-4</v>
      </c>
      <c r="F135" s="8" t="str">
        <v>Territorios Autónomos Palestinos (Gaza y Jericó)</v>
      </c>
      <c r="G135" s="70">
        <f t="shared" si="3"/>
        <v>7.5209441618455645E-7</v>
      </c>
    </row>
    <row r="136" spans="1:7" x14ac:dyDescent="0.2">
      <c r="A136" s="25" t="s">
        <v>159</v>
      </c>
      <c r="B136" s="26">
        <v>10401</v>
      </c>
      <c r="C136" s="26">
        <v>217</v>
      </c>
      <c r="D136" s="70">
        <f t="shared" si="2"/>
        <v>7.5209441618455645E-7</v>
      </c>
      <c r="F136" s="8" t="str">
        <v xml:space="preserve">   EUROPA</v>
      </c>
      <c r="G136" s="70">
        <f t="shared" si="3"/>
        <v>0.19245003696819557</v>
      </c>
    </row>
    <row r="137" spans="1:7" x14ac:dyDescent="0.2">
      <c r="A137" s="25" t="s">
        <v>1</v>
      </c>
      <c r="B137" s="26" t="s">
        <v>466</v>
      </c>
      <c r="C137" s="26" t="s">
        <v>466</v>
      </c>
      <c r="D137" s="70" t="e">
        <f t="shared" si="2"/>
        <v>#VALUE!</v>
      </c>
      <c r="F137" s="8" t="str">
        <v>Albania</v>
      </c>
      <c r="G137" s="70">
        <f t="shared" si="3"/>
        <v>5.4200113261109411E-5</v>
      </c>
    </row>
    <row r="138" spans="1:7" x14ac:dyDescent="0.2">
      <c r="A138" s="25" t="s">
        <v>5</v>
      </c>
      <c r="B138" s="26">
        <v>2661464826</v>
      </c>
      <c r="C138" s="26">
        <v>7759156720</v>
      </c>
      <c r="D138" s="70">
        <f t="shared" si="2"/>
        <v>0.19245003696819557</v>
      </c>
      <c r="F138" s="8" t="str">
        <v>Austria</v>
      </c>
      <c r="G138" s="70">
        <f t="shared" si="3"/>
        <v>1.9633236367422164E-4</v>
      </c>
    </row>
    <row r="139" spans="1:7" x14ac:dyDescent="0.2">
      <c r="A139" s="25" t="s">
        <v>264</v>
      </c>
      <c r="B139" s="26">
        <v>749554</v>
      </c>
      <c r="C139" s="26">
        <v>111464</v>
      </c>
      <c r="D139" s="70">
        <f t="shared" ref="D139:D155" si="4">+B139/$B$8</f>
        <v>5.4200113261109411E-5</v>
      </c>
      <c r="F139" s="8" t="str">
        <v>Bélgica</v>
      </c>
      <c r="G139" s="70">
        <f t="shared" ref="G139:G151" si="5">+SUMIF(A139:A284,F139,D139:D284)</f>
        <v>4.4134638669732565E-3</v>
      </c>
    </row>
    <row r="140" spans="1:7" x14ac:dyDescent="0.2">
      <c r="A140" s="25" t="s">
        <v>272</v>
      </c>
      <c r="B140" s="26">
        <v>2715155</v>
      </c>
      <c r="C140" s="26">
        <v>69596</v>
      </c>
      <c r="D140" s="70">
        <f t="shared" si="4"/>
        <v>1.9633236367422164E-4</v>
      </c>
      <c r="F140" s="8" t="str">
        <v>Bulgaria</v>
      </c>
      <c r="G140" s="70">
        <f t="shared" si="5"/>
        <v>6.3852461615961032E-6</v>
      </c>
    </row>
    <row r="141" spans="1:7" x14ac:dyDescent="0.2">
      <c r="A141" s="25" t="s">
        <v>279</v>
      </c>
      <c r="B141" s="26">
        <v>61035472</v>
      </c>
      <c r="C141" s="26">
        <v>169737457</v>
      </c>
      <c r="D141" s="70">
        <f t="shared" si="4"/>
        <v>4.4134638669732565E-3</v>
      </c>
      <c r="F141" s="8" t="str">
        <v>Dinamarca</v>
      </c>
      <c r="G141" s="70">
        <f t="shared" si="5"/>
        <v>9.9676469279523297E-3</v>
      </c>
    </row>
    <row r="142" spans="1:7" x14ac:dyDescent="0.2">
      <c r="A142" s="25" t="s">
        <v>287</v>
      </c>
      <c r="B142" s="26">
        <v>88304</v>
      </c>
      <c r="C142" s="26">
        <v>36361</v>
      </c>
      <c r="D142" s="70">
        <f t="shared" si="4"/>
        <v>6.3852461615961032E-6</v>
      </c>
      <c r="F142" s="8" t="str">
        <v>España</v>
      </c>
      <c r="G142" s="70">
        <f t="shared" si="5"/>
        <v>3.6684887139120007E-2</v>
      </c>
    </row>
    <row r="143" spans="1:7" x14ac:dyDescent="0.2">
      <c r="A143" s="25" t="s">
        <v>308</v>
      </c>
      <c r="B143" s="26">
        <v>137846384</v>
      </c>
      <c r="C143" s="26">
        <v>413182606</v>
      </c>
      <c r="D143" s="70">
        <f t="shared" si="4"/>
        <v>9.9676469279523297E-3</v>
      </c>
      <c r="F143" s="8" t="str">
        <v>Finlandia</v>
      </c>
      <c r="G143" s="70">
        <f t="shared" si="5"/>
        <v>1.9131731625238912E-6</v>
      </c>
    </row>
    <row r="144" spans="1:7" x14ac:dyDescent="0.2">
      <c r="A144" s="25" t="s">
        <v>411</v>
      </c>
      <c r="B144" s="26">
        <v>507329270</v>
      </c>
      <c r="C144" s="26">
        <v>1594814846</v>
      </c>
      <c r="D144" s="70">
        <f t="shared" si="4"/>
        <v>3.6684887139120007E-2</v>
      </c>
      <c r="F144" s="8" t="str">
        <v>Francia</v>
      </c>
      <c r="G144" s="70">
        <f t="shared" si="5"/>
        <v>5.3554784291083542E-3</v>
      </c>
    </row>
    <row r="145" spans="1:7" x14ac:dyDescent="0.2">
      <c r="A145" s="25" t="s">
        <v>319</v>
      </c>
      <c r="B145" s="26">
        <v>26458</v>
      </c>
      <c r="C145" s="26">
        <v>8183</v>
      </c>
      <c r="D145" s="70">
        <f t="shared" si="4"/>
        <v>1.9131731625238912E-6</v>
      </c>
      <c r="F145" s="8" t="str">
        <v>Grecia</v>
      </c>
      <c r="G145" s="70">
        <f t="shared" si="5"/>
        <v>3.5892924704825331E-3</v>
      </c>
    </row>
    <row r="146" spans="1:7" x14ac:dyDescent="0.2">
      <c r="A146" s="25" t="s">
        <v>320</v>
      </c>
      <c r="B146" s="26">
        <v>74062950</v>
      </c>
      <c r="C146" s="26">
        <v>221606138</v>
      </c>
      <c r="D146" s="70">
        <f t="shared" si="4"/>
        <v>5.3554784291083542E-3</v>
      </c>
      <c r="F146" s="8" t="str">
        <v>Hungría</v>
      </c>
      <c r="G146" s="70">
        <f t="shared" si="5"/>
        <v>2.7330724949719088E-5</v>
      </c>
    </row>
    <row r="147" spans="1:7" x14ac:dyDescent="0.2">
      <c r="A147" s="25" t="s">
        <v>326</v>
      </c>
      <c r="B147" s="26">
        <v>49637692</v>
      </c>
      <c r="C147" s="26">
        <v>138919614</v>
      </c>
      <c r="D147" s="70">
        <f t="shared" si="4"/>
        <v>3.5892924704825331E-3</v>
      </c>
      <c r="F147" s="8" t="str">
        <v>Irlanda</v>
      </c>
      <c r="G147" s="70">
        <f t="shared" si="5"/>
        <v>8.5132212061069454E-3</v>
      </c>
    </row>
    <row r="148" spans="1:7" x14ac:dyDescent="0.2">
      <c r="A148" s="25" t="s">
        <v>336</v>
      </c>
      <c r="B148" s="26">
        <v>377967</v>
      </c>
      <c r="C148" s="26">
        <v>3507</v>
      </c>
      <c r="D148" s="70">
        <f t="shared" si="4"/>
        <v>2.7330724949719088E-5</v>
      </c>
      <c r="F148" s="8" t="str">
        <v>Italia</v>
      </c>
      <c r="G148" s="70">
        <f t="shared" si="5"/>
        <v>2.442886687775862E-2</v>
      </c>
    </row>
    <row r="149" spans="1:7" x14ac:dyDescent="0.2">
      <c r="A149" s="25" t="s">
        <v>342</v>
      </c>
      <c r="B149" s="26">
        <v>117732577</v>
      </c>
      <c r="C149" s="26">
        <v>476752650</v>
      </c>
      <c r="D149" s="70">
        <f t="shared" si="4"/>
        <v>8.5132212061069454E-3</v>
      </c>
      <c r="F149" s="8" t="str">
        <v>Luxemburgo</v>
      </c>
      <c r="G149" s="70">
        <f t="shared" si="5"/>
        <v>5.3737041187150574E-6</v>
      </c>
    </row>
    <row r="150" spans="1:7" x14ac:dyDescent="0.2">
      <c r="A150" s="25" t="s">
        <v>344</v>
      </c>
      <c r="B150" s="26">
        <v>337836100</v>
      </c>
      <c r="C150" s="26">
        <v>989262931</v>
      </c>
      <c r="D150" s="70">
        <f t="shared" si="4"/>
        <v>2.442886687775862E-2</v>
      </c>
      <c r="F150" s="8" t="str">
        <v>Malta</v>
      </c>
      <c r="G150" s="70">
        <f t="shared" si="5"/>
        <v>1.373886540477509E-9</v>
      </c>
    </row>
    <row r="151" spans="1:7" x14ac:dyDescent="0.2">
      <c r="A151" s="25" t="s">
        <v>358</v>
      </c>
      <c r="B151" s="26">
        <v>74315</v>
      </c>
      <c r="C151" s="26">
        <v>5120</v>
      </c>
      <c r="D151" s="70">
        <f t="shared" si="4"/>
        <v>5.3737041187150574E-6</v>
      </c>
      <c r="F151" s="8" t="str">
        <v>Noruega</v>
      </c>
      <c r="G151" s="70">
        <f t="shared" si="5"/>
        <v>2.5172493814264761E-6</v>
      </c>
    </row>
    <row r="152" spans="1:7" x14ac:dyDescent="0.2">
      <c r="A152" s="25" t="s">
        <v>365</v>
      </c>
      <c r="B152" s="26">
        <v>19</v>
      </c>
      <c r="C152" s="26">
        <v>16</v>
      </c>
      <c r="D152" s="70">
        <f t="shared" si="4"/>
        <v>1.373886540477509E-9</v>
      </c>
      <c r="F152" s="8" t="str">
        <v>Países Bajos</v>
      </c>
    </row>
    <row r="153" spans="1:7" x14ac:dyDescent="0.2">
      <c r="A153" s="25" t="s">
        <v>384</v>
      </c>
      <c r="B153" s="26">
        <v>34812</v>
      </c>
      <c r="C153" s="26">
        <v>28451</v>
      </c>
      <c r="D153" s="70">
        <f t="shared" si="4"/>
        <v>2.5172493814264761E-6</v>
      </c>
      <c r="F153" s="8" t="str">
        <v>Polonia</v>
      </c>
    </row>
    <row r="154" spans="1:7" x14ac:dyDescent="0.2">
      <c r="A154" s="25" t="s">
        <v>378</v>
      </c>
      <c r="B154" s="26">
        <v>227487516</v>
      </c>
      <c r="C154" s="26">
        <v>794148316</v>
      </c>
      <c r="D154" s="70">
        <f t="shared" si="4"/>
        <v>1.6449580861003264E-2</v>
      </c>
    </row>
    <row r="155" spans="1:7" x14ac:dyDescent="0.2">
      <c r="A155" s="25" t="s">
        <v>392</v>
      </c>
      <c r="B155" s="26">
        <v>357830976</v>
      </c>
      <c r="C155" s="26">
        <v>1083565774</v>
      </c>
      <c r="D155" s="70">
        <f t="shared" si="4"/>
        <v>2.5874692720648979E-2</v>
      </c>
    </row>
    <row r="156" spans="1:7" x14ac:dyDescent="0.2">
      <c r="A156" s="25" t="s">
        <v>393</v>
      </c>
      <c r="B156" s="26">
        <v>29744101</v>
      </c>
      <c r="C156" s="26">
        <v>85116756</v>
      </c>
    </row>
    <row r="157" spans="1:7" x14ac:dyDescent="0.2">
      <c r="A157" s="25" t="s">
        <v>431</v>
      </c>
      <c r="B157" s="26">
        <v>168907174</v>
      </c>
      <c r="C157" s="26">
        <v>554853407</v>
      </c>
    </row>
    <row r="158" spans="1:7" x14ac:dyDescent="0.2">
      <c r="A158" s="25" t="s">
        <v>396</v>
      </c>
      <c r="B158" s="26">
        <v>19527811</v>
      </c>
      <c r="C158" s="26">
        <v>62008095</v>
      </c>
    </row>
    <row r="159" spans="1:7" x14ac:dyDescent="0.2">
      <c r="A159" s="25" t="s">
        <v>418</v>
      </c>
      <c r="B159" s="26">
        <v>3735427</v>
      </c>
      <c r="C159" s="26">
        <v>94615</v>
      </c>
    </row>
    <row r="160" spans="1:7" x14ac:dyDescent="0.2">
      <c r="A160" s="25" t="s">
        <v>419</v>
      </c>
      <c r="B160" s="26">
        <v>3447323</v>
      </c>
      <c r="C160" s="26">
        <v>397688</v>
      </c>
    </row>
    <row r="161" spans="1:3" x14ac:dyDescent="0.2">
      <c r="A161" s="25" t="s">
        <v>218</v>
      </c>
      <c r="B161" s="26" t="s">
        <v>30</v>
      </c>
      <c r="C161" s="26" t="s">
        <v>30</v>
      </c>
    </row>
    <row r="162" spans="1:3" x14ac:dyDescent="0.2">
      <c r="A162" s="25" t="s">
        <v>306</v>
      </c>
      <c r="B162" s="26">
        <v>15929690</v>
      </c>
      <c r="C162" s="26">
        <v>46681040</v>
      </c>
    </row>
    <row r="163" spans="1:3" x14ac:dyDescent="0.2">
      <c r="A163" s="25" t="s">
        <v>427</v>
      </c>
      <c r="B163" s="26">
        <v>232467719</v>
      </c>
      <c r="C163" s="26">
        <v>694787580</v>
      </c>
    </row>
    <row r="164" spans="1:3" x14ac:dyDescent="0.2">
      <c r="A164" s="25" t="s">
        <v>324</v>
      </c>
      <c r="B164" s="26">
        <v>174726299</v>
      </c>
      <c r="C164" s="26">
        <v>209006022</v>
      </c>
    </row>
    <row r="165" spans="1:3" x14ac:dyDescent="0.2">
      <c r="A165" s="25" t="s">
        <v>278</v>
      </c>
      <c r="B165" s="26">
        <v>9588425</v>
      </c>
      <c r="C165" s="26">
        <v>28755093</v>
      </c>
    </row>
    <row r="166" spans="1:3" x14ac:dyDescent="0.2">
      <c r="A166" s="25" t="s">
        <v>316</v>
      </c>
      <c r="B166" s="26">
        <v>1101756</v>
      </c>
      <c r="C166" s="26">
        <v>53656</v>
      </c>
    </row>
    <row r="167" spans="1:3" x14ac:dyDescent="0.2">
      <c r="A167" s="25" t="s">
        <v>352</v>
      </c>
      <c r="B167" s="26">
        <v>52078139</v>
      </c>
      <c r="C167" s="26">
        <v>167128981</v>
      </c>
    </row>
    <row r="168" spans="1:3" x14ac:dyDescent="0.2">
      <c r="A168" s="25" t="s">
        <v>357</v>
      </c>
      <c r="B168" s="26">
        <v>149045</v>
      </c>
      <c r="C168" s="26">
        <v>29358</v>
      </c>
    </row>
    <row r="169" spans="1:3" x14ac:dyDescent="0.2">
      <c r="A169" s="25" t="s">
        <v>369</v>
      </c>
      <c r="B169" s="26">
        <v>6706</v>
      </c>
      <c r="C169" s="26">
        <v>212</v>
      </c>
    </row>
    <row r="170" spans="1:3" x14ac:dyDescent="0.2">
      <c r="A170" s="25" t="s">
        <v>397</v>
      </c>
      <c r="B170" s="26">
        <v>56559148</v>
      </c>
      <c r="C170" s="26">
        <v>26500272</v>
      </c>
    </row>
    <row r="171" spans="1:3" x14ac:dyDescent="0.2">
      <c r="A171" s="25" t="s">
        <v>429</v>
      </c>
      <c r="B171" s="26">
        <v>755544</v>
      </c>
      <c r="C171" s="26">
        <v>49162</v>
      </c>
    </row>
    <row r="172" spans="1:3" x14ac:dyDescent="0.2">
      <c r="A172" s="25" t="s">
        <v>283</v>
      </c>
      <c r="B172" s="26">
        <v>10125</v>
      </c>
      <c r="C172" s="26">
        <v>20097</v>
      </c>
    </row>
    <row r="173" spans="1:3" x14ac:dyDescent="0.2">
      <c r="A173" s="25" t="s">
        <v>304</v>
      </c>
      <c r="B173" s="26">
        <v>30229</v>
      </c>
      <c r="C173" s="26">
        <v>25559</v>
      </c>
    </row>
    <row r="174" spans="1:3" x14ac:dyDescent="0.2">
      <c r="A174" s="25" t="s">
        <v>406</v>
      </c>
      <c r="B174" s="26">
        <v>16258516</v>
      </c>
      <c r="C174" s="26">
        <v>910574</v>
      </c>
    </row>
    <row r="175" spans="1:3" x14ac:dyDescent="0.2">
      <c r="A175" s="25" t="s">
        <v>407</v>
      </c>
      <c r="B175" s="26">
        <v>7541</v>
      </c>
      <c r="C175" s="26">
        <v>10113</v>
      </c>
    </row>
    <row r="176" spans="1:3" x14ac:dyDescent="0.2">
      <c r="A176" s="25" t="s">
        <v>383</v>
      </c>
      <c r="B176" s="26">
        <v>45226</v>
      </c>
      <c r="C176" s="26">
        <v>40218</v>
      </c>
    </row>
    <row r="177" spans="1:7" x14ac:dyDescent="0.2">
      <c r="A177" s="25" t="s">
        <v>307</v>
      </c>
      <c r="B177" s="26">
        <v>1474940</v>
      </c>
      <c r="C177" s="26">
        <v>418926</v>
      </c>
    </row>
    <row r="178" spans="1:7" x14ac:dyDescent="0.2">
      <c r="A178" s="25" t="s">
        <v>371</v>
      </c>
      <c r="B178" s="26">
        <v>6825</v>
      </c>
      <c r="C178" s="26">
        <v>12745</v>
      </c>
    </row>
    <row r="179" spans="1:7" x14ac:dyDescent="0.2">
      <c r="A179" s="25" t="s">
        <v>402</v>
      </c>
      <c r="B179" s="26">
        <v>41540</v>
      </c>
      <c r="C179" s="26">
        <v>3480</v>
      </c>
    </row>
    <row r="180" spans="1:7" x14ac:dyDescent="0.2">
      <c r="A180" s="25" t="s">
        <v>444</v>
      </c>
      <c r="B180" s="26">
        <v>56</v>
      </c>
      <c r="C180" s="26">
        <v>41</v>
      </c>
    </row>
    <row r="181" spans="1:7" x14ac:dyDescent="0.2">
      <c r="A181" s="25" t="s">
        <v>1</v>
      </c>
      <c r="B181" s="26" t="s">
        <v>466</v>
      </c>
      <c r="C181" s="26" t="s">
        <v>466</v>
      </c>
    </row>
    <row r="182" spans="1:7" x14ac:dyDescent="0.2">
      <c r="A182" s="25" t="s">
        <v>6</v>
      </c>
      <c r="B182" s="26">
        <v>257160539</v>
      </c>
      <c r="C182" s="26">
        <v>723425165</v>
      </c>
    </row>
    <row r="183" spans="1:7" x14ac:dyDescent="0.2">
      <c r="A183" s="25" t="s">
        <v>271</v>
      </c>
      <c r="B183" s="26">
        <v>215788430</v>
      </c>
      <c r="C183" s="26">
        <v>599877503</v>
      </c>
    </row>
    <row r="184" spans="1:7" x14ac:dyDescent="0.2">
      <c r="A184" s="25" t="s">
        <v>379</v>
      </c>
      <c r="B184" s="26">
        <v>41364640</v>
      </c>
      <c r="C184" s="26">
        <v>123529774</v>
      </c>
    </row>
    <row r="185" spans="1:7" x14ac:dyDescent="0.2">
      <c r="A185" s="25" t="s">
        <v>408</v>
      </c>
      <c r="B185" s="26">
        <v>7469</v>
      </c>
      <c r="C185" s="26">
        <v>17888</v>
      </c>
    </row>
    <row r="187" spans="1:7" s="19" customFormat="1" x14ac:dyDescent="0.2">
      <c r="A187" s="43" t="s">
        <v>222</v>
      </c>
      <c r="B187" s="44"/>
      <c r="C187" s="44"/>
      <c r="D187" s="8"/>
      <c r="E187" s="8"/>
      <c r="F187" s="8"/>
      <c r="G187" s="8"/>
    </row>
  </sheetData>
  <mergeCells count="2">
    <mergeCell ref="A1:C2"/>
    <mergeCell ref="B4:C4"/>
  </mergeCells>
  <pageMargins left="0.75" right="0.75" top="1" bottom="1" header="0" footer="0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84"/>
  <sheetViews>
    <sheetView showGridLines="0" workbookViewId="0">
      <pane xSplit="1" ySplit="6" topLeftCell="B136" activePane="bottomRight" state="frozen"/>
      <selection pane="topRight" activeCell="B1" sqref="B1"/>
      <selection pane="bottomLeft" activeCell="A7" sqref="A7"/>
      <selection pane="bottomRight" activeCell="D1" sqref="D1:G1048576"/>
    </sheetView>
  </sheetViews>
  <sheetFormatPr baseColWidth="10" defaultRowHeight="15" x14ac:dyDescent="0.2"/>
  <cols>
    <col min="1" max="1" width="43.125" style="17" customWidth="1"/>
    <col min="2" max="2" width="15.125" style="17" customWidth="1"/>
    <col min="3" max="3" width="14.375" style="17" bestFit="1" customWidth="1"/>
    <col min="4" max="7" width="11" style="8"/>
    <col min="8" max="16384" width="11" style="17"/>
  </cols>
  <sheetData>
    <row r="1" spans="1:7" ht="12.75" customHeight="1" x14ac:dyDescent="0.2">
      <c r="A1" s="63" t="s">
        <v>244</v>
      </c>
      <c r="B1" s="63"/>
      <c r="C1" s="63"/>
    </row>
    <row r="2" spans="1:7" x14ac:dyDescent="0.2">
      <c r="A2" s="63"/>
      <c r="B2" s="63"/>
      <c r="C2" s="63"/>
    </row>
    <row r="3" spans="1:7" s="18" customFormat="1" x14ac:dyDescent="0.2">
      <c r="D3" s="8"/>
      <c r="E3" s="8"/>
      <c r="F3" s="8"/>
      <c r="G3" s="8"/>
    </row>
    <row r="4" spans="1:7" x14ac:dyDescent="0.2">
      <c r="A4" s="19"/>
      <c r="B4" s="65" t="s">
        <v>219</v>
      </c>
      <c r="C4" s="65"/>
    </row>
    <row r="5" spans="1:7" x14ac:dyDescent="0.2">
      <c r="A5" s="17" t="s">
        <v>465</v>
      </c>
      <c r="B5" s="20" t="s">
        <v>10</v>
      </c>
      <c r="C5" s="20" t="s">
        <v>12</v>
      </c>
    </row>
    <row r="6" spans="1:7" x14ac:dyDescent="0.2">
      <c r="A6" s="21"/>
      <c r="B6" s="22" t="s">
        <v>15</v>
      </c>
      <c r="C6" s="22" t="s">
        <v>14</v>
      </c>
    </row>
    <row r="8" spans="1:7" s="18" customFormat="1" x14ac:dyDescent="0.2">
      <c r="A8" s="23" t="s">
        <v>0</v>
      </c>
      <c r="B8" s="24">
        <v>13206825658</v>
      </c>
      <c r="C8" s="24">
        <v>29734481208</v>
      </c>
      <c r="D8" s="8"/>
      <c r="E8" s="8"/>
      <c r="F8" s="8"/>
      <c r="G8" s="8"/>
    </row>
    <row r="9" spans="1:7" x14ac:dyDescent="0.2">
      <c r="A9" s="25" t="s">
        <v>1</v>
      </c>
      <c r="B9" s="26" t="s">
        <v>466</v>
      </c>
      <c r="C9" s="26" t="s">
        <v>466</v>
      </c>
    </row>
    <row r="10" spans="1:7" x14ac:dyDescent="0.2">
      <c r="A10" s="25" t="s">
        <v>2</v>
      </c>
      <c r="B10" s="26">
        <v>1560117758</v>
      </c>
      <c r="C10" s="26">
        <v>4275619294</v>
      </c>
      <c r="D10" s="70">
        <f>+B10/$B$8</f>
        <v>0.11812965495269961</v>
      </c>
      <c r="F10" s="8" t="str" cm="1">
        <f t="array" ref="F10:F153">+_xlfn.UNIQUE(A10:A155)</f>
        <v xml:space="preserve">   AFRICA</v>
      </c>
      <c r="G10" s="70">
        <f>+SUMIF(A10:A155,F10,D10:D155)</f>
        <v>0.11812965495269961</v>
      </c>
    </row>
    <row r="11" spans="1:7" x14ac:dyDescent="0.2">
      <c r="A11" s="25" t="s">
        <v>288</v>
      </c>
      <c r="B11" s="26">
        <v>205106</v>
      </c>
      <c r="C11" s="26">
        <v>106912</v>
      </c>
      <c r="D11" s="70">
        <f t="shared" ref="D11:D74" si="0">+B11/$B$8</f>
        <v>1.553030268675937E-5</v>
      </c>
      <c r="F11" s="8" t="str">
        <v>Burkina Faso</v>
      </c>
      <c r="G11" s="70">
        <f t="shared" ref="G11:G74" si="1">+SUMIF(A11:A156,F11,D11:D156)</f>
        <v>1.553030268675937E-5</v>
      </c>
    </row>
    <row r="12" spans="1:7" x14ac:dyDescent="0.2">
      <c r="A12" s="25" t="s">
        <v>265</v>
      </c>
      <c r="B12" s="26">
        <v>555954051</v>
      </c>
      <c r="C12" s="26">
        <v>1551384496</v>
      </c>
      <c r="D12" s="70">
        <f t="shared" si="0"/>
        <v>4.2095963511355382E-2</v>
      </c>
      <c r="F12" s="8" t="str">
        <v>Argelia</v>
      </c>
      <c r="G12" s="70">
        <f t="shared" si="1"/>
        <v>4.2095963511355382E-2</v>
      </c>
    </row>
    <row r="13" spans="1:7" x14ac:dyDescent="0.2">
      <c r="A13" s="25" t="s">
        <v>289</v>
      </c>
      <c r="B13" s="26">
        <v>2243</v>
      </c>
      <c r="C13" s="26">
        <v>6776</v>
      </c>
      <c r="D13" s="70">
        <f t="shared" si="0"/>
        <v>1.6983642080875873E-7</v>
      </c>
      <c r="F13" s="8" t="str">
        <v>Burundi</v>
      </c>
      <c r="G13" s="70">
        <f t="shared" si="1"/>
        <v>1.6983642080875873E-7</v>
      </c>
    </row>
    <row r="14" spans="1:7" x14ac:dyDescent="0.2">
      <c r="A14" s="25" t="s">
        <v>292</v>
      </c>
      <c r="B14" s="26">
        <v>14934902</v>
      </c>
      <c r="C14" s="26">
        <v>40476596</v>
      </c>
      <c r="D14" s="70">
        <f t="shared" si="0"/>
        <v>1.1308472139142098E-3</v>
      </c>
      <c r="F14" s="8" t="str">
        <v>Camerún</v>
      </c>
      <c r="G14" s="70">
        <f t="shared" si="1"/>
        <v>1.1308472139142098E-3</v>
      </c>
    </row>
    <row r="15" spans="1:7" x14ac:dyDescent="0.2">
      <c r="A15" s="25" t="s">
        <v>301</v>
      </c>
      <c r="B15" s="26">
        <v>3474628</v>
      </c>
      <c r="C15" s="26">
        <v>9539609</v>
      </c>
      <c r="D15" s="70">
        <f t="shared" si="0"/>
        <v>2.6309334960405517E-4</v>
      </c>
      <c r="F15" s="8" t="str">
        <v>Congo</v>
      </c>
      <c r="G15" s="70">
        <f t="shared" si="1"/>
        <v>2.6309334960405517E-4</v>
      </c>
    </row>
    <row r="16" spans="1:7" x14ac:dyDescent="0.2">
      <c r="A16" s="25" t="s">
        <v>300</v>
      </c>
      <c r="B16" s="26">
        <v>1018883</v>
      </c>
      <c r="C16" s="26">
        <v>1223506</v>
      </c>
      <c r="D16" s="70">
        <f t="shared" si="0"/>
        <v>7.7148213081984187E-5</v>
      </c>
      <c r="F16" s="8" t="str">
        <v>Rep. Democrática del Congo (ex Zaire)</v>
      </c>
      <c r="G16" s="70">
        <f t="shared" si="1"/>
        <v>7.7148213081984187E-5</v>
      </c>
    </row>
    <row r="17" spans="1:7" x14ac:dyDescent="0.2">
      <c r="A17" s="25" t="s">
        <v>303</v>
      </c>
      <c r="B17" s="26">
        <v>9667983</v>
      </c>
      <c r="C17" s="26">
        <v>25734840</v>
      </c>
      <c r="D17" s="70">
        <f t="shared" si="0"/>
        <v>7.3204441781539269E-4</v>
      </c>
      <c r="F17" s="8" t="str">
        <v>Costa de Marfil</v>
      </c>
      <c r="G17" s="70">
        <f t="shared" si="1"/>
        <v>7.3204441781539269E-4</v>
      </c>
    </row>
    <row r="18" spans="1:7" x14ac:dyDescent="0.2">
      <c r="A18" s="25" t="s">
        <v>295</v>
      </c>
      <c r="B18" s="26">
        <v>145920</v>
      </c>
      <c r="C18" s="26">
        <v>45600</v>
      </c>
      <c r="D18" s="70">
        <f t="shared" si="0"/>
        <v>1.1048832155333961E-5</v>
      </c>
      <c r="F18" s="8" t="str">
        <v>Chad</v>
      </c>
      <c r="G18" s="70">
        <f t="shared" si="1"/>
        <v>1.1048832155333961E-5</v>
      </c>
    </row>
    <row r="19" spans="1:7" x14ac:dyDescent="0.2">
      <c r="A19" s="25" t="s">
        <v>281</v>
      </c>
      <c r="B19" s="26">
        <v>152634</v>
      </c>
      <c r="C19" s="26">
        <v>220665</v>
      </c>
      <c r="D19" s="70">
        <f t="shared" si="0"/>
        <v>1.155720564142848E-5</v>
      </c>
      <c r="F19" s="8" t="str">
        <v>Benin</v>
      </c>
      <c r="G19" s="70">
        <f t="shared" si="1"/>
        <v>1.155720564142848E-5</v>
      </c>
    </row>
    <row r="20" spans="1:7" x14ac:dyDescent="0.2">
      <c r="A20" s="25" t="s">
        <v>313</v>
      </c>
      <c r="B20" s="26">
        <v>433722377</v>
      </c>
      <c r="C20" s="26">
        <v>1175075228</v>
      </c>
      <c r="D20" s="70">
        <f t="shared" si="0"/>
        <v>3.2840774023337987E-2</v>
      </c>
      <c r="F20" s="8" t="str">
        <v>Egipto</v>
      </c>
      <c r="G20" s="70">
        <f t="shared" si="1"/>
        <v>3.2840774023337987E-2</v>
      </c>
    </row>
    <row r="21" spans="1:7" x14ac:dyDescent="0.2">
      <c r="A21" s="25" t="s">
        <v>321</v>
      </c>
      <c r="B21" s="26">
        <v>233324</v>
      </c>
      <c r="C21" s="26">
        <v>222649</v>
      </c>
      <c r="D21" s="70">
        <f t="shared" si="0"/>
        <v>1.7666925122060999E-5</v>
      </c>
      <c r="F21" s="8" t="str">
        <v>Gabón</v>
      </c>
      <c r="G21" s="70">
        <f t="shared" si="1"/>
        <v>1.7666925122060999E-5</v>
      </c>
    </row>
    <row r="22" spans="1:7" x14ac:dyDescent="0.2">
      <c r="A22" s="25" t="s">
        <v>322</v>
      </c>
      <c r="B22" s="26">
        <v>45310</v>
      </c>
      <c r="C22" s="26">
        <v>119800</v>
      </c>
      <c r="D22" s="70">
        <f t="shared" si="0"/>
        <v>3.4308017061278904E-6</v>
      </c>
      <c r="F22" s="8" t="str">
        <v>Gambia</v>
      </c>
      <c r="G22" s="70">
        <f t="shared" si="1"/>
        <v>3.4308017061278904E-6</v>
      </c>
    </row>
    <row r="23" spans="1:7" x14ac:dyDescent="0.2">
      <c r="A23" s="25" t="s">
        <v>325</v>
      </c>
      <c r="B23" s="26">
        <v>3162178</v>
      </c>
      <c r="C23" s="26">
        <v>9596171</v>
      </c>
      <c r="D23" s="70">
        <f t="shared" si="0"/>
        <v>2.3943512861355286E-4</v>
      </c>
      <c r="F23" s="8" t="str">
        <v>Ghana</v>
      </c>
      <c r="G23" s="70">
        <f t="shared" si="1"/>
        <v>2.3943512861355286E-4</v>
      </c>
    </row>
    <row r="24" spans="1:7" x14ac:dyDescent="0.2">
      <c r="A24" s="25" t="s">
        <v>329</v>
      </c>
      <c r="B24" s="26">
        <v>26103</v>
      </c>
      <c r="C24" s="26">
        <v>64108</v>
      </c>
      <c r="D24" s="70">
        <f t="shared" si="0"/>
        <v>1.9764779725238651E-6</v>
      </c>
      <c r="F24" s="8" t="str">
        <v>Guinea</v>
      </c>
      <c r="G24" s="70">
        <f t="shared" si="1"/>
        <v>1.9764779725238651E-6</v>
      </c>
    </row>
    <row r="25" spans="1:7" x14ac:dyDescent="0.2">
      <c r="A25" s="25" t="s">
        <v>330</v>
      </c>
      <c r="B25" s="26" t="s">
        <v>30</v>
      </c>
      <c r="C25" s="26" t="s">
        <v>30</v>
      </c>
      <c r="D25" s="70" t="e">
        <f t="shared" si="0"/>
        <v>#VALUE!</v>
      </c>
      <c r="F25" s="8" t="str">
        <v>Guinea Ecuatorial</v>
      </c>
      <c r="G25" s="70" t="e">
        <f t="shared" si="1"/>
        <v>#VALUE!</v>
      </c>
    </row>
    <row r="26" spans="1:7" x14ac:dyDescent="0.2">
      <c r="A26" s="25" t="s">
        <v>349</v>
      </c>
      <c r="B26" s="26">
        <v>1779286</v>
      </c>
      <c r="C26" s="26">
        <v>5952987</v>
      </c>
      <c r="D26" s="70">
        <f t="shared" si="0"/>
        <v>1.3472472841512845E-4</v>
      </c>
      <c r="F26" s="8" t="str">
        <v>Kenya</v>
      </c>
      <c r="G26" s="70">
        <f t="shared" si="1"/>
        <v>1.3472472841512845E-4</v>
      </c>
    </row>
    <row r="27" spans="1:7" x14ac:dyDescent="0.2">
      <c r="A27" s="25" t="s">
        <v>355</v>
      </c>
      <c r="B27" s="26">
        <v>64764</v>
      </c>
      <c r="C27" s="26">
        <v>158419</v>
      </c>
      <c r="D27" s="70">
        <f t="shared" si="0"/>
        <v>4.9038278899948514E-6</v>
      </c>
      <c r="F27" s="8" t="str">
        <v>Liberia</v>
      </c>
      <c r="G27" s="70">
        <f t="shared" si="1"/>
        <v>4.9038278899948514E-6</v>
      </c>
    </row>
    <row r="28" spans="1:7" x14ac:dyDescent="0.2">
      <c r="A28" s="25" t="s">
        <v>356</v>
      </c>
      <c r="B28" s="26">
        <v>46926291</v>
      </c>
      <c r="C28" s="26">
        <v>127295746</v>
      </c>
      <c r="D28" s="70">
        <f t="shared" si="0"/>
        <v>3.5531847103300348E-3</v>
      </c>
      <c r="F28" s="8" t="str">
        <v>Libia</v>
      </c>
      <c r="G28" s="70">
        <f t="shared" si="1"/>
        <v>3.5531847103300348E-3</v>
      </c>
    </row>
    <row r="29" spans="1:7" x14ac:dyDescent="0.2">
      <c r="A29" s="25" t="s">
        <v>360</v>
      </c>
      <c r="B29" s="26">
        <v>7404349</v>
      </c>
      <c r="C29" s="26">
        <v>12622365</v>
      </c>
      <c r="D29" s="70">
        <f t="shared" si="0"/>
        <v>5.6064562308466874E-4</v>
      </c>
      <c r="F29" s="8" t="str">
        <v>Madagascar</v>
      </c>
      <c r="G29" s="70">
        <f t="shared" si="1"/>
        <v>5.6064562308466874E-4</v>
      </c>
    </row>
    <row r="30" spans="1:7" x14ac:dyDescent="0.2">
      <c r="A30" s="25" t="s">
        <v>364</v>
      </c>
      <c r="B30" s="26">
        <v>66177</v>
      </c>
      <c r="C30" s="26">
        <v>78840</v>
      </c>
      <c r="D30" s="70">
        <f t="shared" si="0"/>
        <v>5.0108180204463788E-6</v>
      </c>
      <c r="F30" s="8" t="str">
        <v>Mali</v>
      </c>
      <c r="G30" s="70">
        <f t="shared" si="1"/>
        <v>5.0108180204463788E-6</v>
      </c>
    </row>
    <row r="31" spans="1:7" x14ac:dyDescent="0.2">
      <c r="A31" s="25" t="s">
        <v>372</v>
      </c>
      <c r="B31" s="26">
        <v>110438927</v>
      </c>
      <c r="C31" s="26">
        <v>397023911</v>
      </c>
      <c r="D31" s="70">
        <f t="shared" si="0"/>
        <v>8.3622612927506858E-3</v>
      </c>
      <c r="F31" s="8" t="str">
        <v>Marruecos</v>
      </c>
      <c r="G31" s="70">
        <f t="shared" si="1"/>
        <v>8.3622612927506858E-3</v>
      </c>
    </row>
    <row r="32" spans="1:7" x14ac:dyDescent="0.2">
      <c r="A32" s="25" t="s">
        <v>367</v>
      </c>
      <c r="B32" s="26">
        <v>20275553</v>
      </c>
      <c r="C32" s="26">
        <v>53062925</v>
      </c>
      <c r="D32" s="70">
        <f t="shared" si="0"/>
        <v>1.5352328807125683E-3</v>
      </c>
      <c r="F32" s="8" t="str">
        <v>Mauricio</v>
      </c>
      <c r="G32" s="70">
        <f t="shared" si="1"/>
        <v>1.5352328807125683E-3</v>
      </c>
    </row>
    <row r="33" spans="1:7" x14ac:dyDescent="0.2">
      <c r="A33" s="25" t="s">
        <v>366</v>
      </c>
      <c r="B33" s="26">
        <v>71305</v>
      </c>
      <c r="C33" s="26">
        <v>31090</v>
      </c>
      <c r="D33" s="70">
        <f t="shared" si="0"/>
        <v>5.3991020890631039E-6</v>
      </c>
      <c r="F33" s="8" t="str">
        <v>Mauritania</v>
      </c>
      <c r="G33" s="70">
        <f t="shared" si="1"/>
        <v>5.3991020890631039E-6</v>
      </c>
    </row>
    <row r="34" spans="1:7" x14ac:dyDescent="0.2">
      <c r="A34" s="25" t="s">
        <v>381</v>
      </c>
      <c r="B34" s="26">
        <v>9619189</v>
      </c>
      <c r="C34" s="26">
        <v>2976123</v>
      </c>
      <c r="D34" s="70">
        <f t="shared" si="0"/>
        <v>7.2834981312660868E-4</v>
      </c>
      <c r="F34" s="8" t="str">
        <v>Níger</v>
      </c>
      <c r="G34" s="70">
        <f t="shared" si="1"/>
        <v>7.2834981312660868E-4</v>
      </c>
    </row>
    <row r="35" spans="1:7" x14ac:dyDescent="0.2">
      <c r="A35" s="25" t="s">
        <v>382</v>
      </c>
      <c r="B35" s="26">
        <v>53087677</v>
      </c>
      <c r="C35" s="26">
        <v>142749679</v>
      </c>
      <c r="D35" s="70">
        <f t="shared" si="0"/>
        <v>4.0197151363047089E-3</v>
      </c>
      <c r="F35" s="8" t="str">
        <v>Nigeria</v>
      </c>
      <c r="G35" s="70">
        <f t="shared" si="1"/>
        <v>4.0197151363047089E-3</v>
      </c>
    </row>
    <row r="36" spans="1:7" x14ac:dyDescent="0.2">
      <c r="A36" s="25" t="s">
        <v>439</v>
      </c>
      <c r="B36" s="26">
        <v>3270</v>
      </c>
      <c r="C36" s="26">
        <v>120</v>
      </c>
      <c r="D36" s="70">
        <f t="shared" si="0"/>
        <v>2.4759924032306781E-7</v>
      </c>
      <c r="F36" s="8" t="str">
        <v>Zimbabwe</v>
      </c>
      <c r="G36" s="70">
        <f t="shared" si="1"/>
        <v>2.4759924032306781E-7</v>
      </c>
    </row>
    <row r="37" spans="1:7" x14ac:dyDescent="0.2">
      <c r="A37" s="25" t="s">
        <v>398</v>
      </c>
      <c r="B37" s="26" t="s">
        <v>30</v>
      </c>
      <c r="C37" s="26" t="s">
        <v>30</v>
      </c>
      <c r="D37" s="70" t="e">
        <f t="shared" si="0"/>
        <v>#VALUE!</v>
      </c>
      <c r="F37" s="8" t="str">
        <v>Rwanda</v>
      </c>
      <c r="G37" s="70" t="e">
        <f t="shared" si="1"/>
        <v>#VALUE!</v>
      </c>
    </row>
    <row r="38" spans="1:7" x14ac:dyDescent="0.2">
      <c r="A38" s="25" t="s">
        <v>401</v>
      </c>
      <c r="B38" s="26">
        <v>14879187</v>
      </c>
      <c r="C38" s="26">
        <v>50132300</v>
      </c>
      <c r="D38" s="70">
        <f t="shared" si="0"/>
        <v>1.1266285620259529E-3</v>
      </c>
      <c r="F38" s="8" t="str">
        <v>Senegal</v>
      </c>
      <c r="G38" s="70">
        <f t="shared" si="1"/>
        <v>1.1266285620259529E-3</v>
      </c>
    </row>
    <row r="39" spans="1:7" x14ac:dyDescent="0.2">
      <c r="A39" s="25" t="s">
        <v>404</v>
      </c>
      <c r="B39" s="26">
        <v>35181</v>
      </c>
      <c r="C39" s="26">
        <v>91078</v>
      </c>
      <c r="D39" s="70">
        <f t="shared" si="0"/>
        <v>2.6638498085033176E-6</v>
      </c>
      <c r="F39" s="8" t="str">
        <v>Sierra Leona</v>
      </c>
      <c r="G39" s="70">
        <f t="shared" si="1"/>
        <v>2.6638498085033176E-6</v>
      </c>
    </row>
    <row r="40" spans="1:7" x14ac:dyDescent="0.2">
      <c r="A40" s="25" t="s">
        <v>422</v>
      </c>
      <c r="B40" s="26">
        <v>10297</v>
      </c>
      <c r="C40" s="26">
        <v>29917</v>
      </c>
      <c r="D40" s="70">
        <f t="shared" si="0"/>
        <v>7.7967259254025352E-7</v>
      </c>
      <c r="F40" s="8" t="str">
        <v>Tanzania</v>
      </c>
      <c r="G40" s="70">
        <f t="shared" si="1"/>
        <v>7.7967259254025352E-7</v>
      </c>
    </row>
    <row r="41" spans="1:7" x14ac:dyDescent="0.2">
      <c r="A41" s="25" t="s">
        <v>424</v>
      </c>
      <c r="B41" s="26">
        <v>45429</v>
      </c>
      <c r="C41" s="26">
        <v>27736</v>
      </c>
      <c r="D41" s="70">
        <f t="shared" si="0"/>
        <v>3.4398121983598307E-6</v>
      </c>
      <c r="F41" s="8" t="str">
        <v>Togo</v>
      </c>
      <c r="G41" s="70">
        <f t="shared" si="1"/>
        <v>3.4398121983598307E-6</v>
      </c>
    </row>
    <row r="42" spans="1:7" x14ac:dyDescent="0.2">
      <c r="A42" s="25" t="s">
        <v>426</v>
      </c>
      <c r="B42" s="26">
        <v>4406479</v>
      </c>
      <c r="C42" s="26">
        <v>15120089</v>
      </c>
      <c r="D42" s="70">
        <f t="shared" si="0"/>
        <v>3.3365163697233991E-4</v>
      </c>
      <c r="F42" s="8" t="str">
        <v>Túnez</v>
      </c>
      <c r="G42" s="70">
        <f t="shared" si="1"/>
        <v>3.3365163697233991E-4</v>
      </c>
    </row>
    <row r="43" spans="1:7" x14ac:dyDescent="0.2">
      <c r="A43" s="25" t="s">
        <v>428</v>
      </c>
      <c r="B43" s="26">
        <v>392016</v>
      </c>
      <c r="C43" s="26">
        <v>1270502</v>
      </c>
      <c r="D43" s="70">
        <f t="shared" si="0"/>
        <v>2.9682832964675152E-5</v>
      </c>
      <c r="F43" s="8" t="str">
        <v>Uganda</v>
      </c>
      <c r="G43" s="70">
        <f t="shared" si="1"/>
        <v>2.9682832964675152E-5</v>
      </c>
    </row>
    <row r="44" spans="1:7" x14ac:dyDescent="0.2">
      <c r="A44" s="25" t="s">
        <v>438</v>
      </c>
      <c r="B44" s="26" t="s">
        <v>30</v>
      </c>
      <c r="C44" s="26" t="s">
        <v>30</v>
      </c>
      <c r="D44" s="70" t="e">
        <f t="shared" si="0"/>
        <v>#VALUE!</v>
      </c>
      <c r="F44" s="8" t="str">
        <v>Zambia</v>
      </c>
      <c r="G44" s="70" t="e">
        <f t="shared" si="1"/>
        <v>#VALUE!</v>
      </c>
    </row>
    <row r="45" spans="1:7" x14ac:dyDescent="0.2">
      <c r="A45" s="25" t="s">
        <v>66</v>
      </c>
      <c r="B45" s="26">
        <v>7570316</v>
      </c>
      <c r="C45" s="26">
        <v>24726000</v>
      </c>
      <c r="D45" s="70">
        <f t="shared" si="0"/>
        <v>5.7321238244818513E-4</v>
      </c>
      <c r="F45" s="8" t="str">
        <v>Territorios vinculados a Francia</v>
      </c>
      <c r="G45" s="70">
        <f t="shared" si="1"/>
        <v>5.7321238244818513E-4</v>
      </c>
    </row>
    <row r="46" spans="1:7" x14ac:dyDescent="0.2">
      <c r="A46" s="25" t="s">
        <v>267</v>
      </c>
      <c r="B46" s="26">
        <v>9854758</v>
      </c>
      <c r="C46" s="26">
        <v>10415395</v>
      </c>
      <c r="D46" s="70">
        <f t="shared" si="0"/>
        <v>7.4618672610632267E-4</v>
      </c>
      <c r="F46" s="8" t="str">
        <v>Angola</v>
      </c>
      <c r="G46" s="70">
        <f t="shared" si="1"/>
        <v>7.4618672610632267E-4</v>
      </c>
    </row>
    <row r="47" spans="1:7" x14ac:dyDescent="0.2">
      <c r="A47" s="25" t="s">
        <v>290</v>
      </c>
      <c r="B47" s="26">
        <v>510242</v>
      </c>
      <c r="C47" s="26">
        <v>2671150</v>
      </c>
      <c r="D47" s="70">
        <f t="shared" si="0"/>
        <v>3.8634719137896865E-5</v>
      </c>
      <c r="F47" s="8" t="str">
        <v>Cabo Verde</v>
      </c>
      <c r="G47" s="70">
        <f t="shared" si="1"/>
        <v>3.8634719137896865E-5</v>
      </c>
    </row>
    <row r="48" spans="1:7" x14ac:dyDescent="0.2">
      <c r="A48" s="25" t="s">
        <v>373</v>
      </c>
      <c r="B48" s="26">
        <v>25693166</v>
      </c>
      <c r="C48" s="26">
        <v>39485965</v>
      </c>
      <c r="D48" s="70">
        <f t="shared" si="0"/>
        <v>1.9454459887139066E-3</v>
      </c>
      <c r="F48" s="8" t="str">
        <v>Mozambique</v>
      </c>
      <c r="G48" s="70"/>
    </row>
    <row r="49" spans="1:7" x14ac:dyDescent="0.2">
      <c r="A49" s="25" t="s">
        <v>309</v>
      </c>
      <c r="B49" s="26">
        <v>5259</v>
      </c>
      <c r="C49" s="26">
        <v>13551</v>
      </c>
      <c r="D49" s="70">
        <f t="shared" si="0"/>
        <v>3.9820318191407143E-7</v>
      </c>
      <c r="F49" s="8" t="str">
        <v>Djibouti</v>
      </c>
      <c r="G49" s="70">
        <f t="shared" si="1"/>
        <v>3.9820318191407143E-7</v>
      </c>
    </row>
    <row r="50" spans="1:7" x14ac:dyDescent="0.2">
      <c r="A50" s="25" t="s">
        <v>409</v>
      </c>
      <c r="B50" s="26">
        <v>220781812</v>
      </c>
      <c r="C50" s="26">
        <v>574251995</v>
      </c>
      <c r="D50" s="70">
        <f t="shared" si="0"/>
        <v>1.6717250436804394E-2</v>
      </c>
      <c r="F50" s="8" t="str">
        <v>Sudáfrica</v>
      </c>
      <c r="G50" s="70">
        <f t="shared" si="1"/>
        <v>1.6717250436804394E-2</v>
      </c>
    </row>
    <row r="51" spans="1:7" x14ac:dyDescent="0.2">
      <c r="A51" s="25" t="s">
        <v>315</v>
      </c>
      <c r="B51" s="26">
        <v>3007</v>
      </c>
      <c r="C51" s="26">
        <v>6723</v>
      </c>
      <c r="D51" s="70">
        <f t="shared" si="0"/>
        <v>2.2768529530625837E-7</v>
      </c>
      <c r="F51" s="8" t="str">
        <v>Eritrea</v>
      </c>
      <c r="G51" s="70">
        <f t="shared" si="1"/>
        <v>2.2768529530625837E-7</v>
      </c>
    </row>
    <row r="52" spans="1:7" x14ac:dyDescent="0.2">
      <c r="A52" s="25" t="s">
        <v>317</v>
      </c>
      <c r="B52" s="26">
        <v>104775</v>
      </c>
      <c r="C52" s="26">
        <v>289983</v>
      </c>
      <c r="D52" s="70">
        <f t="shared" si="0"/>
        <v>7.9333976773239851E-6</v>
      </c>
      <c r="F52" s="8" t="str">
        <v>Etiopía</v>
      </c>
      <c r="G52" s="70">
        <f t="shared" si="1"/>
        <v>7.9333976773239851E-6</v>
      </c>
    </row>
    <row r="53" spans="1:7" x14ac:dyDescent="0.2">
      <c r="A53" s="25" t="s">
        <v>416</v>
      </c>
      <c r="B53" s="26">
        <v>3340694</v>
      </c>
      <c r="C53" s="26">
        <v>1310973</v>
      </c>
      <c r="D53" s="70">
        <f t="shared" si="0"/>
        <v>2.529520784562173E-4</v>
      </c>
      <c r="F53" s="8" t="str">
        <v>Sudán</v>
      </c>
      <c r="G53" s="70">
        <f t="shared" si="1"/>
        <v>2.529520784562173E-4</v>
      </c>
    </row>
    <row r="54" spans="1:7" x14ac:dyDescent="0.2">
      <c r="A54" s="25" t="s">
        <v>467</v>
      </c>
      <c r="B54" s="26">
        <v>2710</v>
      </c>
      <c r="C54" s="26">
        <v>6776</v>
      </c>
      <c r="D54" s="70">
        <f t="shared" si="0"/>
        <v>2.0519692393746596E-7</v>
      </c>
      <c r="F54" s="8" t="str">
        <v>Sudán del Sur</v>
      </c>
      <c r="G54" s="70">
        <f t="shared" si="1"/>
        <v>2.0519692393746596E-7</v>
      </c>
    </row>
    <row r="55" spans="1:7" x14ac:dyDescent="0.2">
      <c r="A55" s="25" t="s">
        <v>1</v>
      </c>
      <c r="B55" s="26" t="s">
        <v>466</v>
      </c>
      <c r="C55" s="26" t="s">
        <v>466</v>
      </c>
      <c r="D55" s="70" t="e">
        <f t="shared" si="0"/>
        <v>#VALUE!</v>
      </c>
      <c r="F55" s="8" t="str">
        <v xml:space="preserve">   </v>
      </c>
      <c r="G55" s="70" t="e">
        <f t="shared" si="1"/>
        <v>#VALUE!</v>
      </c>
    </row>
    <row r="56" spans="1:7" x14ac:dyDescent="0.2">
      <c r="A56" s="25" t="s">
        <v>3</v>
      </c>
      <c r="B56" s="26">
        <v>2862821621</v>
      </c>
      <c r="C56" s="26">
        <v>3862976778</v>
      </c>
      <c r="D56" s="70">
        <f t="shared" si="0"/>
        <v>0.2167683359449705</v>
      </c>
      <c r="F56" s="8" t="str">
        <v xml:space="preserve">   AMERICA</v>
      </c>
      <c r="G56" s="70">
        <f t="shared" si="1"/>
        <v>0.2167683359449705</v>
      </c>
    </row>
    <row r="57" spans="1:7" x14ac:dyDescent="0.2">
      <c r="A57" s="25" t="s">
        <v>277</v>
      </c>
      <c r="B57" s="26">
        <v>22221</v>
      </c>
      <c r="C57" s="26">
        <v>24154</v>
      </c>
      <c r="D57" s="70">
        <f t="shared" si="0"/>
        <v>1.6825390578651039E-6</v>
      </c>
      <c r="F57" s="8" t="str">
        <v>Barbados</v>
      </c>
      <c r="G57" s="70">
        <f t="shared" si="1"/>
        <v>1.6825390578651039E-6</v>
      </c>
    </row>
    <row r="58" spans="1:7" x14ac:dyDescent="0.2">
      <c r="A58" s="25" t="s">
        <v>282</v>
      </c>
      <c r="B58" s="26">
        <v>74199520</v>
      </c>
      <c r="C58" s="26">
        <v>55474590</v>
      </c>
      <c r="D58" s="70">
        <f t="shared" si="0"/>
        <v>5.6182705762496251E-3</v>
      </c>
      <c r="F58" s="8" t="str">
        <v>Bolivia</v>
      </c>
      <c r="G58" s="70">
        <f t="shared" si="1"/>
        <v>5.6182705762496251E-3</v>
      </c>
    </row>
    <row r="59" spans="1:7" x14ac:dyDescent="0.2">
      <c r="A59" s="25" t="s">
        <v>285</v>
      </c>
      <c r="B59" s="26">
        <v>786462369</v>
      </c>
      <c r="C59" s="26">
        <v>919819531</v>
      </c>
      <c r="D59" s="70">
        <f t="shared" si="0"/>
        <v>5.9549689635192728E-2</v>
      </c>
      <c r="F59" s="8" t="str">
        <v>Brasil</v>
      </c>
      <c r="G59" s="70">
        <f t="shared" si="1"/>
        <v>5.9549689635192728E-2</v>
      </c>
    </row>
    <row r="60" spans="1:7" x14ac:dyDescent="0.2">
      <c r="A60" s="25" t="s">
        <v>293</v>
      </c>
      <c r="B60" s="26">
        <v>1907003</v>
      </c>
      <c r="C60" s="26">
        <v>1514833</v>
      </c>
      <c r="D60" s="70">
        <f t="shared" si="0"/>
        <v>1.44395258132664E-4</v>
      </c>
      <c r="F60" s="8" t="str">
        <v>Canadá</v>
      </c>
      <c r="G60" s="70">
        <f t="shared" si="1"/>
        <v>1.44395258132664E-4</v>
      </c>
    </row>
    <row r="61" spans="1:7" x14ac:dyDescent="0.2">
      <c r="A61" s="25" t="s">
        <v>298</v>
      </c>
      <c r="B61" s="26">
        <v>23885275</v>
      </c>
      <c r="C61" s="26">
        <v>33516058</v>
      </c>
      <c r="D61" s="70">
        <f t="shared" si="0"/>
        <v>1.8085553348341171E-3</v>
      </c>
      <c r="F61" s="8" t="str">
        <v>Colombia</v>
      </c>
      <c r="G61" s="70">
        <f t="shared" si="1"/>
        <v>1.8085553348341171E-3</v>
      </c>
    </row>
    <row r="62" spans="1:7" x14ac:dyDescent="0.2">
      <c r="A62" s="25" t="s">
        <v>302</v>
      </c>
      <c r="B62" s="26">
        <v>2545114</v>
      </c>
      <c r="C62" s="26">
        <v>2532717</v>
      </c>
      <c r="D62" s="70">
        <f t="shared" si="0"/>
        <v>1.9271201618825822E-4</v>
      </c>
      <c r="F62" s="8" t="str">
        <v>Costa Rica</v>
      </c>
      <c r="G62" s="70">
        <f t="shared" si="1"/>
        <v>1.9271201618825822E-4</v>
      </c>
    </row>
    <row r="63" spans="1:7" x14ac:dyDescent="0.2">
      <c r="A63" s="25" t="s">
        <v>442</v>
      </c>
      <c r="B63" s="26">
        <v>51344936</v>
      </c>
      <c r="C63" s="26">
        <v>172215599</v>
      </c>
      <c r="D63" s="70">
        <f t="shared" si="0"/>
        <v>3.8877575376258518E-3</v>
      </c>
      <c r="F63" s="8" t="str">
        <v>Cuba</v>
      </c>
      <c r="G63" s="70">
        <f t="shared" si="1"/>
        <v>3.8877575376258518E-3</v>
      </c>
    </row>
    <row r="64" spans="1:7" x14ac:dyDescent="0.2">
      <c r="A64" s="25" t="s">
        <v>296</v>
      </c>
      <c r="B64" s="26">
        <v>283600544</v>
      </c>
      <c r="C64" s="26">
        <v>446644178</v>
      </c>
      <c r="D64" s="70">
        <f t="shared" si="0"/>
        <v>2.1473785703244271E-2</v>
      </c>
      <c r="F64" s="8" t="str">
        <v>Chile</v>
      </c>
      <c r="G64" s="70">
        <f t="shared" si="1"/>
        <v>2.1473785703244271E-2</v>
      </c>
    </row>
    <row r="65" spans="1:7" x14ac:dyDescent="0.2">
      <c r="A65" s="25" t="s">
        <v>311</v>
      </c>
      <c r="B65" s="26">
        <v>34769326</v>
      </c>
      <c r="C65" s="26">
        <v>59013620</v>
      </c>
      <c r="D65" s="70">
        <f t="shared" si="0"/>
        <v>2.6326785027966635E-3</v>
      </c>
      <c r="F65" s="8" t="str">
        <v>República Dominicana</v>
      </c>
      <c r="G65" s="70">
        <f t="shared" si="1"/>
        <v>2.6326785027966635E-3</v>
      </c>
    </row>
    <row r="66" spans="1:7" x14ac:dyDescent="0.2">
      <c r="A66" s="25" t="s">
        <v>312</v>
      </c>
      <c r="B66" s="26">
        <v>42729460</v>
      </c>
      <c r="C66" s="26">
        <v>103474008</v>
      </c>
      <c r="D66" s="70">
        <f t="shared" si="0"/>
        <v>3.2354072891177103E-3</v>
      </c>
      <c r="F66" s="8" t="str">
        <v>Ecuador</v>
      </c>
      <c r="G66" s="70">
        <f t="shared" si="1"/>
        <v>3.2354072891177103E-3</v>
      </c>
    </row>
    <row r="67" spans="1:7" x14ac:dyDescent="0.2">
      <c r="A67" s="25" t="s">
        <v>314</v>
      </c>
      <c r="B67" s="26">
        <v>1715321</v>
      </c>
      <c r="C67" s="26">
        <v>2046456</v>
      </c>
      <c r="D67" s="70">
        <f t="shared" si="0"/>
        <v>1.298813995444052E-4</v>
      </c>
      <c r="F67" s="8" t="str">
        <v>El Salvador</v>
      </c>
      <c r="G67" s="70">
        <f t="shared" si="1"/>
        <v>1.298813995444052E-4</v>
      </c>
    </row>
    <row r="68" spans="1:7" x14ac:dyDescent="0.2">
      <c r="A68" s="25" t="s">
        <v>432</v>
      </c>
      <c r="B68" s="26">
        <v>408814614</v>
      </c>
      <c r="C68" s="26">
        <v>506895943</v>
      </c>
      <c r="D68" s="70">
        <f t="shared" si="0"/>
        <v>3.0954797510510151E-2</v>
      </c>
      <c r="F68" s="8" t="str">
        <v>Estados Unidos</v>
      </c>
      <c r="G68" s="70">
        <f t="shared" si="1"/>
        <v>3.0954797510510151E-2</v>
      </c>
    </row>
    <row r="69" spans="1:7" x14ac:dyDescent="0.2">
      <c r="A69" s="25" t="s">
        <v>328</v>
      </c>
      <c r="B69" s="26">
        <v>14034405</v>
      </c>
      <c r="C69" s="26">
        <v>20108170</v>
      </c>
      <c r="D69" s="70">
        <f t="shared" si="0"/>
        <v>1.0626630019529861E-3</v>
      </c>
      <c r="F69" s="8" t="str">
        <v>Guatemala</v>
      </c>
      <c r="G69" s="70">
        <f t="shared" si="1"/>
        <v>1.0626630019529861E-3</v>
      </c>
    </row>
    <row r="70" spans="1:7" x14ac:dyDescent="0.2">
      <c r="A70" s="25" t="s">
        <v>332</v>
      </c>
      <c r="B70" s="26">
        <v>292021</v>
      </c>
      <c r="C70" s="26">
        <v>246343</v>
      </c>
      <c r="D70" s="70">
        <f t="shared" si="0"/>
        <v>2.2111369345071124E-5</v>
      </c>
      <c r="F70" s="8" t="str">
        <v>Guyana</v>
      </c>
      <c r="G70" s="70">
        <f t="shared" si="1"/>
        <v>2.2111369345071124E-5</v>
      </c>
    </row>
    <row r="71" spans="1:7" x14ac:dyDescent="0.2">
      <c r="A71" s="25" t="s">
        <v>333</v>
      </c>
      <c r="B71" s="26">
        <v>319489</v>
      </c>
      <c r="C71" s="26">
        <v>425710</v>
      </c>
      <c r="D71" s="70">
        <f t="shared" si="0"/>
        <v>2.4191202963784894E-5</v>
      </c>
      <c r="F71" s="8" t="str">
        <v>Haití</v>
      </c>
      <c r="G71" s="70">
        <f t="shared" si="1"/>
        <v>2.4191202963784894E-5</v>
      </c>
    </row>
    <row r="72" spans="1:7" x14ac:dyDescent="0.2">
      <c r="A72" s="25" t="s">
        <v>334</v>
      </c>
      <c r="B72" s="26">
        <v>812489</v>
      </c>
      <c r="C72" s="26">
        <v>560744</v>
      </c>
      <c r="D72" s="70">
        <f t="shared" si="0"/>
        <v>6.1520385067537935E-5</v>
      </c>
      <c r="F72" s="8" t="str">
        <v>Honduras</v>
      </c>
      <c r="G72" s="70">
        <f t="shared" si="1"/>
        <v>6.1520385067537935E-5</v>
      </c>
    </row>
    <row r="73" spans="1:7" x14ac:dyDescent="0.2">
      <c r="A73" s="25" t="s">
        <v>345</v>
      </c>
      <c r="B73" s="26">
        <v>806406</v>
      </c>
      <c r="C73" s="26">
        <v>300357</v>
      </c>
      <c r="D73" s="70">
        <f t="shared" si="0"/>
        <v>6.1059789905799325E-5</v>
      </c>
      <c r="F73" s="8" t="str">
        <v>Jamaica</v>
      </c>
      <c r="G73" s="70">
        <f t="shared" si="1"/>
        <v>6.1059789905799325E-5</v>
      </c>
    </row>
    <row r="74" spans="1:7" x14ac:dyDescent="0.2">
      <c r="A74" s="25" t="s">
        <v>368</v>
      </c>
      <c r="B74" s="26">
        <v>61960651</v>
      </c>
      <c r="C74" s="26">
        <v>21307549</v>
      </c>
      <c r="D74" s="70">
        <f t="shared" si="0"/>
        <v>4.6915627270711713E-3</v>
      </c>
      <c r="F74" s="8" t="str">
        <v>México</v>
      </c>
      <c r="G74" s="70">
        <f t="shared" si="1"/>
        <v>4.6915627270711713E-3</v>
      </c>
    </row>
    <row r="75" spans="1:7" x14ac:dyDescent="0.2">
      <c r="A75" s="25" t="s">
        <v>380</v>
      </c>
      <c r="B75" s="26">
        <v>10696188</v>
      </c>
      <c r="C75" s="26">
        <v>12366507</v>
      </c>
      <c r="D75" s="70">
        <f t="shared" ref="D75:D138" si="2">+B75/$B$8</f>
        <v>8.0989847802835288E-4</v>
      </c>
      <c r="F75" s="8" t="str">
        <v>Nicaragua</v>
      </c>
      <c r="G75" s="70">
        <f t="shared" ref="G75:G138" si="3">+SUMIF(A75:A220,F75,D75:D220)</f>
        <v>8.0989847802835288E-4</v>
      </c>
    </row>
    <row r="76" spans="1:7" x14ac:dyDescent="0.2">
      <c r="A76" s="25" t="s">
        <v>387</v>
      </c>
      <c r="B76" s="26">
        <v>12061440</v>
      </c>
      <c r="C76" s="26">
        <v>16766096</v>
      </c>
      <c r="D76" s="70">
        <f t="shared" si="2"/>
        <v>9.1327320526063079E-4</v>
      </c>
      <c r="F76" s="8" t="str">
        <v>Panamá</v>
      </c>
      <c r="G76" s="70">
        <f t="shared" si="3"/>
        <v>9.1327320526063079E-4</v>
      </c>
    </row>
    <row r="77" spans="1:7" x14ac:dyDescent="0.2">
      <c r="A77" s="25" t="s">
        <v>389</v>
      </c>
      <c r="B77" s="26">
        <v>146628074</v>
      </c>
      <c r="C77" s="26">
        <v>140857569</v>
      </c>
      <c r="D77" s="70">
        <f t="shared" si="2"/>
        <v>1.1102446401356138E-2</v>
      </c>
      <c r="F77" s="8" t="str">
        <v>Paraguay</v>
      </c>
      <c r="G77" s="70">
        <f t="shared" si="3"/>
        <v>1.1102446401356138E-2</v>
      </c>
    </row>
    <row r="78" spans="1:7" x14ac:dyDescent="0.2">
      <c r="A78" s="25" t="s">
        <v>390</v>
      </c>
      <c r="B78" s="26">
        <v>256741787</v>
      </c>
      <c r="C78" s="26">
        <v>417892776</v>
      </c>
      <c r="D78" s="70">
        <f t="shared" si="2"/>
        <v>1.9440083003176418E-2</v>
      </c>
      <c r="F78" s="8" t="str">
        <v>Perú</v>
      </c>
      <c r="G78" s="70">
        <f t="shared" si="3"/>
        <v>1.9440083003176418E-2</v>
      </c>
    </row>
    <row r="79" spans="1:7" x14ac:dyDescent="0.2">
      <c r="A79" s="25" t="s">
        <v>394</v>
      </c>
      <c r="B79" s="26">
        <v>2524617</v>
      </c>
      <c r="C79" s="26">
        <v>9216297</v>
      </c>
      <c r="D79" s="70">
        <f t="shared" si="2"/>
        <v>1.9116001569012306E-4</v>
      </c>
      <c r="F79" s="8" t="str">
        <v>Puerto Rico(Estado Asociado)</v>
      </c>
      <c r="G79" s="70">
        <f t="shared" si="3"/>
        <v>1.9116001569012306E-4</v>
      </c>
    </row>
    <row r="80" spans="1:7" x14ac:dyDescent="0.2">
      <c r="A80" s="25" t="s">
        <v>425</v>
      </c>
      <c r="B80" s="26">
        <v>109925</v>
      </c>
      <c r="C80" s="26">
        <v>78359</v>
      </c>
      <c r="D80" s="70">
        <f t="shared" si="2"/>
        <v>8.3233475512272875E-6</v>
      </c>
      <c r="F80" s="8" t="str">
        <v>Trinidad y Tobago</v>
      </c>
      <c r="G80" s="70">
        <f t="shared" si="3"/>
        <v>8.3233475512272875E-6</v>
      </c>
    </row>
    <row r="81" spans="1:7" x14ac:dyDescent="0.2">
      <c r="A81" s="25" t="s">
        <v>433</v>
      </c>
      <c r="B81" s="26">
        <v>152784966</v>
      </c>
      <c r="C81" s="26">
        <v>300910012</v>
      </c>
      <c r="D81" s="70">
        <f t="shared" si="2"/>
        <v>1.1568636548741818E-2</v>
      </c>
      <c r="F81" s="8" t="str">
        <v>Uruguay</v>
      </c>
      <c r="G81" s="70">
        <f t="shared" si="3"/>
        <v>1.1568636548741818E-2</v>
      </c>
    </row>
    <row r="82" spans="1:7" x14ac:dyDescent="0.2">
      <c r="A82" s="25" t="s">
        <v>435</v>
      </c>
      <c r="B82" s="26">
        <v>489576528</v>
      </c>
      <c r="C82" s="26">
        <v>617965975</v>
      </c>
      <c r="D82" s="70">
        <f t="shared" si="2"/>
        <v>3.7069962205750803E-2</v>
      </c>
      <c r="F82" s="8" t="str">
        <v>Venezuela</v>
      </c>
      <c r="G82" s="70">
        <f t="shared" si="3"/>
        <v>3.7069962205750803E-2</v>
      </c>
    </row>
    <row r="83" spans="1:7" x14ac:dyDescent="0.2">
      <c r="A83" s="25" t="s">
        <v>218</v>
      </c>
      <c r="B83" s="26">
        <v>269</v>
      </c>
      <c r="C83" s="26">
        <v>2</v>
      </c>
      <c r="D83" s="70">
        <f t="shared" si="2"/>
        <v>2.0368255549512306E-8</v>
      </c>
      <c r="F83" s="8" t="str">
        <v>Territorios vinculados al Reino Unido</v>
      </c>
      <c r="G83" s="70">
        <f t="shared" si="3"/>
        <v>2.0368255549512306E-8</v>
      </c>
    </row>
    <row r="84" spans="1:7" x14ac:dyDescent="0.2">
      <c r="A84" s="25" t="s">
        <v>417</v>
      </c>
      <c r="B84" s="26">
        <v>322201</v>
      </c>
      <c r="C84" s="26">
        <v>283355</v>
      </c>
      <c r="D84" s="70">
        <f t="shared" si="2"/>
        <v>2.4396551324566595E-5</v>
      </c>
      <c r="F84" s="8" t="str">
        <v>Suriname</v>
      </c>
      <c r="G84" s="70">
        <f t="shared" si="3"/>
        <v>2.4396551324566595E-5</v>
      </c>
    </row>
    <row r="85" spans="1:7" x14ac:dyDescent="0.2">
      <c r="A85" s="25" t="s">
        <v>468</v>
      </c>
      <c r="B85" s="26">
        <v>15521</v>
      </c>
      <c r="C85" s="26">
        <v>18048</v>
      </c>
      <c r="D85" s="70">
        <f t="shared" si="2"/>
        <v>1.1752256296802249E-6</v>
      </c>
      <c r="F85" s="8" t="str">
        <v>Santa Lucía</v>
      </c>
      <c r="G85" s="70">
        <f t="shared" si="3"/>
        <v>1.1752256296802249E-6</v>
      </c>
    </row>
    <row r="86" spans="1:7" x14ac:dyDescent="0.2">
      <c r="A86" s="25" t="s">
        <v>415</v>
      </c>
      <c r="B86" s="26" t="s">
        <v>30</v>
      </c>
      <c r="C86" s="26" t="s">
        <v>30</v>
      </c>
      <c r="D86" s="70" t="e">
        <f t="shared" si="2"/>
        <v>#VALUE!</v>
      </c>
      <c r="F86" s="8" t="str">
        <v>San Vicente y las Granadinas</v>
      </c>
      <c r="G86" s="70" t="e">
        <f t="shared" si="3"/>
        <v>#VALUE!</v>
      </c>
    </row>
    <row r="87" spans="1:7" x14ac:dyDescent="0.2">
      <c r="A87" s="25" t="s">
        <v>280</v>
      </c>
      <c r="B87" s="26" t="s">
        <v>30</v>
      </c>
      <c r="C87" s="26" t="s">
        <v>30</v>
      </c>
      <c r="D87" s="70" t="e">
        <f t="shared" si="2"/>
        <v>#VALUE!</v>
      </c>
      <c r="F87" s="8" t="str">
        <v>Belice</v>
      </c>
      <c r="G87" s="70" t="e">
        <f t="shared" si="3"/>
        <v>#VALUE!</v>
      </c>
    </row>
    <row r="88" spans="1:7" x14ac:dyDescent="0.2">
      <c r="A88" s="25" t="s">
        <v>377</v>
      </c>
      <c r="B88" s="26">
        <v>723122</v>
      </c>
      <c r="C88" s="26">
        <v>167422</v>
      </c>
      <c r="D88" s="70">
        <f t="shared" si="2"/>
        <v>5.4753656838194935E-5</v>
      </c>
      <c r="F88" s="8" t="str">
        <v>Antillas Holandesas</v>
      </c>
      <c r="G88" s="70">
        <f t="shared" si="3"/>
        <v>5.4753656838194935E-5</v>
      </c>
    </row>
    <row r="89" spans="1:7" x14ac:dyDescent="0.2">
      <c r="A89" s="25" t="s">
        <v>270</v>
      </c>
      <c r="B89" s="26">
        <v>110725</v>
      </c>
      <c r="C89" s="26">
        <v>27900</v>
      </c>
      <c r="D89" s="70">
        <f t="shared" si="2"/>
        <v>8.3839222889210033E-6</v>
      </c>
      <c r="F89" s="8" t="str">
        <v>Aruba</v>
      </c>
      <c r="G89" s="70">
        <f t="shared" si="3"/>
        <v>8.3839222889210033E-6</v>
      </c>
    </row>
    <row r="90" spans="1:7" x14ac:dyDescent="0.2">
      <c r="A90" s="25" t="s">
        <v>445</v>
      </c>
      <c r="B90" s="26">
        <v>104640</v>
      </c>
      <c r="C90" s="26">
        <v>22000</v>
      </c>
      <c r="D90" s="70">
        <f t="shared" si="2"/>
        <v>7.9231756903381698E-6</v>
      </c>
      <c r="F90" s="8" t="str">
        <v>Iquique (Chile)</v>
      </c>
      <c r="G90" s="70">
        <f t="shared" si="3"/>
        <v>7.9231756903381698E-6</v>
      </c>
    </row>
    <row r="91" spans="1:7" x14ac:dyDescent="0.2">
      <c r="A91" s="25" t="s">
        <v>446</v>
      </c>
      <c r="B91" s="26">
        <v>87391</v>
      </c>
      <c r="C91" s="26">
        <v>8114</v>
      </c>
      <c r="D91" s="70">
        <f t="shared" si="2"/>
        <v>6.6171086272395161E-6</v>
      </c>
      <c r="F91" s="8" t="str">
        <v>Punta Arenas (Chile)</v>
      </c>
      <c r="G91" s="70">
        <f t="shared" si="3"/>
        <v>6.6171086272395161E-6</v>
      </c>
    </row>
    <row r="92" spans="1:7" x14ac:dyDescent="0.2">
      <c r="A92" s="25" t="s">
        <v>440</v>
      </c>
      <c r="B92" s="26">
        <v>105375</v>
      </c>
      <c r="C92" s="26">
        <v>275000</v>
      </c>
      <c r="D92" s="70">
        <f t="shared" si="2"/>
        <v>7.9788287305942711E-6</v>
      </c>
      <c r="F92" s="8" t="str">
        <v>Colonia (Uruguay)</v>
      </c>
      <c r="G92" s="70">
        <f t="shared" si="3"/>
        <v>7.9788287305942711E-6</v>
      </c>
    </row>
    <row r="93" spans="1:7" x14ac:dyDescent="0.2">
      <c r="A93" s="25" t="s">
        <v>469</v>
      </c>
      <c r="B93" s="26">
        <v>7688</v>
      </c>
      <c r="C93" s="26">
        <v>786</v>
      </c>
      <c r="D93" s="70">
        <f t="shared" si="2"/>
        <v>5.8212322923661938E-7</v>
      </c>
      <c r="F93" s="8" t="str">
        <v>Florida (Uruguay)</v>
      </c>
      <c r="G93" s="70">
        <f t="shared" si="3"/>
        <v>5.8212322923661938E-7</v>
      </c>
    </row>
    <row r="94" spans="1:7" x14ac:dyDescent="0.2">
      <c r="A94" s="25" t="s">
        <v>1</v>
      </c>
      <c r="B94" s="26" t="s">
        <v>466</v>
      </c>
      <c r="C94" s="26" t="s">
        <v>466</v>
      </c>
      <c r="D94" s="70" t="e">
        <f t="shared" si="2"/>
        <v>#VALUE!</v>
      </c>
      <c r="F94" s="8" t="str">
        <v xml:space="preserve">   ASIA</v>
      </c>
      <c r="G94" s="70">
        <f t="shared" si="3"/>
        <v>0.43585792059828826</v>
      </c>
    </row>
    <row r="95" spans="1:7" x14ac:dyDescent="0.2">
      <c r="A95" s="25" t="s">
        <v>4</v>
      </c>
      <c r="B95" s="26">
        <v>5756299569</v>
      </c>
      <c r="C95" s="26">
        <v>13307510955</v>
      </c>
      <c r="D95" s="70">
        <f t="shared" si="2"/>
        <v>0.43585792059828826</v>
      </c>
      <c r="F95" s="8" t="str">
        <v>Arabia Saudita</v>
      </c>
      <c r="G95" s="70">
        <f t="shared" si="3"/>
        <v>1.0438094858660851E-2</v>
      </c>
    </row>
    <row r="96" spans="1:7" x14ac:dyDescent="0.2">
      <c r="A96" s="25" t="s">
        <v>400</v>
      </c>
      <c r="B96" s="26">
        <v>137854099</v>
      </c>
      <c r="C96" s="26">
        <v>505763734</v>
      </c>
      <c r="D96" s="70">
        <f t="shared" si="2"/>
        <v>1.0438094858660851E-2</v>
      </c>
      <c r="F96" s="8" t="str">
        <v>Bahrein</v>
      </c>
      <c r="G96" s="70">
        <f t="shared" si="3"/>
        <v>3.7175549425277344E-5</v>
      </c>
    </row>
    <row r="97" spans="1:7" x14ac:dyDescent="0.2">
      <c r="A97" s="25" t="s">
        <v>275</v>
      </c>
      <c r="B97" s="26">
        <v>490971</v>
      </c>
      <c r="C97" s="26">
        <v>187182</v>
      </c>
      <c r="D97" s="70">
        <f t="shared" si="2"/>
        <v>3.7175549425277344E-5</v>
      </c>
      <c r="F97" s="8" t="str">
        <v>Myanmar (ex Birmania) Unión de</v>
      </c>
      <c r="G97" s="70">
        <f t="shared" si="3"/>
        <v>7.6878428343980797E-6</v>
      </c>
    </row>
    <row r="98" spans="1:7" x14ac:dyDescent="0.2">
      <c r="A98" s="25" t="s">
        <v>374</v>
      </c>
      <c r="B98" s="26">
        <v>101532</v>
      </c>
      <c r="C98" s="26">
        <v>691140</v>
      </c>
      <c r="D98" s="70">
        <f t="shared" si="2"/>
        <v>7.6878428343980797E-6</v>
      </c>
      <c r="F98" s="8" t="str">
        <v>Camboya (ex Kampuchea)</v>
      </c>
      <c r="G98" s="70">
        <f t="shared" si="3"/>
        <v>4.3445542090005227E-4</v>
      </c>
    </row>
    <row r="99" spans="1:7" x14ac:dyDescent="0.2">
      <c r="A99" s="25" t="s">
        <v>291</v>
      </c>
      <c r="B99" s="26">
        <v>5737777</v>
      </c>
      <c r="C99" s="26">
        <v>244872</v>
      </c>
      <c r="D99" s="70">
        <f t="shared" si="2"/>
        <v>4.3445542090005227E-4</v>
      </c>
      <c r="F99" s="8" t="str">
        <v>Sri Lanka</v>
      </c>
      <c r="G99" s="70" t="e">
        <f t="shared" si="3"/>
        <v>#VALUE!</v>
      </c>
    </row>
    <row r="100" spans="1:7" x14ac:dyDescent="0.2">
      <c r="A100" s="25" t="s">
        <v>412</v>
      </c>
      <c r="B100" s="26" t="s">
        <v>30</v>
      </c>
      <c r="C100" s="26" t="s">
        <v>30</v>
      </c>
      <c r="D100" s="70" t="e">
        <f t="shared" si="2"/>
        <v>#VALUE!</v>
      </c>
      <c r="F100" s="8" t="str">
        <v>Corea Republicana</v>
      </c>
      <c r="G100" s="70">
        <f t="shared" si="3"/>
        <v>2.2923389226131935E-2</v>
      </c>
    </row>
    <row r="101" spans="1:7" x14ac:dyDescent="0.2">
      <c r="A101" s="25" t="s">
        <v>350</v>
      </c>
      <c r="B101" s="26">
        <v>302745205</v>
      </c>
      <c r="C101" s="26">
        <v>766609799</v>
      </c>
      <c r="D101" s="70">
        <f t="shared" si="2"/>
        <v>2.2923389226131935E-2</v>
      </c>
      <c r="F101" s="8" t="str">
        <v>China</v>
      </c>
      <c r="G101" s="70">
        <f t="shared" si="3"/>
        <v>8.1768950538530685E-2</v>
      </c>
    </row>
    <row r="102" spans="1:7" x14ac:dyDescent="0.2">
      <c r="A102" s="25" t="s">
        <v>297</v>
      </c>
      <c r="B102" s="26">
        <v>1079908274</v>
      </c>
      <c r="C102" s="26">
        <v>2348288679</v>
      </c>
      <c r="D102" s="70">
        <f t="shared" si="2"/>
        <v>8.1768950538530685E-2</v>
      </c>
      <c r="F102" s="8" t="str">
        <v>Filipinas</v>
      </c>
      <c r="G102" s="70">
        <f t="shared" si="3"/>
        <v>1.249795585058067E-2</v>
      </c>
    </row>
    <row r="103" spans="1:7" x14ac:dyDescent="0.2">
      <c r="A103" s="25" t="s">
        <v>391</v>
      </c>
      <c r="B103" s="26">
        <v>165058324</v>
      </c>
      <c r="C103" s="26">
        <v>464602820</v>
      </c>
      <c r="D103" s="70">
        <f t="shared" si="2"/>
        <v>1.249795585058067E-2</v>
      </c>
      <c r="F103" s="8" t="str">
        <v>Taiwan</v>
      </c>
      <c r="G103" s="70">
        <f t="shared" si="3"/>
        <v>1.1462599258914212E-3</v>
      </c>
    </row>
    <row r="104" spans="1:7" x14ac:dyDescent="0.2">
      <c r="A104" s="25" t="s">
        <v>421</v>
      </c>
      <c r="B104" s="26">
        <v>15138455</v>
      </c>
      <c r="C104" s="26">
        <v>11389629</v>
      </c>
      <c r="D104" s="70">
        <f t="shared" si="2"/>
        <v>1.1462599258914212E-3</v>
      </c>
      <c r="F104" s="8" t="str">
        <v>India</v>
      </c>
      <c r="G104" s="70">
        <f t="shared" si="3"/>
        <v>9.1031957575039568E-2</v>
      </c>
    </row>
    <row r="105" spans="1:7" x14ac:dyDescent="0.2">
      <c r="A105" s="25" t="s">
        <v>338</v>
      </c>
      <c r="B105" s="26">
        <v>1202243193</v>
      </c>
      <c r="C105" s="26">
        <v>1760554776</v>
      </c>
      <c r="D105" s="70">
        <f t="shared" si="2"/>
        <v>9.1031957575039568E-2</v>
      </c>
      <c r="F105" s="8" t="str">
        <v>Indonesia</v>
      </c>
      <c r="G105" s="70">
        <f t="shared" si="3"/>
        <v>3.5256051004046655E-2</v>
      </c>
    </row>
    <row r="106" spans="1:7" x14ac:dyDescent="0.2">
      <c r="A106" s="25" t="s">
        <v>339</v>
      </c>
      <c r="B106" s="26">
        <v>465620519</v>
      </c>
      <c r="C106" s="26">
        <v>1367770098</v>
      </c>
      <c r="D106" s="70">
        <f t="shared" si="2"/>
        <v>3.5256051004046655E-2</v>
      </c>
      <c r="F106" s="8" t="str">
        <v>Iraq</v>
      </c>
      <c r="G106" s="70">
        <f t="shared" si="3"/>
        <v>6.4463287548911774E-4</v>
      </c>
    </row>
    <row r="107" spans="1:7" x14ac:dyDescent="0.2">
      <c r="A107" s="25" t="s">
        <v>341</v>
      </c>
      <c r="B107" s="26">
        <v>8513554</v>
      </c>
      <c r="C107" s="26">
        <v>17770596</v>
      </c>
      <c r="D107" s="70">
        <f t="shared" si="2"/>
        <v>6.4463287548911774E-4</v>
      </c>
      <c r="F107" s="8" t="str">
        <v>Irán</v>
      </c>
      <c r="G107" s="70">
        <f t="shared" si="3"/>
        <v>2.9205017843660249E-2</v>
      </c>
    </row>
    <row r="108" spans="1:7" x14ac:dyDescent="0.2">
      <c r="A108" s="25" t="s">
        <v>340</v>
      </c>
      <c r="B108" s="26">
        <v>385705579</v>
      </c>
      <c r="C108" s="26">
        <v>835517266</v>
      </c>
      <c r="D108" s="70">
        <f t="shared" si="2"/>
        <v>2.9205017843660249E-2</v>
      </c>
      <c r="F108" s="8" t="str">
        <v>Israel</v>
      </c>
      <c r="G108" s="70">
        <f t="shared" si="3"/>
        <v>2.8648205844287369E-3</v>
      </c>
    </row>
    <row r="109" spans="1:7" x14ac:dyDescent="0.2">
      <c r="A109" s="25" t="s">
        <v>343</v>
      </c>
      <c r="B109" s="26">
        <v>37835186</v>
      </c>
      <c r="C109" s="26">
        <v>15218894</v>
      </c>
      <c r="D109" s="70">
        <f t="shared" si="2"/>
        <v>2.8648205844287369E-3</v>
      </c>
      <c r="F109" s="8" t="str">
        <v>Japón</v>
      </c>
      <c r="G109" s="70">
        <f t="shared" si="3"/>
        <v>2.9149477699571521E-3</v>
      </c>
    </row>
    <row r="110" spans="1:7" x14ac:dyDescent="0.2">
      <c r="A110" s="25" t="s">
        <v>346</v>
      </c>
      <c r="B110" s="26">
        <v>38497207</v>
      </c>
      <c r="C110" s="26">
        <v>134443991</v>
      </c>
      <c r="D110" s="70">
        <f t="shared" si="2"/>
        <v>2.9149477699571521E-3</v>
      </c>
      <c r="F110" s="8" t="str">
        <v>Jordania</v>
      </c>
      <c r="G110" s="70">
        <f t="shared" si="3"/>
        <v>7.5335682908581033E-3</v>
      </c>
    </row>
    <row r="111" spans="1:7" x14ac:dyDescent="0.2">
      <c r="A111" s="25" t="s">
        <v>347</v>
      </c>
      <c r="B111" s="26">
        <v>99494523</v>
      </c>
      <c r="C111" s="26">
        <v>309391724</v>
      </c>
      <c r="D111" s="70">
        <f t="shared" si="2"/>
        <v>7.5335682908581033E-3</v>
      </c>
      <c r="F111" s="8" t="str">
        <v>Qatar</v>
      </c>
      <c r="G111" s="70">
        <f t="shared" si="3"/>
        <v>2.8175960646121828E-5</v>
      </c>
    </row>
    <row r="112" spans="1:7" x14ac:dyDescent="0.2">
      <c r="A112" s="25" t="s">
        <v>395</v>
      </c>
      <c r="B112" s="26">
        <v>372115</v>
      </c>
      <c r="C112" s="26">
        <v>34424</v>
      </c>
      <c r="D112" s="70">
        <f t="shared" si="2"/>
        <v>2.8175960646121828E-5</v>
      </c>
      <c r="F112" s="8" t="str">
        <v>Kuwait</v>
      </c>
      <c r="G112" s="70">
        <f t="shared" si="3"/>
        <v>2.2026246694927031E-4</v>
      </c>
    </row>
    <row r="113" spans="1:7" x14ac:dyDescent="0.2">
      <c r="A113" s="25" t="s">
        <v>351</v>
      </c>
      <c r="B113" s="26">
        <v>2908968</v>
      </c>
      <c r="C113" s="26">
        <v>13777659</v>
      </c>
      <c r="D113" s="70">
        <f t="shared" si="2"/>
        <v>2.2026246694927031E-4</v>
      </c>
      <c r="F113" s="8" t="str">
        <v>Líbano</v>
      </c>
      <c r="G113" s="70">
        <f t="shared" si="3"/>
        <v>2.3876132551881681E-3</v>
      </c>
    </row>
    <row r="114" spans="1:7" x14ac:dyDescent="0.2">
      <c r="A114" s="25" t="s">
        <v>353</v>
      </c>
      <c r="B114" s="26">
        <v>31532792</v>
      </c>
      <c r="C114" s="26">
        <v>86134344</v>
      </c>
      <c r="D114" s="70">
        <f t="shared" si="2"/>
        <v>2.3876132551881681E-3</v>
      </c>
      <c r="F114" s="8" t="str">
        <v>Malasia</v>
      </c>
      <c r="G114" s="70">
        <f t="shared" si="3"/>
        <v>3.2202239055255648E-2</v>
      </c>
    </row>
    <row r="115" spans="1:7" x14ac:dyDescent="0.2">
      <c r="A115" s="25" t="s">
        <v>362</v>
      </c>
      <c r="B115" s="26">
        <v>425289357</v>
      </c>
      <c r="C115" s="26">
        <v>1239025292</v>
      </c>
      <c r="D115" s="70">
        <f t="shared" si="2"/>
        <v>3.2202239055255648E-2</v>
      </c>
      <c r="F115" s="8" t="str">
        <v>Omán</v>
      </c>
      <c r="G115" s="70">
        <f t="shared" si="3"/>
        <v>1.2796564774641929E-4</v>
      </c>
    </row>
    <row r="116" spans="1:7" x14ac:dyDescent="0.2">
      <c r="A116" s="25" t="s">
        <v>385</v>
      </c>
      <c r="B116" s="26">
        <v>1690020</v>
      </c>
      <c r="C116" s="26">
        <v>8128604</v>
      </c>
      <c r="D116" s="70">
        <f t="shared" si="2"/>
        <v>1.2796564774641929E-4</v>
      </c>
      <c r="F116" s="8" t="str">
        <v>Mongolia</v>
      </c>
      <c r="G116" s="70">
        <f t="shared" si="3"/>
        <v>5.9840420436024811E-5</v>
      </c>
    </row>
    <row r="117" spans="1:7" x14ac:dyDescent="0.2">
      <c r="A117" s="25" t="s">
        <v>370</v>
      </c>
      <c r="B117" s="26">
        <v>790302</v>
      </c>
      <c r="C117" s="26">
        <v>180965</v>
      </c>
      <c r="D117" s="70">
        <f t="shared" si="2"/>
        <v>5.9840420436024811E-5</v>
      </c>
      <c r="F117" s="8" t="str">
        <v>Nepal</v>
      </c>
      <c r="G117" s="70">
        <f t="shared" si="3"/>
        <v>9.3368310594230759E-5</v>
      </c>
    </row>
    <row r="118" spans="1:7" x14ac:dyDescent="0.2">
      <c r="A118" s="25" t="s">
        <v>376</v>
      </c>
      <c r="B118" s="26">
        <v>1233099</v>
      </c>
      <c r="C118" s="26">
        <v>3525922</v>
      </c>
      <c r="D118" s="70">
        <f t="shared" si="2"/>
        <v>9.3368310594230759E-5</v>
      </c>
      <c r="F118" s="8" t="str">
        <v>Emiratos Arabes Unidos</v>
      </c>
      <c r="G118" s="70">
        <f t="shared" si="3"/>
        <v>9.0637427266627134E-4</v>
      </c>
    </row>
    <row r="119" spans="1:7" x14ac:dyDescent="0.2">
      <c r="A119" s="25" t="s">
        <v>430</v>
      </c>
      <c r="B119" s="26">
        <v>11970327</v>
      </c>
      <c r="C119" s="26">
        <v>45743427</v>
      </c>
      <c r="D119" s="70">
        <f t="shared" si="2"/>
        <v>9.0637427266627134E-4</v>
      </c>
      <c r="F119" s="8" t="str">
        <v>Paquistán</v>
      </c>
      <c r="G119" s="70">
        <f t="shared" si="3"/>
        <v>1.1510482453284763E-2</v>
      </c>
    </row>
    <row r="120" spans="1:7" x14ac:dyDescent="0.2">
      <c r="A120" s="25" t="s">
        <v>386</v>
      </c>
      <c r="B120" s="26">
        <v>152016935</v>
      </c>
      <c r="C120" s="26">
        <v>387127071</v>
      </c>
      <c r="D120" s="70">
        <f t="shared" si="2"/>
        <v>1.1510482453284763E-2</v>
      </c>
      <c r="F120" s="8" t="str">
        <v>Singapur</v>
      </c>
      <c r="G120" s="70">
        <f t="shared" si="3"/>
        <v>3.0868750035558316E-3</v>
      </c>
    </row>
    <row r="121" spans="1:7" x14ac:dyDescent="0.2">
      <c r="A121" s="25" t="s">
        <v>405</v>
      </c>
      <c r="B121" s="26">
        <v>40767820</v>
      </c>
      <c r="C121" s="26">
        <v>5446271</v>
      </c>
      <c r="D121" s="70">
        <f t="shared" si="2"/>
        <v>3.0868750035558316E-3</v>
      </c>
      <c r="F121" s="8" t="str">
        <v>Siria</v>
      </c>
      <c r="G121" s="70">
        <f t="shared" si="3"/>
        <v>1.3018311474101538E-3</v>
      </c>
    </row>
    <row r="122" spans="1:7" x14ac:dyDescent="0.2">
      <c r="A122" s="25" t="s">
        <v>420</v>
      </c>
      <c r="B122" s="26">
        <v>17193057</v>
      </c>
      <c r="C122" s="26">
        <v>42702468</v>
      </c>
      <c r="D122" s="70">
        <f t="shared" si="2"/>
        <v>1.3018311474101538E-3</v>
      </c>
      <c r="F122" s="8" t="str">
        <v>Tailandia</v>
      </c>
      <c r="G122" s="70">
        <f t="shared" si="3"/>
        <v>1.5510829801551393E-2</v>
      </c>
    </row>
    <row r="123" spans="1:7" x14ac:dyDescent="0.2">
      <c r="A123" s="25" t="s">
        <v>423</v>
      </c>
      <c r="B123" s="26">
        <v>204848825</v>
      </c>
      <c r="C123" s="26">
        <v>474622340</v>
      </c>
      <c r="D123" s="70">
        <f t="shared" si="2"/>
        <v>1.5510829801551393E-2</v>
      </c>
      <c r="F123" s="8" t="str">
        <v>Vietnam</v>
      </c>
      <c r="G123" s="70">
        <f t="shared" si="3"/>
        <v>5.2181182128542038E-2</v>
      </c>
    </row>
    <row r="124" spans="1:7" x14ac:dyDescent="0.2">
      <c r="A124" s="25" t="s">
        <v>436</v>
      </c>
      <c r="B124" s="26">
        <v>689147775</v>
      </c>
      <c r="C124" s="26">
        <v>2017311395</v>
      </c>
      <c r="D124" s="70">
        <f t="shared" si="2"/>
        <v>5.2181182128542038E-2</v>
      </c>
      <c r="F124" s="8" t="str">
        <v>Hong Kong</v>
      </c>
      <c r="G124" s="70">
        <f t="shared" si="3"/>
        <v>2.7468780870916528E-3</v>
      </c>
    </row>
    <row r="125" spans="1:7" x14ac:dyDescent="0.2">
      <c r="A125" s="25" t="s">
        <v>335</v>
      </c>
      <c r="B125" s="26">
        <v>36277540</v>
      </c>
      <c r="C125" s="26">
        <v>13876143</v>
      </c>
      <c r="D125" s="70">
        <f t="shared" si="2"/>
        <v>2.7468780870916528E-3</v>
      </c>
      <c r="F125" s="8" t="str">
        <v>Bangladesh</v>
      </c>
      <c r="G125" s="70">
        <f t="shared" si="3"/>
        <v>9.3626608090414763E-3</v>
      </c>
    </row>
    <row r="126" spans="1:7" x14ac:dyDescent="0.2">
      <c r="A126" s="25" t="s">
        <v>276</v>
      </c>
      <c r="B126" s="26">
        <v>123651029</v>
      </c>
      <c r="C126" s="26">
        <v>200266314</v>
      </c>
      <c r="D126" s="70">
        <f t="shared" si="2"/>
        <v>9.3626608090414763E-3</v>
      </c>
      <c r="F126" s="8" t="str">
        <v>Brunei</v>
      </c>
      <c r="G126" s="70">
        <f t="shared" si="3"/>
        <v>4.4934885593838432E-4</v>
      </c>
    </row>
    <row r="127" spans="1:7" x14ac:dyDescent="0.2">
      <c r="A127" s="25" t="s">
        <v>286</v>
      </c>
      <c r="B127" s="26">
        <v>5934472</v>
      </c>
      <c r="C127" s="26">
        <v>18104710</v>
      </c>
      <c r="D127" s="70">
        <f t="shared" si="2"/>
        <v>4.4934885593838432E-4</v>
      </c>
      <c r="F127" s="8" t="str">
        <v>República de Yemen</v>
      </c>
      <c r="G127" s="70">
        <f t="shared" si="3"/>
        <v>2.4954264448881088E-3</v>
      </c>
    </row>
    <row r="128" spans="1:7" x14ac:dyDescent="0.2">
      <c r="A128" s="25" t="s">
        <v>437</v>
      </c>
      <c r="B128" s="26">
        <v>32956662</v>
      </c>
      <c r="C128" s="26">
        <v>124682530</v>
      </c>
      <c r="D128" s="70">
        <f t="shared" si="2"/>
        <v>2.4954264448881088E-3</v>
      </c>
      <c r="F128" s="8" t="str">
        <v>Armenia</v>
      </c>
      <c r="G128" s="70">
        <f t="shared" si="3"/>
        <v>3.9002559232541963E-7</v>
      </c>
    </row>
    <row r="129" spans="1:7" x14ac:dyDescent="0.2">
      <c r="A129" s="25" t="s">
        <v>269</v>
      </c>
      <c r="B129" s="26">
        <v>5151</v>
      </c>
      <c r="C129" s="26">
        <v>13421</v>
      </c>
      <c r="D129" s="70">
        <f t="shared" si="2"/>
        <v>3.9002559232541963E-7</v>
      </c>
      <c r="F129" s="8" t="str">
        <v>Azerbaiján</v>
      </c>
      <c r="G129" s="70">
        <f t="shared" si="3"/>
        <v>1.4422845044873991E-6</v>
      </c>
    </row>
    <row r="130" spans="1:7" x14ac:dyDescent="0.2">
      <c r="A130" s="25" t="s">
        <v>273</v>
      </c>
      <c r="B130" s="26">
        <v>19048</v>
      </c>
      <c r="C130" s="26">
        <v>43773</v>
      </c>
      <c r="D130" s="70">
        <f t="shared" si="2"/>
        <v>1.4422845044873991E-6</v>
      </c>
      <c r="F130" s="8" t="str">
        <v>Georgia</v>
      </c>
      <c r="G130" s="70">
        <f t="shared" si="3"/>
        <v>1.0879222889791554E-6</v>
      </c>
    </row>
    <row r="131" spans="1:7" x14ac:dyDescent="0.2">
      <c r="A131" s="25" t="s">
        <v>323</v>
      </c>
      <c r="B131" s="26">
        <v>14368</v>
      </c>
      <c r="C131" s="26">
        <v>37091</v>
      </c>
      <c r="D131" s="70">
        <f t="shared" si="2"/>
        <v>1.0879222889791554E-6</v>
      </c>
      <c r="F131" s="8" t="str">
        <v>Kazajstán</v>
      </c>
      <c r="G131" s="70">
        <f t="shared" si="3"/>
        <v>3.2763285531667007E-5</v>
      </c>
    </row>
    <row r="132" spans="1:7" x14ac:dyDescent="0.2">
      <c r="A132" s="25" t="s">
        <v>348</v>
      </c>
      <c r="B132" s="26">
        <v>432699</v>
      </c>
      <c r="C132" s="26">
        <v>171980</v>
      </c>
      <c r="D132" s="70">
        <f t="shared" si="2"/>
        <v>3.2763285531667007E-5</v>
      </c>
      <c r="F132" s="8" t="str">
        <v>Uzbekistán</v>
      </c>
      <c r="G132" s="70">
        <f t="shared" si="3"/>
        <v>2.4453998134242655E-3</v>
      </c>
    </row>
    <row r="133" spans="1:7" x14ac:dyDescent="0.2">
      <c r="A133" s="25" t="s">
        <v>434</v>
      </c>
      <c r="B133" s="26">
        <v>32295969</v>
      </c>
      <c r="C133" s="26">
        <v>88106100</v>
      </c>
      <c r="D133" s="70">
        <f t="shared" si="2"/>
        <v>2.4453998134242655E-3</v>
      </c>
      <c r="F133" s="8" t="str">
        <v>Territorios Autónomos Palestinos (Gaza y Jericó)</v>
      </c>
      <c r="G133" s="70">
        <f t="shared" si="3"/>
        <v>5.1798972570339654E-7</v>
      </c>
    </row>
    <row r="134" spans="1:7" x14ac:dyDescent="0.2">
      <c r="A134" s="25" t="s">
        <v>159</v>
      </c>
      <c r="B134" s="26">
        <v>6841</v>
      </c>
      <c r="C134" s="26">
        <v>3511</v>
      </c>
      <c r="D134" s="70">
        <f t="shared" si="2"/>
        <v>5.1798972570339654E-7</v>
      </c>
      <c r="F134" s="8" t="str">
        <v xml:space="preserve">   EUROPA</v>
      </c>
      <c r="G134" s="70">
        <f t="shared" si="3"/>
        <v>0.21571787610251802</v>
      </c>
    </row>
    <row r="135" spans="1:7" x14ac:dyDescent="0.2">
      <c r="A135" s="25" t="s">
        <v>1</v>
      </c>
      <c r="B135" s="26" t="s">
        <v>466</v>
      </c>
      <c r="C135" s="26" t="s">
        <v>466</v>
      </c>
      <c r="D135" s="70" t="e">
        <f t="shared" si="2"/>
        <v>#VALUE!</v>
      </c>
      <c r="F135" s="8" t="str">
        <v>Albania</v>
      </c>
      <c r="G135" s="70">
        <f t="shared" si="3"/>
        <v>6.5744034371654461E-5</v>
      </c>
    </row>
    <row r="136" spans="1:7" x14ac:dyDescent="0.2">
      <c r="A136" s="25" t="s">
        <v>5</v>
      </c>
      <c r="B136" s="26">
        <v>2848948381</v>
      </c>
      <c r="C136" s="26">
        <v>7840084650</v>
      </c>
      <c r="D136" s="70">
        <f t="shared" si="2"/>
        <v>0.21571787610251802</v>
      </c>
      <c r="F136" s="8" t="str">
        <v>Austria</v>
      </c>
      <c r="G136" s="70">
        <f t="shared" si="3"/>
        <v>1.9580375080014553E-4</v>
      </c>
    </row>
    <row r="137" spans="1:7" x14ac:dyDescent="0.2">
      <c r="A137" s="25" t="s">
        <v>264</v>
      </c>
      <c r="B137" s="26">
        <v>868270</v>
      </c>
      <c r="C137" s="26">
        <v>151104</v>
      </c>
      <c r="D137" s="70">
        <f t="shared" si="2"/>
        <v>6.5744034371654461E-5</v>
      </c>
      <c r="F137" s="8" t="str">
        <v>Bélgica</v>
      </c>
      <c r="G137" s="70">
        <f t="shared" si="3"/>
        <v>4.9073824913211401E-3</v>
      </c>
    </row>
    <row r="138" spans="1:7" x14ac:dyDescent="0.2">
      <c r="A138" s="25" t="s">
        <v>272</v>
      </c>
      <c r="B138" s="26">
        <v>2585946</v>
      </c>
      <c r="C138" s="26">
        <v>62159</v>
      </c>
      <c r="D138" s="70">
        <f t="shared" si="2"/>
        <v>1.9580375080014553E-4</v>
      </c>
      <c r="F138" s="8" t="str">
        <v>Bulgaria</v>
      </c>
      <c r="G138" s="70">
        <f t="shared" si="3"/>
        <v>8.8707917431342531E-6</v>
      </c>
    </row>
    <row r="139" spans="1:7" x14ac:dyDescent="0.2">
      <c r="A139" s="25" t="s">
        <v>279</v>
      </c>
      <c r="B139" s="26">
        <v>64810945</v>
      </c>
      <c r="C139" s="26">
        <v>159124814</v>
      </c>
      <c r="D139" s="70">
        <f t="shared" ref="D139:D155" si="4">+B139/$B$8</f>
        <v>4.9073824913211401E-3</v>
      </c>
      <c r="F139" s="8" t="str">
        <v>Dinamarca</v>
      </c>
      <c r="G139" s="70">
        <f t="shared" ref="G139:G151" si="5">+SUMIF(A139:A284,F139,D139:D284)</f>
        <v>1.380812889655547E-2</v>
      </c>
    </row>
    <row r="140" spans="1:7" x14ac:dyDescent="0.2">
      <c r="A140" s="25" t="s">
        <v>287</v>
      </c>
      <c r="B140" s="26">
        <v>117155</v>
      </c>
      <c r="C140" s="26">
        <v>99207</v>
      </c>
      <c r="D140" s="70">
        <f t="shared" si="4"/>
        <v>8.8707917431342531E-6</v>
      </c>
      <c r="F140" s="8" t="str">
        <v>España</v>
      </c>
      <c r="G140" s="70">
        <f t="shared" si="5"/>
        <v>3.4677516373707855E-2</v>
      </c>
    </row>
    <row r="141" spans="1:7" x14ac:dyDescent="0.2">
      <c r="A141" s="25" t="s">
        <v>308</v>
      </c>
      <c r="B141" s="26">
        <v>182361551</v>
      </c>
      <c r="C141" s="26">
        <v>489953997</v>
      </c>
      <c r="D141" s="70">
        <f t="shared" si="4"/>
        <v>1.380812889655547E-2</v>
      </c>
      <c r="F141" s="8" t="str">
        <v>Finlandia</v>
      </c>
      <c r="G141" s="70">
        <f t="shared" si="5"/>
        <v>4.4034048382226325E-6</v>
      </c>
    </row>
    <row r="142" spans="1:7" x14ac:dyDescent="0.2">
      <c r="A142" s="25" t="s">
        <v>411</v>
      </c>
      <c r="B142" s="26">
        <v>457979913</v>
      </c>
      <c r="C142" s="26">
        <v>1424899734</v>
      </c>
      <c r="D142" s="70">
        <f t="shared" si="4"/>
        <v>3.4677516373707855E-2</v>
      </c>
      <c r="F142" s="8" t="str">
        <v>Francia</v>
      </c>
      <c r="G142" s="70">
        <f t="shared" si="5"/>
        <v>7.8271044592296227E-3</v>
      </c>
    </row>
    <row r="143" spans="1:7" x14ac:dyDescent="0.2">
      <c r="A143" s="25" t="s">
        <v>319</v>
      </c>
      <c r="B143" s="26">
        <v>58155</v>
      </c>
      <c r="C143" s="26">
        <v>11913</v>
      </c>
      <c r="D143" s="70">
        <f t="shared" si="4"/>
        <v>4.4034048382226325E-6</v>
      </c>
      <c r="F143" s="8" t="str">
        <v>Grecia</v>
      </c>
      <c r="G143" s="70">
        <f t="shared" si="5"/>
        <v>4.4786884851599814E-3</v>
      </c>
    </row>
    <row r="144" spans="1:7" x14ac:dyDescent="0.2">
      <c r="A144" s="25" t="s">
        <v>320</v>
      </c>
      <c r="B144" s="26">
        <v>103371204</v>
      </c>
      <c r="C144" s="26">
        <v>283955847</v>
      </c>
      <c r="D144" s="70">
        <f t="shared" si="4"/>
        <v>7.8271044592296227E-3</v>
      </c>
      <c r="F144" s="8" t="str">
        <v>Hungría</v>
      </c>
      <c r="G144" s="70">
        <f t="shared" si="5"/>
        <v>4.8105957968420093E-5</v>
      </c>
    </row>
    <row r="145" spans="1:7" x14ac:dyDescent="0.2">
      <c r="A145" s="25" t="s">
        <v>326</v>
      </c>
      <c r="B145" s="26">
        <v>59149258</v>
      </c>
      <c r="C145" s="26">
        <v>160521203</v>
      </c>
      <c r="D145" s="70">
        <f t="shared" si="4"/>
        <v>4.4786884851599814E-3</v>
      </c>
      <c r="F145" s="8" t="str">
        <v>Irlanda</v>
      </c>
      <c r="G145" s="70">
        <f t="shared" si="5"/>
        <v>7.9036244365633009E-3</v>
      </c>
    </row>
    <row r="146" spans="1:7" x14ac:dyDescent="0.2">
      <c r="A146" s="25" t="s">
        <v>336</v>
      </c>
      <c r="B146" s="26">
        <v>635327</v>
      </c>
      <c r="C146" s="26">
        <v>6379</v>
      </c>
      <c r="D146" s="70">
        <f t="shared" si="4"/>
        <v>4.8105957968420093E-5</v>
      </c>
      <c r="F146" s="8" t="str">
        <v>Italia</v>
      </c>
      <c r="G146" s="70">
        <f t="shared" si="5"/>
        <v>3.1214428862418167E-2</v>
      </c>
    </row>
    <row r="147" spans="1:7" x14ac:dyDescent="0.2">
      <c r="A147" s="25" t="s">
        <v>342</v>
      </c>
      <c r="B147" s="26">
        <v>104381790</v>
      </c>
      <c r="C147" s="26">
        <v>388565700</v>
      </c>
      <c r="D147" s="70">
        <f t="shared" si="4"/>
        <v>7.9036244365633009E-3</v>
      </c>
      <c r="F147" s="8" t="str">
        <v>Luxemburgo</v>
      </c>
      <c r="G147" s="70">
        <f t="shared" si="5"/>
        <v>2.960408580567332E-5</v>
      </c>
    </row>
    <row r="148" spans="1:7" x14ac:dyDescent="0.2">
      <c r="A148" s="25" t="s">
        <v>344</v>
      </c>
      <c r="B148" s="26">
        <v>412243520</v>
      </c>
      <c r="C148" s="26">
        <v>1140267754</v>
      </c>
      <c r="D148" s="70">
        <f t="shared" si="4"/>
        <v>3.1214428862418167E-2</v>
      </c>
      <c r="F148" s="8" t="str">
        <v>Malta</v>
      </c>
      <c r="G148" s="70">
        <f t="shared" si="5"/>
        <v>8.2981560321889117E-5</v>
      </c>
    </row>
    <row r="149" spans="1:7" x14ac:dyDescent="0.2">
      <c r="A149" s="25" t="s">
        <v>358</v>
      </c>
      <c r="B149" s="26">
        <v>390976</v>
      </c>
      <c r="C149" s="26">
        <v>36280</v>
      </c>
      <c r="D149" s="70">
        <f t="shared" si="4"/>
        <v>2.960408580567332E-5</v>
      </c>
      <c r="F149" s="8" t="str">
        <v>Noruega</v>
      </c>
      <c r="G149" s="70">
        <f t="shared" si="5"/>
        <v>1.9012895793615389E-7</v>
      </c>
    </row>
    <row r="150" spans="1:7" x14ac:dyDescent="0.2">
      <c r="A150" s="25" t="s">
        <v>365</v>
      </c>
      <c r="B150" s="26">
        <v>1095923</v>
      </c>
      <c r="C150" s="26">
        <v>4764464</v>
      </c>
      <c r="D150" s="70">
        <f t="shared" si="4"/>
        <v>8.2981560321889117E-5</v>
      </c>
      <c r="F150" s="8" t="str">
        <v>Países Bajos</v>
      </c>
      <c r="G150" s="70">
        <f t="shared" si="5"/>
        <v>2.6910474038454216E-2</v>
      </c>
    </row>
    <row r="151" spans="1:7" x14ac:dyDescent="0.2">
      <c r="A151" s="25" t="s">
        <v>384</v>
      </c>
      <c r="B151" s="26">
        <v>2511</v>
      </c>
      <c r="C151" s="26">
        <v>4450</v>
      </c>
      <c r="D151" s="70">
        <f t="shared" si="4"/>
        <v>1.9012895793615389E-7</v>
      </c>
      <c r="F151" s="8" t="str">
        <v>Polonia</v>
      </c>
      <c r="G151" s="70">
        <f t="shared" si="5"/>
        <v>2.6702651578229836E-2</v>
      </c>
    </row>
    <row r="152" spans="1:7" x14ac:dyDescent="0.2">
      <c r="A152" s="25" t="s">
        <v>378</v>
      </c>
      <c r="B152" s="26">
        <v>355401939</v>
      </c>
      <c r="C152" s="26">
        <v>1171354023</v>
      </c>
      <c r="D152" s="70">
        <f t="shared" si="4"/>
        <v>2.6910474038454216E-2</v>
      </c>
      <c r="F152" s="8" t="str">
        <v>Portugal</v>
      </c>
    </row>
    <row r="153" spans="1:7" x14ac:dyDescent="0.2">
      <c r="A153" s="25" t="s">
        <v>392</v>
      </c>
      <c r="B153" s="26">
        <v>352657264</v>
      </c>
      <c r="C153" s="26">
        <v>979859943</v>
      </c>
      <c r="D153" s="70">
        <f t="shared" si="4"/>
        <v>2.6702651578229836E-2</v>
      </c>
      <c r="F153" s="8" t="str">
        <v>Reino Unido</v>
      </c>
    </row>
    <row r="154" spans="1:7" x14ac:dyDescent="0.2">
      <c r="A154" s="25" t="s">
        <v>393</v>
      </c>
      <c r="B154" s="26">
        <v>4770022</v>
      </c>
      <c r="C154" s="26">
        <v>13264765</v>
      </c>
      <c r="D154" s="70">
        <f t="shared" si="4"/>
        <v>3.6117853930407354E-4</v>
      </c>
    </row>
    <row r="155" spans="1:7" x14ac:dyDescent="0.2">
      <c r="A155" s="25" t="s">
        <v>431</v>
      </c>
      <c r="B155" s="26">
        <v>225711014</v>
      </c>
      <c r="C155" s="26">
        <v>652677952</v>
      </c>
      <c r="D155" s="70">
        <f t="shared" si="4"/>
        <v>1.7090481834541076E-2</v>
      </c>
    </row>
    <row r="156" spans="1:7" x14ac:dyDescent="0.2">
      <c r="A156" s="25" t="s">
        <v>396</v>
      </c>
      <c r="B156" s="26">
        <v>37254101</v>
      </c>
      <c r="C156" s="26">
        <v>95891995</v>
      </c>
    </row>
    <row r="157" spans="1:7" x14ac:dyDescent="0.2">
      <c r="A157" s="25" t="s">
        <v>418</v>
      </c>
      <c r="B157" s="26">
        <v>7344365</v>
      </c>
      <c r="C157" s="26">
        <v>149877</v>
      </c>
    </row>
    <row r="158" spans="1:7" x14ac:dyDescent="0.2">
      <c r="A158" s="25" t="s">
        <v>419</v>
      </c>
      <c r="B158" s="26">
        <v>3590169</v>
      </c>
      <c r="C158" s="26">
        <v>355975</v>
      </c>
    </row>
    <row r="159" spans="1:7" x14ac:dyDescent="0.2">
      <c r="A159" s="25" t="s">
        <v>218</v>
      </c>
      <c r="B159" s="26">
        <v>529500</v>
      </c>
      <c r="C159" s="26">
        <v>750000</v>
      </c>
    </row>
    <row r="160" spans="1:7" x14ac:dyDescent="0.2">
      <c r="A160" s="25" t="s">
        <v>306</v>
      </c>
      <c r="B160" s="26">
        <v>18054223</v>
      </c>
      <c r="C160" s="26">
        <v>49181327</v>
      </c>
    </row>
    <row r="161" spans="1:3" x14ac:dyDescent="0.2">
      <c r="A161" s="25" t="s">
        <v>427</v>
      </c>
      <c r="B161" s="26">
        <v>115550578</v>
      </c>
      <c r="C161" s="26">
        <v>319143867</v>
      </c>
    </row>
    <row r="162" spans="1:3" x14ac:dyDescent="0.2">
      <c r="A162" s="25" t="s">
        <v>324</v>
      </c>
      <c r="B162" s="26">
        <v>147037674</v>
      </c>
      <c r="C162" s="26">
        <v>121071455</v>
      </c>
    </row>
    <row r="163" spans="1:3" x14ac:dyDescent="0.2">
      <c r="A163" s="25" t="s">
        <v>278</v>
      </c>
      <c r="B163" s="26">
        <v>173987</v>
      </c>
      <c r="C163" s="26">
        <v>87248</v>
      </c>
    </row>
    <row r="164" spans="1:3" x14ac:dyDescent="0.2">
      <c r="A164" s="25" t="s">
        <v>316</v>
      </c>
      <c r="B164" s="26">
        <v>373495</v>
      </c>
      <c r="C164" s="26">
        <v>26882</v>
      </c>
    </row>
    <row r="165" spans="1:3" x14ac:dyDescent="0.2">
      <c r="A165" s="25" t="s">
        <v>352</v>
      </c>
      <c r="B165" s="26">
        <v>112382809</v>
      </c>
      <c r="C165" s="26">
        <v>302101719</v>
      </c>
    </row>
    <row r="166" spans="1:3" x14ac:dyDescent="0.2">
      <c r="A166" s="25" t="s">
        <v>357</v>
      </c>
      <c r="B166" s="26">
        <v>10600673</v>
      </c>
      <c r="C166" s="26">
        <v>30112368</v>
      </c>
    </row>
    <row r="167" spans="1:3" x14ac:dyDescent="0.2">
      <c r="A167" s="25" t="s">
        <v>369</v>
      </c>
      <c r="B167" s="26">
        <v>166765</v>
      </c>
      <c r="C167" s="26">
        <v>13558</v>
      </c>
    </row>
    <row r="168" spans="1:3" x14ac:dyDescent="0.2">
      <c r="A168" s="25" t="s">
        <v>397</v>
      </c>
      <c r="B168" s="26">
        <v>51658595</v>
      </c>
      <c r="C168" s="26">
        <v>19944832</v>
      </c>
    </row>
    <row r="169" spans="1:3" x14ac:dyDescent="0.2">
      <c r="A169" s="25" t="s">
        <v>429</v>
      </c>
      <c r="B169" s="26">
        <v>1021263</v>
      </c>
      <c r="C169" s="26">
        <v>795701</v>
      </c>
    </row>
    <row r="170" spans="1:3" x14ac:dyDescent="0.2">
      <c r="A170" s="25" t="s">
        <v>283</v>
      </c>
      <c r="B170" s="26">
        <v>18925</v>
      </c>
      <c r="C170" s="26">
        <v>46743</v>
      </c>
    </row>
    <row r="171" spans="1:3" x14ac:dyDescent="0.2">
      <c r="A171" s="25" t="s">
        <v>304</v>
      </c>
      <c r="B171" s="26">
        <v>4347503</v>
      </c>
      <c r="C171" s="26">
        <v>12526842</v>
      </c>
    </row>
    <row r="172" spans="1:3" x14ac:dyDescent="0.2">
      <c r="A172" s="25" t="s">
        <v>406</v>
      </c>
      <c r="B172" s="26">
        <v>2184578</v>
      </c>
      <c r="C172" s="26">
        <v>117231</v>
      </c>
    </row>
    <row r="173" spans="1:3" x14ac:dyDescent="0.2">
      <c r="A173" s="25" t="s">
        <v>407</v>
      </c>
      <c r="B173" s="26">
        <v>6430645</v>
      </c>
      <c r="C173" s="26">
        <v>17500006</v>
      </c>
    </row>
    <row r="174" spans="1:3" x14ac:dyDescent="0.2">
      <c r="A174" s="25" t="s">
        <v>383</v>
      </c>
      <c r="B174" s="31">
        <v>25020</v>
      </c>
      <c r="C174" s="31">
        <v>62072</v>
      </c>
    </row>
    <row r="175" spans="1:3" x14ac:dyDescent="0.2">
      <c r="A175" s="25" t="s">
        <v>307</v>
      </c>
      <c r="B175" s="26">
        <v>1538986</v>
      </c>
      <c r="C175" s="26">
        <v>565636</v>
      </c>
    </row>
    <row r="176" spans="1:3" x14ac:dyDescent="0.2">
      <c r="A176" s="25" t="s">
        <v>371</v>
      </c>
      <c r="B176" s="26">
        <v>9052</v>
      </c>
      <c r="C176" s="26">
        <v>22992</v>
      </c>
    </row>
    <row r="177" spans="1:3" x14ac:dyDescent="0.2">
      <c r="A177" s="25" t="s">
        <v>402</v>
      </c>
      <c r="B177" s="26">
        <v>62510</v>
      </c>
      <c r="C177" s="26">
        <v>34386</v>
      </c>
    </row>
    <row r="178" spans="1:3" x14ac:dyDescent="0.2">
      <c r="A178" s="25" t="s">
        <v>444</v>
      </c>
      <c r="B178" s="26">
        <v>282</v>
      </c>
      <c r="C178" s="26">
        <v>250</v>
      </c>
    </row>
    <row r="179" spans="1:3" x14ac:dyDescent="0.2">
      <c r="A179" s="25" t="s">
        <v>1</v>
      </c>
      <c r="B179" s="26" t="s">
        <v>466</v>
      </c>
      <c r="C179" s="26" t="s">
        <v>466</v>
      </c>
    </row>
    <row r="180" spans="1:3" x14ac:dyDescent="0.2">
      <c r="A180" s="25" t="s">
        <v>6</v>
      </c>
      <c r="B180" s="26">
        <v>178638329</v>
      </c>
      <c r="C180" s="26">
        <v>448289531</v>
      </c>
    </row>
    <row r="181" spans="1:3" x14ac:dyDescent="0.2">
      <c r="A181" s="25" t="s">
        <v>271</v>
      </c>
      <c r="B181" s="26">
        <v>151128600</v>
      </c>
      <c r="C181" s="26">
        <v>359741746</v>
      </c>
    </row>
    <row r="182" spans="1:3" x14ac:dyDescent="0.2">
      <c r="A182" s="25" t="s">
        <v>379</v>
      </c>
      <c r="B182" s="26">
        <v>27500183</v>
      </c>
      <c r="C182" s="26">
        <v>88524266</v>
      </c>
    </row>
    <row r="183" spans="1:3" x14ac:dyDescent="0.2">
      <c r="A183" s="25" t="s">
        <v>408</v>
      </c>
      <c r="B183" s="26">
        <v>9546</v>
      </c>
      <c r="C183" s="26">
        <v>23519</v>
      </c>
    </row>
    <row r="184" spans="1:3" x14ac:dyDescent="0.2">
      <c r="A184" s="33" t="s">
        <v>220</v>
      </c>
      <c r="B184" s="34"/>
      <c r="C184" s="34"/>
    </row>
  </sheetData>
  <mergeCells count="2">
    <mergeCell ref="A1:C2"/>
    <mergeCell ref="B4:C4"/>
  </mergeCells>
  <pageMargins left="0.75" right="0.75" top="1" bottom="1" header="0" footer="0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87"/>
  <sheetViews>
    <sheetView showGridLines="0" workbookViewId="0">
      <pane xSplit="1" ySplit="6" topLeftCell="B13" activePane="bottomRight" state="frozen"/>
      <selection pane="topRight" activeCell="B1" sqref="B1"/>
      <selection pane="bottomLeft" activeCell="A7" sqref="A7"/>
      <selection pane="bottomRight" activeCell="D1" sqref="D1:G1048576"/>
    </sheetView>
  </sheetViews>
  <sheetFormatPr baseColWidth="10" defaultRowHeight="15" x14ac:dyDescent="0.2"/>
  <cols>
    <col min="1" max="1" width="47.625" style="17" customWidth="1"/>
    <col min="2" max="2" width="15.125" style="17" customWidth="1"/>
    <col min="3" max="3" width="14.375" style="17" bestFit="1" customWidth="1"/>
    <col min="4" max="7" width="11" style="8"/>
    <col min="8" max="16384" width="11" style="17"/>
  </cols>
  <sheetData>
    <row r="1" spans="1:7" x14ac:dyDescent="0.2">
      <c r="A1" s="63" t="s">
        <v>245</v>
      </c>
      <c r="B1" s="63"/>
      <c r="C1" s="63"/>
    </row>
    <row r="2" spans="1:7" x14ac:dyDescent="0.2">
      <c r="A2" s="63"/>
      <c r="B2" s="63"/>
      <c r="C2" s="63"/>
    </row>
    <row r="3" spans="1:7" s="18" customFormat="1" x14ac:dyDescent="0.2">
      <c r="D3" s="8"/>
      <c r="E3" s="8"/>
      <c r="F3" s="8"/>
      <c r="G3" s="8"/>
    </row>
    <row r="4" spans="1:7" x14ac:dyDescent="0.2">
      <c r="A4" s="19"/>
      <c r="B4" s="65" t="s">
        <v>216</v>
      </c>
      <c r="C4" s="65"/>
    </row>
    <row r="5" spans="1:7" x14ac:dyDescent="0.2">
      <c r="A5" s="17" t="s">
        <v>465</v>
      </c>
      <c r="B5" s="20" t="s">
        <v>10</v>
      </c>
      <c r="C5" s="20" t="s">
        <v>12</v>
      </c>
    </row>
    <row r="6" spans="1:7" x14ac:dyDescent="0.2">
      <c r="A6" s="21"/>
      <c r="B6" s="22" t="s">
        <v>15</v>
      </c>
      <c r="C6" s="22" t="s">
        <v>14</v>
      </c>
    </row>
    <row r="8" spans="1:7" s="18" customFormat="1" x14ac:dyDescent="0.2">
      <c r="A8" s="23" t="s">
        <v>0</v>
      </c>
      <c r="B8" s="24">
        <v>16079051363</v>
      </c>
      <c r="C8" s="24">
        <v>26262936803.16</v>
      </c>
      <c r="D8" s="8"/>
      <c r="E8" s="8"/>
      <c r="F8" s="8"/>
      <c r="G8" s="8"/>
    </row>
    <row r="9" spans="1:7" x14ac:dyDescent="0.2">
      <c r="A9" s="25"/>
      <c r="B9" s="26"/>
      <c r="C9" s="26"/>
    </row>
    <row r="10" spans="1:7" x14ac:dyDescent="0.2">
      <c r="A10" s="25" t="s">
        <v>26</v>
      </c>
      <c r="B10" s="26">
        <v>1784390303</v>
      </c>
      <c r="C10" s="26">
        <v>3548442983.75</v>
      </c>
      <c r="D10" s="70">
        <f>+B10/$B$8</f>
        <v>0.11097609322314346</v>
      </c>
      <c r="F10" s="8" t="str" cm="1">
        <f t="array" ref="F10:F153">+_xlfn.UNIQUE(A10:A155)</f>
        <v>AFRICA</v>
      </c>
      <c r="G10" s="70">
        <f>+SUMIF(A10:A155,F10,D10:D155)</f>
        <v>0.11097609322314346</v>
      </c>
    </row>
    <row r="11" spans="1:7" x14ac:dyDescent="0.2">
      <c r="A11" s="25" t="s">
        <v>27</v>
      </c>
      <c r="B11" s="26">
        <v>123396</v>
      </c>
      <c r="C11" s="26">
        <v>53697.599999999999</v>
      </c>
      <c r="D11" s="70">
        <f t="shared" ref="D11:D74" si="0">+B11/$B$8</f>
        <v>7.6743333430696251E-6</v>
      </c>
      <c r="F11" s="8" t="str">
        <v xml:space="preserve">Burkina Faso </v>
      </c>
      <c r="G11" s="70">
        <f t="shared" ref="G11:G74" si="1">+SUMIF(A11:A156,F11,D11:D156)</f>
        <v>7.6743333430696251E-6</v>
      </c>
    </row>
    <row r="12" spans="1:7" x14ac:dyDescent="0.2">
      <c r="A12" s="25" t="s">
        <v>28</v>
      </c>
      <c r="B12" s="26">
        <v>735216401</v>
      </c>
      <c r="C12" s="26">
        <v>1397303213.8800001</v>
      </c>
      <c r="D12" s="70">
        <f t="shared" si="0"/>
        <v>4.5725110543015562E-2</v>
      </c>
      <c r="F12" s="8" t="str">
        <v xml:space="preserve">Argelia </v>
      </c>
      <c r="G12" s="70">
        <f t="shared" si="1"/>
        <v>4.5725110543015562E-2</v>
      </c>
    </row>
    <row r="13" spans="1:7" x14ac:dyDescent="0.2">
      <c r="A13" s="25" t="s">
        <v>31</v>
      </c>
      <c r="B13" s="26">
        <v>10268011</v>
      </c>
      <c r="C13" s="26">
        <v>17511305.699999999</v>
      </c>
      <c r="D13" s="70">
        <f t="shared" si="0"/>
        <v>6.3859557185245617E-4</v>
      </c>
      <c r="F13" s="8" t="str">
        <v xml:space="preserve">Camerún </v>
      </c>
      <c r="G13" s="70">
        <f t="shared" si="1"/>
        <v>6.3859557185245617E-4</v>
      </c>
    </row>
    <row r="14" spans="1:7" x14ac:dyDescent="0.2">
      <c r="A14" s="25" t="s">
        <v>33</v>
      </c>
      <c r="B14" s="26">
        <v>1064906</v>
      </c>
      <c r="C14" s="26">
        <v>1732307.94</v>
      </c>
      <c r="D14" s="70">
        <f t="shared" si="0"/>
        <v>6.6229404705459675E-5</v>
      </c>
      <c r="F14" s="8" t="str">
        <v xml:space="preserve">Congo </v>
      </c>
      <c r="G14" s="70">
        <f t="shared" si="1"/>
        <v>6.6229404705459675E-5</v>
      </c>
    </row>
    <row r="15" spans="1:7" x14ac:dyDescent="0.2">
      <c r="A15" s="25" t="s">
        <v>34</v>
      </c>
      <c r="B15" s="26">
        <v>4136217</v>
      </c>
      <c r="C15" s="26">
        <v>8191812.96</v>
      </c>
      <c r="D15" s="70">
        <f t="shared" si="0"/>
        <v>2.5724260135880756E-4</v>
      </c>
      <c r="F15" s="8" t="str">
        <v>Rep Democrática del Congo (ex Zaire)</v>
      </c>
      <c r="G15" s="70">
        <f t="shared" si="1"/>
        <v>2.5724260135880756E-4</v>
      </c>
    </row>
    <row r="16" spans="1:7" x14ac:dyDescent="0.2">
      <c r="A16" s="25" t="s">
        <v>35</v>
      </c>
      <c r="B16" s="26">
        <v>21963252</v>
      </c>
      <c r="C16" s="26">
        <v>29987107.649999999</v>
      </c>
      <c r="D16" s="70">
        <f t="shared" si="0"/>
        <v>1.365954464859806E-3</v>
      </c>
      <c r="F16" s="8" t="str">
        <v xml:space="preserve">Costa de Marfil </v>
      </c>
      <c r="G16" s="70">
        <f t="shared" si="1"/>
        <v>1.365954464859806E-3</v>
      </c>
    </row>
    <row r="17" spans="1:7" x14ac:dyDescent="0.2">
      <c r="A17" s="25" t="s">
        <v>36</v>
      </c>
      <c r="B17" s="26">
        <v>256000</v>
      </c>
      <c r="C17" s="26">
        <v>50000</v>
      </c>
      <c r="D17" s="70">
        <f t="shared" si="0"/>
        <v>1.592133728666913E-5</v>
      </c>
      <c r="F17" s="8" t="str">
        <v xml:space="preserve">Chad </v>
      </c>
      <c r="G17" s="70">
        <f t="shared" si="1"/>
        <v>1.592133728666913E-5</v>
      </c>
    </row>
    <row r="18" spans="1:7" x14ac:dyDescent="0.2">
      <c r="A18" s="25" t="s">
        <v>37</v>
      </c>
      <c r="B18" s="26">
        <v>77822</v>
      </c>
      <c r="C18" s="26">
        <v>83840.95</v>
      </c>
      <c r="D18" s="70">
        <f t="shared" si="0"/>
        <v>4.8399621496998636E-6</v>
      </c>
      <c r="F18" s="8" t="str">
        <v xml:space="preserve">Benin </v>
      </c>
      <c r="G18" s="70">
        <f t="shared" si="1"/>
        <v>4.8399621496998636E-6</v>
      </c>
    </row>
    <row r="19" spans="1:7" x14ac:dyDescent="0.2">
      <c r="A19" s="25" t="s">
        <v>38</v>
      </c>
      <c r="B19" s="26">
        <v>342626265</v>
      </c>
      <c r="C19" s="26">
        <v>783764325.05999994</v>
      </c>
      <c r="D19" s="70">
        <f t="shared" si="0"/>
        <v>2.1308860657565151E-2</v>
      </c>
      <c r="F19" s="8" t="str">
        <v xml:space="preserve">Egipto </v>
      </c>
      <c r="G19" s="70">
        <f t="shared" si="1"/>
        <v>2.1308860657565151E-2</v>
      </c>
    </row>
    <row r="20" spans="1:7" x14ac:dyDescent="0.2">
      <c r="A20" s="25" t="s">
        <v>39</v>
      </c>
      <c r="B20" s="26">
        <v>657885</v>
      </c>
      <c r="C20" s="26">
        <v>232170.94</v>
      </c>
      <c r="D20" s="70">
        <f t="shared" si="0"/>
        <v>4.0915660081407506E-5</v>
      </c>
      <c r="F20" s="8" t="str">
        <v xml:space="preserve">Gabón </v>
      </c>
      <c r="G20" s="70">
        <f t="shared" si="1"/>
        <v>4.0915660081407506E-5</v>
      </c>
    </row>
    <row r="21" spans="1:7" x14ac:dyDescent="0.2">
      <c r="A21" s="25" t="s">
        <v>40</v>
      </c>
      <c r="B21" s="26">
        <v>2324</v>
      </c>
      <c r="C21" s="26">
        <v>2735.24</v>
      </c>
      <c r="D21" s="70">
        <f t="shared" si="0"/>
        <v>1.445358900555432E-7</v>
      </c>
      <c r="F21" s="8" t="str">
        <v xml:space="preserve">Gambia </v>
      </c>
      <c r="G21" s="70">
        <f t="shared" si="1"/>
        <v>1.445358900555432E-7</v>
      </c>
    </row>
    <row r="22" spans="1:7" x14ac:dyDescent="0.2">
      <c r="A22" s="25" t="s">
        <v>41</v>
      </c>
      <c r="B22" s="26">
        <v>51760</v>
      </c>
      <c r="C22" s="26">
        <v>61491.76</v>
      </c>
      <c r="D22" s="70">
        <f t="shared" si="0"/>
        <v>3.2190953826484149E-6</v>
      </c>
      <c r="F22" s="8" t="str">
        <v xml:space="preserve">Ghana </v>
      </c>
      <c r="G22" s="70">
        <f t="shared" si="1"/>
        <v>3.2190953826484149E-6</v>
      </c>
    </row>
    <row r="23" spans="1:7" x14ac:dyDescent="0.2">
      <c r="A23" s="25" t="s">
        <v>42</v>
      </c>
      <c r="B23" s="26">
        <v>25943</v>
      </c>
      <c r="C23" s="26">
        <v>41248.35</v>
      </c>
      <c r="D23" s="70">
        <f t="shared" si="0"/>
        <v>1.6134658329220985E-6</v>
      </c>
      <c r="F23" s="8" t="str">
        <v xml:space="preserve">Guinea </v>
      </c>
      <c r="G23" s="70">
        <f t="shared" si="1"/>
        <v>1.6134658329220985E-6</v>
      </c>
    </row>
    <row r="24" spans="1:7" x14ac:dyDescent="0.2">
      <c r="A24" s="25" t="s">
        <v>43</v>
      </c>
      <c r="B24" s="26">
        <v>93661</v>
      </c>
      <c r="C24" s="26">
        <v>22516.81</v>
      </c>
      <c r="D24" s="70">
        <f t="shared" si="0"/>
        <v>5.8250327015887396E-6</v>
      </c>
      <c r="F24" s="8" t="str">
        <v xml:space="preserve">Guinea Ecuatorial </v>
      </c>
      <c r="G24" s="70">
        <f t="shared" si="1"/>
        <v>5.8250327015887396E-6</v>
      </c>
    </row>
    <row r="25" spans="1:7" x14ac:dyDescent="0.2">
      <c r="A25" s="25" t="s">
        <v>44</v>
      </c>
      <c r="B25" s="26">
        <v>290751</v>
      </c>
      <c r="C25" s="26">
        <v>52994.86</v>
      </c>
      <c r="D25" s="70">
        <f t="shared" si="0"/>
        <v>1.8082596630610687E-5</v>
      </c>
      <c r="F25" s="8" t="str">
        <v xml:space="preserve">Kenya </v>
      </c>
      <c r="G25" s="70">
        <f t="shared" si="1"/>
        <v>1.8082596630610687E-5</v>
      </c>
    </row>
    <row r="26" spans="1:7" x14ac:dyDescent="0.2">
      <c r="A26" s="25" t="s">
        <v>45</v>
      </c>
      <c r="B26" s="26">
        <v>40861</v>
      </c>
      <c r="C26" s="26">
        <v>60679.73</v>
      </c>
      <c r="D26" s="70">
        <f t="shared" si="0"/>
        <v>2.5412568862132319E-6</v>
      </c>
      <c r="F26" s="8" t="str">
        <v xml:space="preserve">Liberia </v>
      </c>
      <c r="G26" s="70">
        <f t="shared" si="1"/>
        <v>2.5412568862132319E-6</v>
      </c>
    </row>
    <row r="27" spans="1:7" x14ac:dyDescent="0.2">
      <c r="A27" s="25" t="s">
        <v>46</v>
      </c>
      <c r="B27" s="26">
        <v>101381285</v>
      </c>
      <c r="C27" s="26">
        <v>219029283.75</v>
      </c>
      <c r="D27" s="70">
        <f t="shared" si="0"/>
        <v>6.3051782540661317E-3</v>
      </c>
      <c r="F27" s="8" t="str">
        <v xml:space="preserve">Libia </v>
      </c>
      <c r="G27" s="70">
        <f t="shared" si="1"/>
        <v>6.3051782540661317E-3</v>
      </c>
    </row>
    <row r="28" spans="1:7" x14ac:dyDescent="0.2">
      <c r="A28" s="25" t="s">
        <v>47</v>
      </c>
      <c r="B28" s="26">
        <v>6827742</v>
      </c>
      <c r="C28" s="26">
        <v>8081200</v>
      </c>
      <c r="D28" s="70">
        <f t="shared" si="0"/>
        <v>4.2463587222014401E-4</v>
      </c>
      <c r="F28" s="8" t="str">
        <v xml:space="preserve">Madagascar </v>
      </c>
      <c r="G28" s="70">
        <f t="shared" si="1"/>
        <v>4.2463587222014401E-4</v>
      </c>
    </row>
    <row r="29" spans="1:7" x14ac:dyDescent="0.2">
      <c r="A29" s="25" t="s">
        <v>48</v>
      </c>
      <c r="B29" s="26" t="s">
        <v>30</v>
      </c>
      <c r="C29" s="26" t="s">
        <v>30</v>
      </c>
      <c r="D29" s="70" t="e">
        <f t="shared" si="0"/>
        <v>#VALUE!</v>
      </c>
      <c r="F29" s="8" t="str">
        <v xml:space="preserve">Malawi </v>
      </c>
      <c r="G29" s="70" t="e">
        <f t="shared" si="1"/>
        <v>#VALUE!</v>
      </c>
    </row>
    <row r="30" spans="1:7" x14ac:dyDescent="0.2">
      <c r="A30" s="25" t="s">
        <v>49</v>
      </c>
      <c r="B30" s="26">
        <v>47811</v>
      </c>
      <c r="C30" s="26">
        <v>51607.71</v>
      </c>
      <c r="D30" s="70">
        <f t="shared" si="0"/>
        <v>2.9734963164567881E-6</v>
      </c>
      <c r="F30" s="8" t="str">
        <v xml:space="preserve">Mali </v>
      </c>
      <c r="G30" s="70">
        <f t="shared" si="1"/>
        <v>2.9734963164567881E-6</v>
      </c>
    </row>
    <row r="31" spans="1:7" x14ac:dyDescent="0.2">
      <c r="A31" s="25" t="s">
        <v>50</v>
      </c>
      <c r="B31" s="26">
        <v>200362614</v>
      </c>
      <c r="C31" s="26">
        <v>469878703.79000002</v>
      </c>
      <c r="D31" s="70">
        <f t="shared" si="0"/>
        <v>1.2461096707549586E-2</v>
      </c>
      <c r="F31" s="8" t="str">
        <v xml:space="preserve">Marruecos </v>
      </c>
      <c r="G31" s="70">
        <f t="shared" si="1"/>
        <v>1.2461096707549586E-2</v>
      </c>
    </row>
    <row r="32" spans="1:7" x14ac:dyDescent="0.2">
      <c r="A32" s="25" t="s">
        <v>51</v>
      </c>
      <c r="B32" s="26">
        <v>24059334</v>
      </c>
      <c r="C32" s="26">
        <v>46767920.560000002</v>
      </c>
      <c r="D32" s="70">
        <f t="shared" si="0"/>
        <v>1.4963155136977593E-3</v>
      </c>
      <c r="F32" s="8" t="str">
        <v xml:space="preserve">Mauricio </v>
      </c>
      <c r="G32" s="70">
        <f t="shared" si="1"/>
        <v>1.4963155136977593E-3</v>
      </c>
    </row>
    <row r="33" spans="1:7" x14ac:dyDescent="0.2">
      <c r="A33" s="25" t="s">
        <v>52</v>
      </c>
      <c r="B33" s="26">
        <v>206310</v>
      </c>
      <c r="C33" s="26">
        <v>34501</v>
      </c>
      <c r="D33" s="70">
        <f t="shared" si="0"/>
        <v>1.2830980842237142E-5</v>
      </c>
      <c r="F33" s="8" t="str">
        <v xml:space="preserve">Mauritania </v>
      </c>
      <c r="G33" s="70">
        <f t="shared" si="1"/>
        <v>1.2830980842237142E-5</v>
      </c>
    </row>
    <row r="34" spans="1:7" x14ac:dyDescent="0.2">
      <c r="A34" s="25" t="s">
        <v>53</v>
      </c>
      <c r="B34" s="26">
        <v>15236558</v>
      </c>
      <c r="C34" s="26">
        <v>2974560</v>
      </c>
      <c r="D34" s="70">
        <f t="shared" si="0"/>
        <v>9.4760304299178449E-4</v>
      </c>
      <c r="F34" s="8" t="str">
        <v xml:space="preserve">Níger </v>
      </c>
      <c r="G34" s="70">
        <f t="shared" si="1"/>
        <v>9.4760304299178449E-4</v>
      </c>
    </row>
    <row r="35" spans="1:7" x14ac:dyDescent="0.2">
      <c r="A35" s="25" t="s">
        <v>54</v>
      </c>
      <c r="B35" s="26">
        <v>18157286</v>
      </c>
      <c r="C35" s="26">
        <v>16341039.84</v>
      </c>
      <c r="D35" s="70">
        <f t="shared" si="0"/>
        <v>1.1292510727207632E-3</v>
      </c>
      <c r="F35" s="8" t="str">
        <v xml:space="preserve">Nigeria </v>
      </c>
      <c r="G35" s="70">
        <f t="shared" si="1"/>
        <v>1.1292510727207632E-3</v>
      </c>
    </row>
    <row r="36" spans="1:7" x14ac:dyDescent="0.2">
      <c r="A36" s="25" t="s">
        <v>55</v>
      </c>
      <c r="B36" s="26">
        <v>77474</v>
      </c>
      <c r="C36" s="26">
        <v>25837.94</v>
      </c>
      <c r="D36" s="70">
        <f t="shared" si="0"/>
        <v>4.818319081825798E-6</v>
      </c>
      <c r="F36" s="8" t="str">
        <v xml:space="preserve">Zimbabwe </v>
      </c>
      <c r="G36" s="70">
        <f t="shared" si="1"/>
        <v>4.818319081825798E-6</v>
      </c>
    </row>
    <row r="37" spans="1:7" x14ac:dyDescent="0.2">
      <c r="A37" s="25" t="s">
        <v>56</v>
      </c>
      <c r="B37" s="26">
        <v>18</v>
      </c>
      <c r="C37" s="26">
        <v>11.58</v>
      </c>
      <c r="D37" s="70">
        <f t="shared" si="0"/>
        <v>1.1194690279689232E-9</v>
      </c>
      <c r="F37" s="8" t="str">
        <v xml:space="preserve">Rwanda </v>
      </c>
      <c r="G37" s="70">
        <f t="shared" si="1"/>
        <v>1.1194690279689232E-9</v>
      </c>
    </row>
    <row r="38" spans="1:7" x14ac:dyDescent="0.2">
      <c r="A38" s="25" t="s">
        <v>57</v>
      </c>
      <c r="B38" s="26">
        <v>12335721</v>
      </c>
      <c r="C38" s="26">
        <v>29074652.09</v>
      </c>
      <c r="D38" s="70">
        <f t="shared" si="0"/>
        <v>7.6719208873143516E-4</v>
      </c>
      <c r="F38" s="8" t="str">
        <v xml:space="preserve">Senegal </v>
      </c>
      <c r="G38" s="70">
        <f t="shared" si="1"/>
        <v>7.6719208873143516E-4</v>
      </c>
    </row>
    <row r="39" spans="1:7" x14ac:dyDescent="0.2">
      <c r="A39" s="25" t="s">
        <v>58</v>
      </c>
      <c r="B39" s="26">
        <v>637932</v>
      </c>
      <c r="C39" s="26">
        <v>2129868.2799999998</v>
      </c>
      <c r="D39" s="70">
        <f t="shared" si="0"/>
        <v>3.9674728663903955E-5</v>
      </c>
      <c r="F39" s="8" t="str">
        <v xml:space="preserve">Sierra Leona </v>
      </c>
      <c r="G39" s="70">
        <f t="shared" si="1"/>
        <v>3.9674728663903955E-5</v>
      </c>
    </row>
    <row r="40" spans="1:7" x14ac:dyDescent="0.2">
      <c r="A40" s="25" t="s">
        <v>60</v>
      </c>
      <c r="B40" s="26">
        <v>1300062</v>
      </c>
      <c r="C40" s="26">
        <v>1530348.8</v>
      </c>
      <c r="D40" s="70">
        <f t="shared" si="0"/>
        <v>8.0854396857740798E-5</v>
      </c>
      <c r="F40" s="8" t="str">
        <v xml:space="preserve">Tanzania </v>
      </c>
      <c r="G40" s="70">
        <f t="shared" si="1"/>
        <v>8.0854396857740798E-5</v>
      </c>
    </row>
    <row r="41" spans="1:7" x14ac:dyDescent="0.2">
      <c r="A41" s="25" t="s">
        <v>61</v>
      </c>
      <c r="B41" s="26">
        <v>22025</v>
      </c>
      <c r="C41" s="26">
        <v>31780.35</v>
      </c>
      <c r="D41" s="70">
        <f t="shared" si="0"/>
        <v>1.3697947411675296E-6</v>
      </c>
      <c r="F41" s="8" t="str">
        <v xml:space="preserve">Togo </v>
      </c>
      <c r="G41" s="70">
        <f t="shared" si="1"/>
        <v>1.3697947411675296E-6</v>
      </c>
    </row>
    <row r="42" spans="1:7" x14ac:dyDescent="0.2">
      <c r="A42" s="25" t="s">
        <v>62</v>
      </c>
      <c r="B42" s="26">
        <v>28802171</v>
      </c>
      <c r="C42" s="26">
        <v>72470215.099999994</v>
      </c>
      <c r="D42" s="70">
        <f t="shared" si="0"/>
        <v>1.791285465153595E-3</v>
      </c>
      <c r="F42" s="8" t="str">
        <v xml:space="preserve">Túnez </v>
      </c>
      <c r="G42" s="70">
        <f t="shared" si="1"/>
        <v>1.791285465153595E-3</v>
      </c>
    </row>
    <row r="43" spans="1:7" x14ac:dyDescent="0.2">
      <c r="A43" s="25" t="s">
        <v>63</v>
      </c>
      <c r="B43" s="26">
        <v>1858</v>
      </c>
      <c r="C43" s="26">
        <v>2858.55</v>
      </c>
      <c r="D43" s="70">
        <f t="shared" si="0"/>
        <v>1.1555408077590329E-7</v>
      </c>
      <c r="F43" s="8" t="str">
        <v xml:space="preserve">Uganda </v>
      </c>
      <c r="G43" s="70">
        <f t="shared" si="1"/>
        <v>1.1555408077590329E-7</v>
      </c>
    </row>
    <row r="44" spans="1:7" x14ac:dyDescent="0.2">
      <c r="A44" s="25" t="s">
        <v>64</v>
      </c>
      <c r="B44" s="26">
        <v>3022</v>
      </c>
      <c r="C44" s="26">
        <v>152.44999999999999</v>
      </c>
      <c r="D44" s="70">
        <f t="shared" si="0"/>
        <v>1.87946411251227E-7</v>
      </c>
      <c r="F44" s="8" t="str">
        <v xml:space="preserve">Zambia </v>
      </c>
      <c r="G44" s="70">
        <f t="shared" si="1"/>
        <v>1.87946411251227E-7</v>
      </c>
    </row>
    <row r="45" spans="1:7" x14ac:dyDescent="0.2">
      <c r="A45" s="25" t="s">
        <v>66</v>
      </c>
      <c r="B45" s="26">
        <v>4912000</v>
      </c>
      <c r="C45" s="26">
        <v>11710000</v>
      </c>
      <c r="D45" s="70">
        <f t="shared" si="0"/>
        <v>3.0549065918796393E-4</v>
      </c>
      <c r="F45" s="8" t="str">
        <v>Territorios vinculados a Francia</v>
      </c>
      <c r="G45" s="70">
        <f t="shared" si="1"/>
        <v>3.0549065918796393E-4</v>
      </c>
    </row>
    <row r="46" spans="1:7" x14ac:dyDescent="0.2">
      <c r="A46" s="25" t="s">
        <v>67</v>
      </c>
      <c r="B46" s="26">
        <v>16923863</v>
      </c>
      <c r="C46" s="26">
        <v>14148388.15</v>
      </c>
      <c r="D46" s="70">
        <f t="shared" si="0"/>
        <v>1.0525411367827348E-3</v>
      </c>
      <c r="F46" s="8" t="str">
        <v xml:space="preserve">Angola </v>
      </c>
      <c r="G46" s="70">
        <f t="shared" si="1"/>
        <v>1.0525411367827348E-3</v>
      </c>
    </row>
    <row r="47" spans="1:7" x14ac:dyDescent="0.2">
      <c r="A47" s="25" t="s">
        <v>68</v>
      </c>
      <c r="B47" s="26">
        <v>201494</v>
      </c>
      <c r="C47" s="26">
        <v>1011569.55</v>
      </c>
      <c r="D47" s="70">
        <f t="shared" si="0"/>
        <v>1.2531460684531678E-5</v>
      </c>
      <c r="F47" s="8" t="str">
        <v xml:space="preserve">Cabo Verde </v>
      </c>
      <c r="G47" s="70">
        <f t="shared" si="1"/>
        <v>1.2531460684531678E-5</v>
      </c>
    </row>
    <row r="48" spans="1:7" x14ac:dyDescent="0.2">
      <c r="A48" s="25" t="s">
        <v>69</v>
      </c>
      <c r="B48" s="26">
        <v>17575837</v>
      </c>
      <c r="C48" s="26">
        <v>20672282.379999999</v>
      </c>
      <c r="D48" s="70">
        <f t="shared" si="0"/>
        <v>1.0930891756739021E-3</v>
      </c>
      <c r="F48" s="8" t="str">
        <v xml:space="preserve">Mozambique </v>
      </c>
      <c r="G48" s="70"/>
    </row>
    <row r="49" spans="1:7" x14ac:dyDescent="0.2">
      <c r="A49" s="25" t="s">
        <v>71</v>
      </c>
      <c r="B49" s="26">
        <v>3555</v>
      </c>
      <c r="C49" s="26">
        <v>5829.2</v>
      </c>
      <c r="D49" s="70">
        <f t="shared" si="0"/>
        <v>2.2109513302386234E-7</v>
      </c>
      <c r="F49" s="8" t="str">
        <v xml:space="preserve">Djibouti </v>
      </c>
      <c r="G49" s="70">
        <f t="shared" si="1"/>
        <v>2.2109513302386234E-7</v>
      </c>
    </row>
    <row r="50" spans="1:7" x14ac:dyDescent="0.2">
      <c r="A50" s="25" t="s">
        <v>75</v>
      </c>
      <c r="B50" s="26" t="s">
        <v>30</v>
      </c>
      <c r="C50" s="26" t="s">
        <v>30</v>
      </c>
      <c r="D50" s="70" t="e">
        <f t="shared" si="0"/>
        <v>#VALUE!</v>
      </c>
      <c r="F50" s="8" t="str">
        <v xml:space="preserve">Namibia </v>
      </c>
      <c r="G50" s="70" t="e">
        <f t="shared" si="1"/>
        <v>#VALUE!</v>
      </c>
    </row>
    <row r="51" spans="1:7" x14ac:dyDescent="0.2">
      <c r="A51" s="25" t="s">
        <v>76</v>
      </c>
      <c r="B51" s="26">
        <v>214480531</v>
      </c>
      <c r="C51" s="26">
        <v>392094506.08999997</v>
      </c>
      <c r="D51" s="70">
        <f t="shared" si="0"/>
        <v>1.3339128419823806E-2</v>
      </c>
      <c r="F51" s="8" t="str">
        <v xml:space="preserve">Sudáfrica </v>
      </c>
      <c r="G51" s="70">
        <f t="shared" si="1"/>
        <v>1.3339128419823806E-2</v>
      </c>
    </row>
    <row r="52" spans="1:7" x14ac:dyDescent="0.2">
      <c r="A52" s="25" t="s">
        <v>213</v>
      </c>
      <c r="B52" s="26">
        <v>66495</v>
      </c>
      <c r="C52" s="26">
        <v>100901.21</v>
      </c>
      <c r="D52" s="70">
        <f t="shared" si="0"/>
        <v>4.1355051674885307E-6</v>
      </c>
      <c r="F52" s="8" t="str">
        <v xml:space="preserve">Eritrea </v>
      </c>
      <c r="G52" s="70">
        <f t="shared" si="1"/>
        <v>4.1355051674885307E-6</v>
      </c>
    </row>
    <row r="53" spans="1:7" x14ac:dyDescent="0.2">
      <c r="A53" s="25" t="s">
        <v>77</v>
      </c>
      <c r="B53" s="26">
        <v>156773</v>
      </c>
      <c r="C53" s="26">
        <v>248581.75</v>
      </c>
      <c r="D53" s="70">
        <f t="shared" si="0"/>
        <v>9.7501398845428883E-6</v>
      </c>
      <c r="F53" s="8" t="str">
        <v xml:space="preserve">Etiopía </v>
      </c>
      <c r="G53" s="70">
        <f t="shared" si="1"/>
        <v>9.7501398845428883E-6</v>
      </c>
    </row>
    <row r="54" spans="1:7" x14ac:dyDescent="0.2">
      <c r="A54" s="25" t="s">
        <v>59</v>
      </c>
      <c r="B54" s="26">
        <v>3711694</v>
      </c>
      <c r="C54" s="26">
        <v>869105</v>
      </c>
      <c r="D54" s="70">
        <f t="shared" si="0"/>
        <v>2.3084035968322692E-4</v>
      </c>
      <c r="F54" s="8" t="str">
        <v xml:space="preserve">Sudán </v>
      </c>
      <c r="G54" s="70">
        <f t="shared" si="1"/>
        <v>2.3084035968322692E-4</v>
      </c>
    </row>
    <row r="55" spans="1:7" x14ac:dyDescent="0.2">
      <c r="A55" s="25" t="s">
        <v>217</v>
      </c>
      <c r="B55" s="26">
        <v>3364</v>
      </c>
      <c r="C55" s="26">
        <v>5829.2</v>
      </c>
      <c r="D55" s="70">
        <f t="shared" si="0"/>
        <v>2.0921632278263654E-7</v>
      </c>
      <c r="F55" s="8" t="str">
        <v xml:space="preserve">Sudán del Sur </v>
      </c>
      <c r="G55" s="70">
        <f t="shared" si="1"/>
        <v>2.0921632278263654E-7</v>
      </c>
    </row>
    <row r="56" spans="1:7" x14ac:dyDescent="0.2">
      <c r="A56" s="25"/>
      <c r="B56" s="26"/>
      <c r="C56" s="26"/>
      <c r="D56" s="70">
        <f t="shared" si="0"/>
        <v>0</v>
      </c>
      <c r="F56" s="8">
        <v>0</v>
      </c>
      <c r="G56" s="70">
        <f t="shared" si="1"/>
        <v>0</v>
      </c>
    </row>
    <row r="57" spans="1:7" x14ac:dyDescent="0.2">
      <c r="A57" s="25" t="s">
        <v>78</v>
      </c>
      <c r="B57" s="26">
        <v>3909001913</v>
      </c>
      <c r="C57" s="26">
        <v>3691779985.23</v>
      </c>
      <c r="D57" s="70">
        <f t="shared" si="0"/>
        <v>0.24311147621526508</v>
      </c>
      <c r="F57" s="8" t="str">
        <v>AMERICA</v>
      </c>
      <c r="G57" s="70">
        <f t="shared" si="1"/>
        <v>0.24311147621526508</v>
      </c>
    </row>
    <row r="58" spans="1:7" x14ac:dyDescent="0.2">
      <c r="A58" s="25" t="s">
        <v>79</v>
      </c>
      <c r="B58" s="26">
        <v>522676</v>
      </c>
      <c r="C58" s="26">
        <v>524501.44999999995</v>
      </c>
      <c r="D58" s="70">
        <f t="shared" si="0"/>
        <v>3.2506644092371381E-5</v>
      </c>
      <c r="F58" s="8" t="str">
        <v xml:space="preserve">Barbados </v>
      </c>
      <c r="G58" s="70">
        <f t="shared" si="1"/>
        <v>3.2506644092371381E-5</v>
      </c>
    </row>
    <row r="59" spans="1:7" x14ac:dyDescent="0.2">
      <c r="A59" s="25" t="s">
        <v>80</v>
      </c>
      <c r="B59" s="26">
        <v>103068513</v>
      </c>
      <c r="C59" s="26">
        <v>78160890.780000001</v>
      </c>
      <c r="D59" s="70">
        <f t="shared" si="0"/>
        <v>6.4101115590173511E-3</v>
      </c>
      <c r="F59" s="8" t="str">
        <v xml:space="preserve">Bolivia </v>
      </c>
      <c r="G59" s="70">
        <f t="shared" si="1"/>
        <v>6.4101115590173511E-3</v>
      </c>
    </row>
    <row r="60" spans="1:7" x14ac:dyDescent="0.2">
      <c r="A60" s="25" t="s">
        <v>81</v>
      </c>
      <c r="B60" s="26">
        <v>1222870092</v>
      </c>
      <c r="C60" s="26">
        <v>591800231.33000004</v>
      </c>
      <c r="D60" s="70">
        <f t="shared" si="0"/>
        <v>7.605362184575043E-2</v>
      </c>
      <c r="F60" s="8" t="str">
        <v xml:space="preserve">Brasil </v>
      </c>
      <c r="G60" s="70">
        <f t="shared" si="1"/>
        <v>7.605362184575043E-2</v>
      </c>
    </row>
    <row r="61" spans="1:7" x14ac:dyDescent="0.2">
      <c r="A61" s="25" t="s">
        <v>82</v>
      </c>
      <c r="B61" s="26">
        <v>2664306</v>
      </c>
      <c r="C61" s="26">
        <v>1586698.51</v>
      </c>
      <c r="D61" s="70">
        <f t="shared" si="0"/>
        <v>1.6570044711287612E-4</v>
      </c>
      <c r="F61" s="8" t="str">
        <v xml:space="preserve">Canadá </v>
      </c>
      <c r="G61" s="70">
        <f t="shared" si="1"/>
        <v>1.6570044711287612E-4</v>
      </c>
    </row>
    <row r="62" spans="1:7" x14ac:dyDescent="0.2">
      <c r="A62" s="25" t="s">
        <v>83</v>
      </c>
      <c r="B62" s="26">
        <v>151771134</v>
      </c>
      <c r="C62" s="26">
        <v>285643753.57999998</v>
      </c>
      <c r="D62" s="70">
        <f t="shared" si="0"/>
        <v>9.439060214040066E-3</v>
      </c>
      <c r="F62" s="8" t="str">
        <v xml:space="preserve">Colombia </v>
      </c>
      <c r="G62" s="70">
        <f t="shared" si="1"/>
        <v>9.439060214040066E-3</v>
      </c>
    </row>
    <row r="63" spans="1:7" x14ac:dyDescent="0.2">
      <c r="A63" s="25" t="s">
        <v>84</v>
      </c>
      <c r="B63" s="26">
        <v>6248055</v>
      </c>
      <c r="C63" s="26">
        <v>5591243.6900000004</v>
      </c>
      <c r="D63" s="70">
        <f t="shared" si="0"/>
        <v>3.8858355875257613E-4</v>
      </c>
      <c r="F63" s="8" t="str">
        <v xml:space="preserve">Costa Rica </v>
      </c>
      <c r="G63" s="70">
        <f t="shared" si="1"/>
        <v>3.8858355875257613E-4</v>
      </c>
    </row>
    <row r="64" spans="1:7" x14ac:dyDescent="0.2">
      <c r="A64" s="25" t="s">
        <v>85</v>
      </c>
      <c r="B64" s="26">
        <v>118212230</v>
      </c>
      <c r="C64" s="26">
        <v>252409834.99000001</v>
      </c>
      <c r="D64" s="70">
        <f t="shared" si="0"/>
        <v>7.3519405673410435E-3</v>
      </c>
      <c r="F64" s="8" t="str">
        <v xml:space="preserve">Cuba </v>
      </c>
      <c r="G64" s="70">
        <f t="shared" si="1"/>
        <v>7.3519405673410435E-3</v>
      </c>
    </row>
    <row r="65" spans="1:7" x14ac:dyDescent="0.2">
      <c r="A65" s="25" t="s">
        <v>86</v>
      </c>
      <c r="B65" s="26">
        <v>299321839</v>
      </c>
      <c r="C65" s="26">
        <v>332789804.50999999</v>
      </c>
      <c r="D65" s="70">
        <f t="shared" si="0"/>
        <v>1.8615640453066695E-2</v>
      </c>
      <c r="F65" s="8" t="str">
        <v xml:space="preserve">Chile </v>
      </c>
      <c r="G65" s="70">
        <f t="shared" si="1"/>
        <v>1.8615640453066695E-2</v>
      </c>
    </row>
    <row r="66" spans="1:7" x14ac:dyDescent="0.2">
      <c r="A66" s="25" t="s">
        <v>87</v>
      </c>
      <c r="B66" s="26">
        <v>43845557</v>
      </c>
      <c r="C66" s="26">
        <v>69026004.579999998</v>
      </c>
      <c r="D66" s="70">
        <f t="shared" si="0"/>
        <v>2.726874615308112E-3</v>
      </c>
      <c r="F66" s="8" t="str">
        <v xml:space="preserve">República Dominicana </v>
      </c>
      <c r="G66" s="70">
        <f t="shared" si="1"/>
        <v>2.726874615308112E-3</v>
      </c>
    </row>
    <row r="67" spans="1:7" x14ac:dyDescent="0.2">
      <c r="A67" s="25" t="s">
        <v>88</v>
      </c>
      <c r="B67" s="26">
        <v>91601226</v>
      </c>
      <c r="C67" s="26">
        <v>171951890.03999999</v>
      </c>
      <c r="D67" s="70">
        <f t="shared" si="0"/>
        <v>5.6969297461656474E-3</v>
      </c>
      <c r="F67" s="8" t="str">
        <v xml:space="preserve">Ecuador </v>
      </c>
      <c r="G67" s="70">
        <f t="shared" si="1"/>
        <v>5.6969297461656474E-3</v>
      </c>
    </row>
    <row r="68" spans="1:7" x14ac:dyDescent="0.2">
      <c r="A68" s="25" t="s">
        <v>89</v>
      </c>
      <c r="B68" s="26">
        <v>3053410</v>
      </c>
      <c r="C68" s="26">
        <v>3326153.53</v>
      </c>
      <c r="D68" s="70">
        <f t="shared" si="0"/>
        <v>1.8989988470503278E-4</v>
      </c>
      <c r="F68" s="8" t="str">
        <v xml:space="preserve">El Salvador </v>
      </c>
      <c r="G68" s="70">
        <f t="shared" si="1"/>
        <v>1.8989988470503278E-4</v>
      </c>
    </row>
    <row r="69" spans="1:7" x14ac:dyDescent="0.2">
      <c r="A69" s="25" t="s">
        <v>90</v>
      </c>
      <c r="B69" s="26">
        <v>200242514</v>
      </c>
      <c r="C69" s="26">
        <v>137620338.65000001</v>
      </c>
      <c r="D69" s="70">
        <f t="shared" si="0"/>
        <v>1.2453627361424083E-2</v>
      </c>
      <c r="F69" s="8" t="str">
        <v xml:space="preserve">Estados Unidos </v>
      </c>
      <c r="G69" s="70">
        <f t="shared" si="1"/>
        <v>1.2453627361424083E-2</v>
      </c>
    </row>
    <row r="70" spans="1:7" x14ac:dyDescent="0.2">
      <c r="A70" s="25" t="s">
        <v>91</v>
      </c>
      <c r="B70" s="26">
        <v>10793284</v>
      </c>
      <c r="C70" s="26">
        <v>12328995.869999999</v>
      </c>
      <c r="D70" s="70">
        <f t="shared" si="0"/>
        <v>6.7126373044847402E-4</v>
      </c>
      <c r="F70" s="8" t="str">
        <v xml:space="preserve">Guatemala </v>
      </c>
      <c r="G70" s="70">
        <f t="shared" si="1"/>
        <v>6.7126373044847402E-4</v>
      </c>
    </row>
    <row r="71" spans="1:7" x14ac:dyDescent="0.2">
      <c r="A71" s="25" t="s">
        <v>92</v>
      </c>
      <c r="B71" s="26">
        <v>792380</v>
      </c>
      <c r="C71" s="26">
        <v>373954.94</v>
      </c>
      <c r="D71" s="70">
        <f t="shared" si="0"/>
        <v>4.9280270465667524E-5</v>
      </c>
      <c r="F71" s="8" t="str">
        <v xml:space="preserve">Guyana </v>
      </c>
      <c r="G71" s="70">
        <f t="shared" si="1"/>
        <v>4.9280270465667524E-5</v>
      </c>
    </row>
    <row r="72" spans="1:7" x14ac:dyDescent="0.2">
      <c r="A72" s="25" t="s">
        <v>93</v>
      </c>
      <c r="B72" s="26">
        <v>7057250</v>
      </c>
      <c r="C72" s="26">
        <v>8250000</v>
      </c>
      <c r="D72" s="70">
        <f t="shared" si="0"/>
        <v>4.3890959986853795E-4</v>
      </c>
      <c r="F72" s="8" t="str">
        <v xml:space="preserve">Haití </v>
      </c>
      <c r="G72" s="70">
        <f t="shared" si="1"/>
        <v>4.3890959986853795E-4</v>
      </c>
    </row>
    <row r="73" spans="1:7" x14ac:dyDescent="0.2">
      <c r="A73" s="25" t="s">
        <v>94</v>
      </c>
      <c r="B73" s="26">
        <v>16105762</v>
      </c>
      <c r="C73" s="26">
        <v>31804461.449999999</v>
      </c>
      <c r="D73" s="70">
        <f t="shared" si="0"/>
        <v>1.0016612072688235E-3</v>
      </c>
      <c r="F73" s="8" t="str">
        <v xml:space="preserve">Honduras </v>
      </c>
      <c r="G73" s="70">
        <f t="shared" si="1"/>
        <v>1.0016612072688235E-3</v>
      </c>
    </row>
    <row r="74" spans="1:7" x14ac:dyDescent="0.2">
      <c r="A74" s="25" t="s">
        <v>95</v>
      </c>
      <c r="B74" s="26">
        <v>522094</v>
      </c>
      <c r="C74" s="26">
        <v>115035.1</v>
      </c>
      <c r="D74" s="70">
        <f t="shared" si="0"/>
        <v>3.2470447927133724E-5</v>
      </c>
      <c r="F74" s="8" t="str">
        <v xml:space="preserve">Jamaica </v>
      </c>
      <c r="G74" s="70">
        <f t="shared" si="1"/>
        <v>3.2470447927133724E-5</v>
      </c>
    </row>
    <row r="75" spans="1:7" x14ac:dyDescent="0.2">
      <c r="A75" s="25" t="s">
        <v>96</v>
      </c>
      <c r="B75" s="26">
        <v>70841337</v>
      </c>
      <c r="C75" s="26">
        <v>17337523.140000001</v>
      </c>
      <c r="D75" s="70">
        <f t="shared" ref="D75:D138" si="2">+B75/$B$8</f>
        <v>4.4058157039671619E-3</v>
      </c>
      <c r="F75" s="8" t="str">
        <v xml:space="preserve">México </v>
      </c>
      <c r="G75" s="70">
        <f t="shared" ref="G75:G138" si="3">+SUMIF(A75:A220,F75,D75:D220)</f>
        <v>4.4058157039671619E-3</v>
      </c>
    </row>
    <row r="76" spans="1:7" x14ac:dyDescent="0.2">
      <c r="A76" s="25" t="s">
        <v>97</v>
      </c>
      <c r="B76" s="26">
        <v>18006670</v>
      </c>
      <c r="C76" s="26">
        <v>18620664.010000002</v>
      </c>
      <c r="D76" s="70">
        <f t="shared" si="2"/>
        <v>1.1198838534365095E-3</v>
      </c>
      <c r="F76" s="8" t="str">
        <v xml:space="preserve">Nicaragua </v>
      </c>
      <c r="G76" s="70">
        <f t="shared" si="3"/>
        <v>1.1198838534365095E-3</v>
      </c>
    </row>
    <row r="77" spans="1:7" x14ac:dyDescent="0.2">
      <c r="A77" s="25" t="s">
        <v>98</v>
      </c>
      <c r="B77" s="26">
        <v>20024123</v>
      </c>
      <c r="C77" s="26">
        <v>33451217.73</v>
      </c>
      <c r="D77" s="70">
        <f t="shared" si="2"/>
        <v>1.2453547505966755E-3</v>
      </c>
      <c r="F77" s="8" t="str">
        <v xml:space="preserve">Panamá </v>
      </c>
      <c r="G77" s="70">
        <f t="shared" si="3"/>
        <v>1.2453547505966755E-3</v>
      </c>
    </row>
    <row r="78" spans="1:7" x14ac:dyDescent="0.2">
      <c r="A78" s="25" t="s">
        <v>99</v>
      </c>
      <c r="B78" s="26">
        <v>177820542</v>
      </c>
      <c r="C78" s="26">
        <v>96497274.200000003</v>
      </c>
      <c r="D78" s="70">
        <f t="shared" si="2"/>
        <v>1.1059143850313726E-2</v>
      </c>
      <c r="F78" s="8" t="str">
        <v xml:space="preserve">Paraguay </v>
      </c>
      <c r="G78" s="70">
        <f t="shared" si="3"/>
        <v>1.1059143850313726E-2</v>
      </c>
    </row>
    <row r="79" spans="1:7" x14ac:dyDescent="0.2">
      <c r="A79" s="25" t="s">
        <v>100</v>
      </c>
      <c r="B79" s="26">
        <v>436729749</v>
      </c>
      <c r="C79" s="26">
        <v>621578075.07000005</v>
      </c>
      <c r="D79" s="70">
        <f t="shared" si="2"/>
        <v>2.7161412644341212E-2</v>
      </c>
      <c r="F79" s="8" t="str">
        <v xml:space="preserve">Perú </v>
      </c>
      <c r="G79" s="70">
        <f t="shared" si="3"/>
        <v>2.7161412644341212E-2</v>
      </c>
    </row>
    <row r="80" spans="1:7" x14ac:dyDescent="0.2">
      <c r="A80" s="25" t="s">
        <v>101</v>
      </c>
      <c r="B80" s="26">
        <v>25799767</v>
      </c>
      <c r="C80" s="26">
        <v>44009563.329999998</v>
      </c>
      <c r="D80" s="70">
        <f t="shared" si="2"/>
        <v>1.6045577825174835E-3</v>
      </c>
      <c r="F80" s="8" t="str">
        <v xml:space="preserve">Puerto Rico(Estado Asociado) </v>
      </c>
      <c r="G80" s="70">
        <f t="shared" si="3"/>
        <v>1.6045577825174835E-3</v>
      </c>
    </row>
    <row r="81" spans="1:7" x14ac:dyDescent="0.2">
      <c r="A81" s="25" t="s">
        <v>102</v>
      </c>
      <c r="B81" s="26">
        <v>1664837</v>
      </c>
      <c r="C81" s="26">
        <v>1306035.8999999999</v>
      </c>
      <c r="D81" s="70">
        <f t="shared" si="2"/>
        <v>1.035407476731499E-4</v>
      </c>
      <c r="F81" s="8" t="str">
        <v xml:space="preserve">Trinidad y Tobago </v>
      </c>
      <c r="G81" s="70">
        <f t="shared" si="3"/>
        <v>1.035407476731499E-4</v>
      </c>
    </row>
    <row r="82" spans="1:7" x14ac:dyDescent="0.2">
      <c r="A82" s="25" t="s">
        <v>103</v>
      </c>
      <c r="B82" s="26">
        <v>202037373</v>
      </c>
      <c r="C82" s="26">
        <v>199874047.40000001</v>
      </c>
      <c r="D82" s="70">
        <f t="shared" si="2"/>
        <v>1.2565254531428044E-2</v>
      </c>
      <c r="F82" s="8" t="str">
        <v xml:space="preserve">Uruguay </v>
      </c>
      <c r="G82" s="70">
        <f t="shared" si="3"/>
        <v>1.2565254531428044E-2</v>
      </c>
    </row>
    <row r="83" spans="1:7" x14ac:dyDescent="0.2">
      <c r="A83" s="25" t="s">
        <v>104</v>
      </c>
      <c r="B83" s="26">
        <v>673590861</v>
      </c>
      <c r="C83" s="26">
        <v>674139077.51999998</v>
      </c>
      <c r="D83" s="70">
        <f t="shared" si="2"/>
        <v>4.1892450356245559E-2</v>
      </c>
      <c r="F83" s="8" t="str">
        <v xml:space="preserve">Venezuela </v>
      </c>
      <c r="G83" s="70">
        <f t="shared" si="3"/>
        <v>4.1892450356245559E-2</v>
      </c>
    </row>
    <row r="84" spans="1:7" x14ac:dyDescent="0.2">
      <c r="A84" s="25" t="s">
        <v>105</v>
      </c>
      <c r="B84" s="26">
        <v>1141058</v>
      </c>
      <c r="C84" s="26">
        <v>929710.81</v>
      </c>
      <c r="D84" s="70">
        <f t="shared" si="2"/>
        <v>7.0965505006453534E-5</v>
      </c>
      <c r="F84" s="8" t="str">
        <v xml:space="preserve">Suriname </v>
      </c>
      <c r="G84" s="70">
        <f t="shared" si="3"/>
        <v>7.0965505006453534E-5</v>
      </c>
    </row>
    <row r="85" spans="1:7" x14ac:dyDescent="0.2">
      <c r="A85" s="25" t="s">
        <v>107</v>
      </c>
      <c r="B85" s="26">
        <v>31042</v>
      </c>
      <c r="C85" s="26">
        <v>36096</v>
      </c>
      <c r="D85" s="70">
        <f t="shared" si="2"/>
        <v>1.9305865314561841E-6</v>
      </c>
      <c r="F85" s="8" t="str">
        <v xml:space="preserve">Santa Lucía </v>
      </c>
      <c r="G85" s="70">
        <f t="shared" si="3"/>
        <v>1.9305865314561841E-6</v>
      </c>
    </row>
    <row r="86" spans="1:7" x14ac:dyDescent="0.2">
      <c r="A86" s="25" t="s">
        <v>108</v>
      </c>
      <c r="B86" s="26">
        <v>100000</v>
      </c>
      <c r="C86" s="26">
        <v>25000</v>
      </c>
      <c r="D86" s="70">
        <f t="shared" si="2"/>
        <v>6.2192723776051288E-6</v>
      </c>
      <c r="F86" s="8" t="str">
        <v xml:space="preserve">San Vicente y las Granadinas </v>
      </c>
      <c r="G86" s="70">
        <f t="shared" si="3"/>
        <v>6.2192723776051288E-6</v>
      </c>
    </row>
    <row r="87" spans="1:7" x14ac:dyDescent="0.2">
      <c r="A87" s="25" t="s">
        <v>109</v>
      </c>
      <c r="B87" s="26">
        <v>362</v>
      </c>
      <c r="C87" s="26">
        <v>6.98</v>
      </c>
      <c r="D87" s="70">
        <f t="shared" si="2"/>
        <v>2.2513766006930566E-8</v>
      </c>
      <c r="F87" s="8" t="str">
        <v xml:space="preserve">Belice </v>
      </c>
      <c r="G87" s="70">
        <f t="shared" si="3"/>
        <v>2.2513766006930566E-8</v>
      </c>
    </row>
    <row r="88" spans="1:7" x14ac:dyDescent="0.2">
      <c r="A88" s="25" t="s">
        <v>111</v>
      </c>
      <c r="B88" s="26" t="s">
        <v>30</v>
      </c>
      <c r="C88" s="26" t="s">
        <v>30</v>
      </c>
      <c r="D88" s="70" t="e">
        <f t="shared" si="2"/>
        <v>#VALUE!</v>
      </c>
      <c r="F88" s="8" t="str">
        <v xml:space="preserve">San Cristóbal y Nevis </v>
      </c>
      <c r="G88" s="70" t="e">
        <f t="shared" si="3"/>
        <v>#VALUE!</v>
      </c>
    </row>
    <row r="89" spans="1:7" x14ac:dyDescent="0.2">
      <c r="A89" s="25" t="s">
        <v>114</v>
      </c>
      <c r="B89" s="26">
        <v>1718378</v>
      </c>
      <c r="C89" s="26">
        <v>337040.98</v>
      </c>
      <c r="D89" s="70">
        <f t="shared" si="2"/>
        <v>1.0687060829684346E-4</v>
      </c>
      <c r="F89" s="8" t="str">
        <v xml:space="preserve">Antillas Holandesas </v>
      </c>
      <c r="G89" s="70">
        <f t="shared" si="3"/>
        <v>1.0687060829684346E-4</v>
      </c>
    </row>
    <row r="90" spans="1:7" x14ac:dyDescent="0.2">
      <c r="A90" s="25" t="s">
        <v>115</v>
      </c>
      <c r="B90" s="26">
        <v>296298</v>
      </c>
      <c r="C90" s="26">
        <v>49541.42</v>
      </c>
      <c r="D90" s="70">
        <f t="shared" si="2"/>
        <v>1.8427579669396446E-5</v>
      </c>
      <c r="F90" s="8" t="str">
        <v xml:space="preserve">Aruba </v>
      </c>
      <c r="G90" s="70">
        <f t="shared" si="3"/>
        <v>1.8427579669396446E-5</v>
      </c>
    </row>
    <row r="91" spans="1:7" x14ac:dyDescent="0.2">
      <c r="A91" s="25" t="s">
        <v>116</v>
      </c>
      <c r="B91" s="26">
        <v>126859</v>
      </c>
      <c r="C91" s="26">
        <v>22000</v>
      </c>
      <c r="D91" s="70">
        <f t="shared" si="2"/>
        <v>7.8897067455060906E-6</v>
      </c>
      <c r="F91" s="8" t="str">
        <v xml:space="preserve">Iquique (Chile) </v>
      </c>
      <c r="G91" s="70">
        <f t="shared" si="3"/>
        <v>7.8897067455060906E-6</v>
      </c>
    </row>
    <row r="92" spans="1:7" x14ac:dyDescent="0.2">
      <c r="A92" s="25" t="s">
        <v>117</v>
      </c>
      <c r="B92" s="26">
        <v>285566</v>
      </c>
      <c r="C92" s="26">
        <v>38317.74</v>
      </c>
      <c r="D92" s="70">
        <f t="shared" si="2"/>
        <v>1.7760127357831864E-5</v>
      </c>
      <c r="F92" s="8" t="str">
        <v xml:space="preserve">Punta Arenas (Chile) </v>
      </c>
      <c r="G92" s="70">
        <f t="shared" si="3"/>
        <v>1.7760127357831864E-5</v>
      </c>
    </row>
    <row r="93" spans="1:7" x14ac:dyDescent="0.2">
      <c r="A93" s="25" t="s">
        <v>118</v>
      </c>
      <c r="B93" s="26">
        <v>94750</v>
      </c>
      <c r="C93" s="26">
        <v>225000</v>
      </c>
      <c r="D93" s="70">
        <f t="shared" si="2"/>
        <v>5.8927605777808595E-6</v>
      </c>
      <c r="F93" s="8" t="str">
        <v xml:space="preserve">Colonia (Uruguay) </v>
      </c>
      <c r="G93" s="70">
        <f t="shared" si="3"/>
        <v>5.8927605777808595E-6</v>
      </c>
    </row>
    <row r="94" spans="1:7" x14ac:dyDescent="0.2">
      <c r="A94" s="25"/>
      <c r="B94" s="26"/>
      <c r="C94" s="26"/>
      <c r="D94" s="70">
        <f t="shared" si="2"/>
        <v>0</v>
      </c>
      <c r="F94" s="8" t="str">
        <v>ASIA</v>
      </c>
      <c r="G94" s="70">
        <f t="shared" si="3"/>
        <v>0.39182424831961771</v>
      </c>
    </row>
    <row r="95" spans="1:7" x14ac:dyDescent="0.2">
      <c r="A95" s="25" t="s">
        <v>119</v>
      </c>
      <c r="B95" s="26">
        <v>6300162214</v>
      </c>
      <c r="C95" s="26">
        <v>11423627649.66</v>
      </c>
      <c r="D95" s="70">
        <f t="shared" si="2"/>
        <v>0.39182424831961771</v>
      </c>
      <c r="F95" s="8" t="str">
        <v xml:space="preserve">Arabia Saudita </v>
      </c>
      <c r="G95" s="70">
        <f t="shared" si="3"/>
        <v>1.1922633846492801E-2</v>
      </c>
    </row>
    <row r="96" spans="1:7" x14ac:dyDescent="0.2">
      <c r="A96" s="25" t="s">
        <v>121</v>
      </c>
      <c r="B96" s="26">
        <v>191704642</v>
      </c>
      <c r="C96" s="26">
        <v>504826838.68000001</v>
      </c>
      <c r="D96" s="70">
        <f t="shared" si="2"/>
        <v>1.1922633846492801E-2</v>
      </c>
      <c r="F96" s="8" t="str">
        <v xml:space="preserve">Bahrein </v>
      </c>
      <c r="G96" s="70">
        <f t="shared" si="3"/>
        <v>7.9093596462193235E-6</v>
      </c>
    </row>
    <row r="97" spans="1:7" x14ac:dyDescent="0.2">
      <c r="A97" s="25" t="s">
        <v>122</v>
      </c>
      <c r="B97" s="26">
        <v>127175</v>
      </c>
      <c r="C97" s="26">
        <v>106336.64</v>
      </c>
      <c r="D97" s="70">
        <f t="shared" si="2"/>
        <v>7.9093596462193235E-6</v>
      </c>
      <c r="F97" s="8" t="str">
        <v xml:space="preserve">Myanmar (ex Birmania) Unión de </v>
      </c>
      <c r="G97" s="70">
        <f t="shared" si="3"/>
        <v>1.3491790970902441E-4</v>
      </c>
    </row>
    <row r="98" spans="1:7" x14ac:dyDescent="0.2">
      <c r="A98" s="25" t="s">
        <v>123</v>
      </c>
      <c r="B98" s="26">
        <v>2169352</v>
      </c>
      <c r="C98" s="26">
        <v>4124786.2</v>
      </c>
      <c r="D98" s="70">
        <f t="shared" si="2"/>
        <v>1.3491790970902441E-4</v>
      </c>
      <c r="F98" s="8" t="str">
        <v xml:space="preserve">Camboya (ex Kampuchea) </v>
      </c>
      <c r="G98" s="70">
        <f t="shared" si="3"/>
        <v>4.6865115546182613E-4</v>
      </c>
    </row>
    <row r="99" spans="1:7" x14ac:dyDescent="0.2">
      <c r="A99" s="25" t="s">
        <v>124</v>
      </c>
      <c r="B99" s="26">
        <v>7535466</v>
      </c>
      <c r="C99" s="26">
        <v>335473.25</v>
      </c>
      <c r="D99" s="70">
        <f t="shared" si="2"/>
        <v>4.6865115546182613E-4</v>
      </c>
      <c r="F99" s="8" t="str">
        <v xml:space="preserve">Sri Lanka </v>
      </c>
      <c r="G99" s="70">
        <f t="shared" si="3"/>
        <v>1.2097106701679736E-6</v>
      </c>
    </row>
    <row r="100" spans="1:7" x14ac:dyDescent="0.2">
      <c r="A100" s="25" t="s">
        <v>125</v>
      </c>
      <c r="B100" s="26">
        <v>19451</v>
      </c>
      <c r="C100" s="26">
        <v>19385.22</v>
      </c>
      <c r="D100" s="70">
        <f t="shared" si="2"/>
        <v>1.2097106701679736E-6</v>
      </c>
      <c r="F100" s="8" t="str">
        <v xml:space="preserve">Corea Republicana </v>
      </c>
      <c r="G100" s="70">
        <f t="shared" si="3"/>
        <v>1.0835085793736449E-2</v>
      </c>
    </row>
    <row r="101" spans="1:7" x14ac:dyDescent="0.2">
      <c r="A101" s="25" t="s">
        <v>126</v>
      </c>
      <c r="B101" s="26">
        <v>174217901</v>
      </c>
      <c r="C101" s="26">
        <v>371818212.81</v>
      </c>
      <c r="D101" s="70">
        <f t="shared" si="2"/>
        <v>1.0835085793736449E-2</v>
      </c>
      <c r="F101" s="8" t="str">
        <v xml:space="preserve">China </v>
      </c>
      <c r="G101" s="70">
        <f t="shared" si="3"/>
        <v>5.6573709633966796E-2</v>
      </c>
    </row>
    <row r="102" spans="1:7" x14ac:dyDescent="0.2">
      <c r="A102" s="25" t="s">
        <v>127</v>
      </c>
      <c r="B102" s="26">
        <v>909651583</v>
      </c>
      <c r="C102" s="26">
        <v>1449605854.9100001</v>
      </c>
      <c r="D102" s="70">
        <f t="shared" si="2"/>
        <v>5.6573709633966796E-2</v>
      </c>
      <c r="F102" s="8" t="str">
        <v xml:space="preserve">Filipinas </v>
      </c>
      <c r="G102" s="70">
        <f t="shared" si="3"/>
        <v>2.8595549987360285E-2</v>
      </c>
    </row>
    <row r="103" spans="1:7" x14ac:dyDescent="0.2">
      <c r="A103" s="25" t="s">
        <v>128</v>
      </c>
      <c r="B103" s="26">
        <v>459789317</v>
      </c>
      <c r="C103" s="26">
        <v>956911542.70000005</v>
      </c>
      <c r="D103" s="70">
        <f t="shared" si="2"/>
        <v>2.8595549987360285E-2</v>
      </c>
      <c r="F103" s="8" t="str">
        <v xml:space="preserve">Taiwan </v>
      </c>
      <c r="G103" s="70">
        <f t="shared" si="3"/>
        <v>2.1082528586235725E-3</v>
      </c>
    </row>
    <row r="104" spans="1:7" x14ac:dyDescent="0.2">
      <c r="A104" s="25" t="s">
        <v>129</v>
      </c>
      <c r="B104" s="26">
        <v>33898706</v>
      </c>
      <c r="C104" s="26">
        <v>24396957.890000001</v>
      </c>
      <c r="D104" s="70">
        <f t="shared" si="2"/>
        <v>2.1082528586235725E-3</v>
      </c>
      <c r="F104" s="8" t="str">
        <v xml:space="preserve">India </v>
      </c>
      <c r="G104" s="70">
        <f t="shared" si="3"/>
        <v>6.2152395526245949E-2</v>
      </c>
    </row>
    <row r="105" spans="1:7" x14ac:dyDescent="0.2">
      <c r="A105" s="25" t="s">
        <v>130</v>
      </c>
      <c r="B105" s="26">
        <v>999351560</v>
      </c>
      <c r="C105" s="26">
        <v>1183118777.1199999</v>
      </c>
      <c r="D105" s="70">
        <f t="shared" si="2"/>
        <v>6.2152395526245949E-2</v>
      </c>
      <c r="F105" s="8" t="str">
        <v xml:space="preserve">Indonesia </v>
      </c>
      <c r="G105" s="70">
        <f t="shared" si="3"/>
        <v>4.2601587714077384E-2</v>
      </c>
    </row>
    <row r="106" spans="1:7" x14ac:dyDescent="0.2">
      <c r="A106" s="25" t="s">
        <v>131</v>
      </c>
      <c r="B106" s="26">
        <v>684993117</v>
      </c>
      <c r="C106" s="26">
        <v>1441644571.4300001</v>
      </c>
      <c r="D106" s="70">
        <f t="shared" si="2"/>
        <v>4.2601587714077384E-2</v>
      </c>
      <c r="F106" s="8" t="str">
        <v xml:space="preserve">Iraq </v>
      </c>
      <c r="G106" s="70">
        <f t="shared" si="3"/>
        <v>1.0258451588727598E-3</v>
      </c>
    </row>
    <row r="107" spans="1:7" x14ac:dyDescent="0.2">
      <c r="A107" s="25" t="s">
        <v>132</v>
      </c>
      <c r="B107" s="26">
        <v>16494617</v>
      </c>
      <c r="C107" s="26">
        <v>28526919.140000001</v>
      </c>
      <c r="D107" s="70">
        <f t="shared" si="2"/>
        <v>1.0258451588727598E-3</v>
      </c>
      <c r="F107" s="8" t="str">
        <v xml:space="preserve">Irán </v>
      </c>
      <c r="G107" s="70">
        <f t="shared" si="3"/>
        <v>3.6152626972611533E-2</v>
      </c>
    </row>
    <row r="108" spans="1:7" x14ac:dyDescent="0.2">
      <c r="A108" s="25" t="s">
        <v>133</v>
      </c>
      <c r="B108" s="26">
        <v>581299946</v>
      </c>
      <c r="C108" s="26">
        <v>1148526505.54</v>
      </c>
      <c r="D108" s="70">
        <f t="shared" si="2"/>
        <v>3.6152626972611533E-2</v>
      </c>
      <c r="F108" s="8" t="str">
        <v xml:space="preserve">Israel </v>
      </c>
      <c r="G108" s="70">
        <f t="shared" si="3"/>
        <v>3.2152705301361877E-3</v>
      </c>
    </row>
    <row r="109" spans="1:7" x14ac:dyDescent="0.2">
      <c r="A109" s="25" t="s">
        <v>134</v>
      </c>
      <c r="B109" s="26">
        <v>51698500</v>
      </c>
      <c r="C109" s="26">
        <v>48692457.770000003</v>
      </c>
      <c r="D109" s="70">
        <f t="shared" si="2"/>
        <v>3.2152705301361877E-3</v>
      </c>
      <c r="F109" s="8" t="str">
        <v xml:space="preserve">Japón </v>
      </c>
      <c r="G109" s="70">
        <f t="shared" si="3"/>
        <v>2.9701158931486646E-3</v>
      </c>
    </row>
    <row r="110" spans="1:7" x14ac:dyDescent="0.2">
      <c r="A110" s="25" t="s">
        <v>135</v>
      </c>
      <c r="B110" s="26">
        <v>47756646</v>
      </c>
      <c r="C110" s="26">
        <v>122037185.61</v>
      </c>
      <c r="D110" s="70">
        <f t="shared" si="2"/>
        <v>2.9701158931486646E-3</v>
      </c>
      <c r="F110" s="8" t="str">
        <v xml:space="preserve">Jordania </v>
      </c>
      <c r="G110" s="70">
        <f t="shared" si="3"/>
        <v>7.1328068684396303E-3</v>
      </c>
    </row>
    <row r="111" spans="1:7" x14ac:dyDescent="0.2">
      <c r="A111" s="25" t="s">
        <v>136</v>
      </c>
      <c r="B111" s="26">
        <v>114688768</v>
      </c>
      <c r="C111" s="26">
        <v>270450453.26999998</v>
      </c>
      <c r="D111" s="70">
        <f t="shared" si="2"/>
        <v>7.1328068684396303E-3</v>
      </c>
      <c r="F111" s="8" t="str">
        <v xml:space="preserve">Qatar </v>
      </c>
      <c r="G111" s="70">
        <f t="shared" si="3"/>
        <v>3.6793837313149703E-6</v>
      </c>
    </row>
    <row r="112" spans="1:7" x14ac:dyDescent="0.2">
      <c r="A112" s="25" t="s">
        <v>137</v>
      </c>
      <c r="B112" s="26">
        <v>59161</v>
      </c>
      <c r="C112" s="26">
        <v>25739.02</v>
      </c>
      <c r="D112" s="70">
        <f t="shared" si="2"/>
        <v>3.6793837313149703E-6</v>
      </c>
      <c r="F112" s="8" t="str">
        <v xml:space="preserve">Kuwait </v>
      </c>
      <c r="G112" s="70">
        <f t="shared" si="3"/>
        <v>2.3654585796971809E-4</v>
      </c>
    </row>
    <row r="113" spans="1:7" x14ac:dyDescent="0.2">
      <c r="A113" s="25" t="s">
        <v>138</v>
      </c>
      <c r="B113" s="26">
        <v>3803433</v>
      </c>
      <c r="C113" s="26">
        <v>16677594.09</v>
      </c>
      <c r="D113" s="70">
        <f t="shared" si="2"/>
        <v>2.3654585796971809E-4</v>
      </c>
      <c r="F113" s="8" t="str">
        <v xml:space="preserve">Líbano </v>
      </c>
      <c r="G113" s="70">
        <f t="shared" si="3"/>
        <v>2.3035127610345203E-3</v>
      </c>
    </row>
    <row r="114" spans="1:7" x14ac:dyDescent="0.2">
      <c r="A114" s="25" t="s">
        <v>139</v>
      </c>
      <c r="B114" s="26">
        <v>37038300</v>
      </c>
      <c r="C114" s="26">
        <v>71654831.420000002</v>
      </c>
      <c r="D114" s="70">
        <f t="shared" si="2"/>
        <v>2.3035127610345203E-3</v>
      </c>
      <c r="F114" s="8" t="str">
        <v xml:space="preserve">Malasia </v>
      </c>
      <c r="G114" s="70">
        <f t="shared" si="3"/>
        <v>3.2106288632669754E-2</v>
      </c>
    </row>
    <row r="115" spans="1:7" x14ac:dyDescent="0.2">
      <c r="A115" s="25" t="s">
        <v>140</v>
      </c>
      <c r="B115" s="26">
        <v>516238664</v>
      </c>
      <c r="C115" s="26">
        <v>1097552305.5</v>
      </c>
      <c r="D115" s="70">
        <f t="shared" si="2"/>
        <v>3.2106288632669754E-2</v>
      </c>
      <c r="F115" s="8" t="str">
        <v xml:space="preserve">Maldivas </v>
      </c>
      <c r="G115" s="70" t="e">
        <f t="shared" si="3"/>
        <v>#VALUE!</v>
      </c>
    </row>
    <row r="116" spans="1:7" x14ac:dyDescent="0.2">
      <c r="A116" s="25" t="s">
        <v>141</v>
      </c>
      <c r="B116" s="26" t="s">
        <v>30</v>
      </c>
      <c r="C116" s="26" t="s">
        <v>30</v>
      </c>
      <c r="D116" s="70" t="e">
        <f t="shared" si="2"/>
        <v>#VALUE!</v>
      </c>
      <c r="F116" s="8" t="str">
        <v xml:space="preserve">Omán </v>
      </c>
      <c r="G116" s="70">
        <f t="shared" si="3"/>
        <v>1.3578748837286117E-4</v>
      </c>
    </row>
    <row r="117" spans="1:7" x14ac:dyDescent="0.2">
      <c r="A117" s="25" t="s">
        <v>142</v>
      </c>
      <c r="B117" s="26">
        <v>2183334</v>
      </c>
      <c r="C117" s="26">
        <v>9990155.3599999994</v>
      </c>
      <c r="D117" s="70">
        <f t="shared" si="2"/>
        <v>1.3578748837286117E-4</v>
      </c>
      <c r="F117" s="8" t="str">
        <v xml:space="preserve">Mongolia </v>
      </c>
      <c r="G117" s="70">
        <f t="shared" si="3"/>
        <v>3.9458297985163292E-5</v>
      </c>
    </row>
    <row r="118" spans="1:7" x14ac:dyDescent="0.2">
      <c r="A118" s="25" t="s">
        <v>143</v>
      </c>
      <c r="B118" s="26">
        <v>634452</v>
      </c>
      <c r="C118" s="26">
        <v>140528.16</v>
      </c>
      <c r="D118" s="70">
        <f t="shared" si="2"/>
        <v>3.9458297985163292E-5</v>
      </c>
      <c r="F118" s="8" t="str">
        <v xml:space="preserve">Nepal </v>
      </c>
      <c r="G118" s="70">
        <f t="shared" si="3"/>
        <v>4.5124739241123099E-5</v>
      </c>
    </row>
    <row r="119" spans="1:7" x14ac:dyDescent="0.2">
      <c r="A119" s="25" t="s">
        <v>144</v>
      </c>
      <c r="B119" s="26">
        <v>725563</v>
      </c>
      <c r="C119" s="26">
        <v>1422264.23</v>
      </c>
      <c r="D119" s="70">
        <f t="shared" si="2"/>
        <v>4.5124739241123099E-5</v>
      </c>
      <c r="F119" s="8" t="str">
        <v xml:space="preserve">Emiratos Arabes Unidos </v>
      </c>
      <c r="G119" s="70">
        <f t="shared" si="3"/>
        <v>1.4676603406033912E-3</v>
      </c>
    </row>
    <row r="120" spans="1:7" x14ac:dyDescent="0.2">
      <c r="A120" s="25" t="s">
        <v>145</v>
      </c>
      <c r="B120" s="26">
        <v>23598586</v>
      </c>
      <c r="C120" s="26">
        <v>53412674.490000002</v>
      </c>
      <c r="D120" s="70">
        <f t="shared" si="2"/>
        <v>1.4676603406033912E-3</v>
      </c>
      <c r="F120" s="8" t="str">
        <v xml:space="preserve">Paquistán </v>
      </c>
      <c r="G120" s="70">
        <f t="shared" si="3"/>
        <v>4.0327533967092037E-3</v>
      </c>
    </row>
    <row r="121" spans="1:7" x14ac:dyDescent="0.2">
      <c r="A121" s="25" t="s">
        <v>146</v>
      </c>
      <c r="B121" s="26">
        <v>64842849</v>
      </c>
      <c r="C121" s="26">
        <v>112410436.02</v>
      </c>
      <c r="D121" s="70">
        <f t="shared" si="2"/>
        <v>4.0327533967092037E-3</v>
      </c>
      <c r="F121" s="8" t="str">
        <v xml:space="preserve">Singapur </v>
      </c>
      <c r="G121" s="70">
        <f t="shared" si="3"/>
        <v>1.2559584234223209E-4</v>
      </c>
    </row>
    <row r="122" spans="1:7" x14ac:dyDescent="0.2">
      <c r="A122" s="25" t="s">
        <v>147</v>
      </c>
      <c r="B122" s="26">
        <v>2019462</v>
      </c>
      <c r="C122" s="26">
        <v>1082041.3999999999</v>
      </c>
      <c r="D122" s="70">
        <f t="shared" si="2"/>
        <v>1.2559584234223209E-4</v>
      </c>
      <c r="F122" s="8" t="str">
        <v xml:space="preserve">Siria </v>
      </c>
      <c r="G122" s="70">
        <f t="shared" si="3"/>
        <v>2.9088829274859255E-3</v>
      </c>
    </row>
    <row r="123" spans="1:7" x14ac:dyDescent="0.2">
      <c r="A123" s="25" t="s">
        <v>148</v>
      </c>
      <c r="B123" s="26">
        <v>46772078</v>
      </c>
      <c r="C123" s="26">
        <v>99344297.329999998</v>
      </c>
      <c r="D123" s="70">
        <f t="shared" si="2"/>
        <v>2.9088829274859255E-3</v>
      </c>
      <c r="F123" s="8" t="str">
        <v xml:space="preserve">Tailandia </v>
      </c>
      <c r="G123" s="70">
        <f t="shared" si="3"/>
        <v>2.1145302003473674E-2</v>
      </c>
    </row>
    <row r="124" spans="1:7" x14ac:dyDescent="0.2">
      <c r="A124" s="25" t="s">
        <v>149</v>
      </c>
      <c r="B124" s="26">
        <v>339996397</v>
      </c>
      <c r="C124" s="26">
        <v>598436394.61000001</v>
      </c>
      <c r="D124" s="70">
        <f t="shared" si="2"/>
        <v>2.1145302003473674E-2</v>
      </c>
      <c r="F124" s="8" t="str">
        <v xml:space="preserve">Vietnam </v>
      </c>
      <c r="G124" s="70">
        <f t="shared" si="3"/>
        <v>4.1263297194680401E-2</v>
      </c>
    </row>
    <row r="125" spans="1:7" x14ac:dyDescent="0.2">
      <c r="A125" s="25" t="s">
        <v>150</v>
      </c>
      <c r="B125" s="26">
        <v>663474675</v>
      </c>
      <c r="C125" s="26">
        <v>1372057188.0599999</v>
      </c>
      <c r="D125" s="70">
        <f t="shared" si="2"/>
        <v>4.1263297194680401E-2</v>
      </c>
      <c r="F125" s="8" t="str">
        <v xml:space="preserve">Hong Kong </v>
      </c>
      <c r="G125" s="70">
        <f t="shared" si="3"/>
        <v>2.8778103232183824E-3</v>
      </c>
    </row>
    <row r="126" spans="1:7" x14ac:dyDescent="0.2">
      <c r="A126" s="25" t="s">
        <v>151</v>
      </c>
      <c r="B126" s="26">
        <v>46272460</v>
      </c>
      <c r="C126" s="26">
        <v>13813037.76</v>
      </c>
      <c r="D126" s="70">
        <f t="shared" si="2"/>
        <v>2.8778103232183824E-3</v>
      </c>
      <c r="F126" s="8" t="str">
        <v xml:space="preserve">Bangladesh </v>
      </c>
      <c r="G126" s="70">
        <f t="shared" si="3"/>
        <v>1.3630576583910375E-2</v>
      </c>
    </row>
    <row r="127" spans="1:7" x14ac:dyDescent="0.2">
      <c r="A127" s="25" t="s">
        <v>153</v>
      </c>
      <c r="B127" s="26">
        <v>219166741</v>
      </c>
      <c r="C127" s="26">
        <v>269155171.49000001</v>
      </c>
      <c r="D127" s="70">
        <f t="shared" si="2"/>
        <v>1.3630576583910375E-2</v>
      </c>
      <c r="F127" s="8" t="str">
        <v xml:space="preserve">Brunei </v>
      </c>
      <c r="G127" s="70">
        <f t="shared" si="3"/>
        <v>1.8859290461487906E-4</v>
      </c>
    </row>
    <row r="128" spans="1:7" x14ac:dyDescent="0.2">
      <c r="A128" s="25" t="s">
        <v>215</v>
      </c>
      <c r="B128" s="26">
        <v>3032395</v>
      </c>
      <c r="C128" s="26">
        <v>7260200</v>
      </c>
      <c r="D128" s="70">
        <f t="shared" si="2"/>
        <v>1.8859290461487906E-4</v>
      </c>
      <c r="F128" s="8" t="str">
        <v xml:space="preserve">República de Yemen </v>
      </c>
      <c r="G128" s="70">
        <f t="shared" si="3"/>
        <v>3.3545477144328469E-3</v>
      </c>
    </row>
    <row r="129" spans="1:7" x14ac:dyDescent="0.2">
      <c r="A129" s="25" t="s">
        <v>154</v>
      </c>
      <c r="B129" s="26">
        <v>53937945</v>
      </c>
      <c r="C129" s="26">
        <v>143760494.65000001</v>
      </c>
      <c r="D129" s="70">
        <f t="shared" si="2"/>
        <v>3.3545477144328469E-3</v>
      </c>
      <c r="F129" s="8" t="str">
        <v xml:space="preserve">Armenia </v>
      </c>
      <c r="G129" s="70">
        <f t="shared" si="3"/>
        <v>4.3497591008970273E-7</v>
      </c>
    </row>
    <row r="130" spans="1:7" x14ac:dyDescent="0.2">
      <c r="A130" s="25" t="s">
        <v>155</v>
      </c>
      <c r="B130" s="26">
        <v>6994</v>
      </c>
      <c r="C130" s="26">
        <v>11378.15</v>
      </c>
      <c r="D130" s="70">
        <f t="shared" si="2"/>
        <v>4.3497591008970273E-7</v>
      </c>
      <c r="F130" s="8" t="str">
        <v xml:space="preserve">Azerbaiján </v>
      </c>
      <c r="G130" s="70">
        <f t="shared" si="3"/>
        <v>2.4225309765247498E-6</v>
      </c>
    </row>
    <row r="131" spans="1:7" x14ac:dyDescent="0.2">
      <c r="A131" s="25" t="s">
        <v>156</v>
      </c>
      <c r="B131" s="26">
        <v>38952</v>
      </c>
      <c r="C131" s="26">
        <v>52807.35</v>
      </c>
      <c r="D131" s="70">
        <f t="shared" si="2"/>
        <v>2.4225309765247498E-6</v>
      </c>
      <c r="F131" s="8" t="str">
        <v xml:space="preserve">Georgia </v>
      </c>
      <c r="G131" s="70">
        <f t="shared" si="3"/>
        <v>8.6467787720319624E-6</v>
      </c>
    </row>
    <row r="132" spans="1:7" x14ac:dyDescent="0.2">
      <c r="A132" s="25" t="s">
        <v>157</v>
      </c>
      <c r="B132" s="26">
        <v>139032</v>
      </c>
      <c r="C132" s="26">
        <v>62418.98</v>
      </c>
      <c r="D132" s="70">
        <f t="shared" si="2"/>
        <v>8.6467787720319624E-6</v>
      </c>
      <c r="F132" s="8" t="str">
        <v xml:space="preserve">Kazajstán </v>
      </c>
      <c r="G132" s="70">
        <f t="shared" si="3"/>
        <v>4.819494524305165E-5</v>
      </c>
    </row>
    <row r="133" spans="1:7" x14ac:dyDescent="0.2">
      <c r="A133" s="25" t="s">
        <v>158</v>
      </c>
      <c r="B133" s="26">
        <v>774929</v>
      </c>
      <c r="C133" s="26">
        <v>163230.41</v>
      </c>
      <c r="D133" s="70">
        <f t="shared" si="2"/>
        <v>4.819494524305165E-5</v>
      </c>
      <c r="F133" s="8" t="str">
        <v>Territorios Autónomos Palestinos (Gaza y Jericó)</v>
      </c>
      <c r="G133" s="70">
        <f t="shared" si="3"/>
        <v>5.6284415017326418E-7</v>
      </c>
    </row>
    <row r="134" spans="1:7" x14ac:dyDescent="0.2">
      <c r="A134" s="25" t="s">
        <v>159</v>
      </c>
      <c r="B134" s="26">
        <v>9050</v>
      </c>
      <c r="C134" s="26">
        <v>203</v>
      </c>
      <c r="D134" s="70">
        <f t="shared" si="2"/>
        <v>5.6284415017326418E-7</v>
      </c>
      <c r="F134" s="8" t="str">
        <v>EUROPA</v>
      </c>
      <c r="G134" s="70">
        <f t="shared" si="3"/>
        <v>0.24873410425214276</v>
      </c>
    </row>
    <row r="135" spans="1:7" x14ac:dyDescent="0.2">
      <c r="A135" s="25"/>
      <c r="B135" s="26"/>
      <c r="C135" s="26"/>
      <c r="D135" s="70">
        <f t="shared" si="2"/>
        <v>0</v>
      </c>
      <c r="F135" s="8" t="str">
        <v xml:space="preserve">Albania </v>
      </c>
      <c r="G135" s="70">
        <f t="shared" si="3"/>
        <v>9.8656317725950162E-7</v>
      </c>
    </row>
    <row r="136" spans="1:7" x14ac:dyDescent="0.2">
      <c r="A136" s="25" t="s">
        <v>160</v>
      </c>
      <c r="B136" s="26">
        <v>3999408438</v>
      </c>
      <c r="C136" s="26">
        <v>7481378486.29</v>
      </c>
      <c r="D136" s="70">
        <f t="shared" si="2"/>
        <v>0.24873410425214276</v>
      </c>
      <c r="F136" s="8" t="str">
        <v xml:space="preserve">Austria </v>
      </c>
      <c r="G136" s="70">
        <f t="shared" si="3"/>
        <v>2.0071277385346083E-4</v>
      </c>
    </row>
    <row r="137" spans="1:7" x14ac:dyDescent="0.2">
      <c r="A137" s="25" t="s">
        <v>161</v>
      </c>
      <c r="B137" s="26">
        <v>15863</v>
      </c>
      <c r="C137" s="26">
        <v>22634.31</v>
      </c>
      <c r="D137" s="70">
        <f t="shared" si="2"/>
        <v>9.8656317725950162E-7</v>
      </c>
      <c r="F137" s="8" t="str">
        <v xml:space="preserve">Bélgica </v>
      </c>
      <c r="G137" s="70">
        <f t="shared" si="3"/>
        <v>3.6786180144998395E-3</v>
      </c>
    </row>
    <row r="138" spans="1:7" x14ac:dyDescent="0.2">
      <c r="A138" s="25" t="s">
        <v>162</v>
      </c>
      <c r="B138" s="26">
        <v>3227271</v>
      </c>
      <c r="C138" s="26">
        <v>70921.490000000005</v>
      </c>
      <c r="D138" s="70">
        <f t="shared" si="2"/>
        <v>2.0071277385346083E-4</v>
      </c>
      <c r="F138" s="8" t="str">
        <v xml:space="preserve">Bulgaria </v>
      </c>
      <c r="G138" s="70">
        <f t="shared" si="3"/>
        <v>4.0775415489292509E-6</v>
      </c>
    </row>
    <row r="139" spans="1:7" x14ac:dyDescent="0.2">
      <c r="A139" s="25" t="s">
        <v>163</v>
      </c>
      <c r="B139" s="26">
        <v>59148688</v>
      </c>
      <c r="C139" s="26">
        <v>105791427.63</v>
      </c>
      <c r="D139" s="70">
        <f t="shared" ref="D139:D155" si="4">+B139/$B$8</f>
        <v>3.6786180144998395E-3</v>
      </c>
      <c r="F139" s="8" t="str">
        <v xml:space="preserve">Dinamarca </v>
      </c>
      <c r="G139" s="70">
        <f t="shared" ref="G139:G151" si="5">+SUMIF(A139:A284,F139,D139:D284)</f>
        <v>1.010511437098144E-2</v>
      </c>
    </row>
    <row r="140" spans="1:7" x14ac:dyDescent="0.2">
      <c r="A140" s="25" t="s">
        <v>164</v>
      </c>
      <c r="B140" s="26">
        <v>65563</v>
      </c>
      <c r="C140" s="26">
        <v>46043.43</v>
      </c>
      <c r="D140" s="70">
        <f t="shared" si="4"/>
        <v>4.0775415489292509E-6</v>
      </c>
      <c r="F140" s="8" t="str">
        <v xml:space="preserve">España </v>
      </c>
      <c r="G140" s="70">
        <f t="shared" si="5"/>
        <v>4.5599342302443023E-2</v>
      </c>
    </row>
    <row r="141" spans="1:7" x14ac:dyDescent="0.2">
      <c r="A141" s="25" t="s">
        <v>165</v>
      </c>
      <c r="B141" s="26">
        <v>162480653</v>
      </c>
      <c r="C141" s="26">
        <v>338709582.91000003</v>
      </c>
      <c r="D141" s="70">
        <f t="shared" si="4"/>
        <v>1.010511437098144E-2</v>
      </c>
      <c r="F141" s="8" t="str">
        <v xml:space="preserve">Finlandia </v>
      </c>
      <c r="G141" s="70">
        <f t="shared" si="5"/>
        <v>4.3219589533691327E-6</v>
      </c>
    </row>
    <row r="142" spans="1:7" x14ac:dyDescent="0.2">
      <c r="A142" s="25" t="s">
        <v>166</v>
      </c>
      <c r="B142" s="26">
        <v>733194167</v>
      </c>
      <c r="C142" s="26">
        <v>1289226773.78</v>
      </c>
      <c r="D142" s="70">
        <f t="shared" si="4"/>
        <v>4.5599342302443023E-2</v>
      </c>
      <c r="F142" s="8" t="str">
        <v xml:space="preserve">Francia </v>
      </c>
      <c r="G142" s="70">
        <f t="shared" si="5"/>
        <v>3.2932607654858701E-3</v>
      </c>
    </row>
    <row r="143" spans="1:7" x14ac:dyDescent="0.2">
      <c r="A143" s="25" t="s">
        <v>167</v>
      </c>
      <c r="B143" s="26">
        <v>69493</v>
      </c>
      <c r="C143" s="26">
        <v>13472.94</v>
      </c>
      <c r="D143" s="70">
        <f t="shared" si="4"/>
        <v>4.3219589533691327E-6</v>
      </c>
      <c r="F143" s="8" t="str">
        <v xml:space="preserve">Grecia </v>
      </c>
      <c r="G143" s="70">
        <f t="shared" si="5"/>
        <v>3.48318695771306E-3</v>
      </c>
    </row>
    <row r="144" spans="1:7" x14ac:dyDescent="0.2">
      <c r="A144" s="25" t="s">
        <v>168</v>
      </c>
      <c r="B144" s="26">
        <v>52952509</v>
      </c>
      <c r="C144" s="26">
        <v>93979560.560000002</v>
      </c>
      <c r="D144" s="70">
        <f t="shared" si="4"/>
        <v>3.2932607654858701E-3</v>
      </c>
      <c r="F144" s="8" t="str">
        <v xml:space="preserve">Hungría </v>
      </c>
      <c r="G144" s="70">
        <f t="shared" si="5"/>
        <v>2.7710590005657412E-5</v>
      </c>
    </row>
    <row r="145" spans="1:7" x14ac:dyDescent="0.2">
      <c r="A145" s="25" t="s">
        <v>169</v>
      </c>
      <c r="B145" s="26">
        <v>56006342</v>
      </c>
      <c r="C145" s="26">
        <v>120759089.81</v>
      </c>
      <c r="D145" s="70">
        <f t="shared" si="4"/>
        <v>3.48318695771306E-3</v>
      </c>
      <c r="F145" s="8" t="str">
        <v xml:space="preserve">Irlanda </v>
      </c>
      <c r="G145" s="70">
        <f t="shared" si="5"/>
        <v>8.9824033607075176E-3</v>
      </c>
    </row>
    <row r="146" spans="1:7" x14ac:dyDescent="0.2">
      <c r="A146" s="25" t="s">
        <v>170</v>
      </c>
      <c r="B146" s="26">
        <v>445560</v>
      </c>
      <c r="C146" s="26">
        <v>37502.089999999997</v>
      </c>
      <c r="D146" s="70">
        <f t="shared" si="4"/>
        <v>2.7710590005657412E-5</v>
      </c>
      <c r="F146" s="8" t="str">
        <v xml:space="preserve">Italia </v>
      </c>
      <c r="G146" s="70">
        <f t="shared" si="5"/>
        <v>2.5268234476501807E-2</v>
      </c>
    </row>
    <row r="147" spans="1:7" x14ac:dyDescent="0.2">
      <c r="A147" s="25" t="s">
        <v>171</v>
      </c>
      <c r="B147" s="26">
        <v>144428525</v>
      </c>
      <c r="C147" s="26">
        <v>392209586.37</v>
      </c>
      <c r="D147" s="70">
        <f t="shared" si="4"/>
        <v>8.9824033607075176E-3</v>
      </c>
      <c r="F147" s="8" t="str">
        <v xml:space="preserve">Luxemburgo </v>
      </c>
      <c r="G147" s="70">
        <f t="shared" si="5"/>
        <v>1.7589159560171496E-5</v>
      </c>
    </row>
    <row r="148" spans="1:7" x14ac:dyDescent="0.2">
      <c r="A148" s="25" t="s">
        <v>173</v>
      </c>
      <c r="B148" s="26">
        <v>406289240</v>
      </c>
      <c r="C148" s="26">
        <v>831548992.60000002</v>
      </c>
      <c r="D148" s="70">
        <f t="shared" si="4"/>
        <v>2.5268234476501807E-2</v>
      </c>
      <c r="F148" s="8" t="str">
        <v xml:space="preserve">Noruega </v>
      </c>
      <c r="G148" s="70">
        <f t="shared" si="5"/>
        <v>2.1289191275780116E-6</v>
      </c>
    </row>
    <row r="149" spans="1:7" x14ac:dyDescent="0.2">
      <c r="A149" s="25" t="s">
        <v>174</v>
      </c>
      <c r="B149" s="26">
        <v>282817</v>
      </c>
      <c r="C149" s="26">
        <v>16991.009999999998</v>
      </c>
      <c r="D149" s="70">
        <f t="shared" si="4"/>
        <v>1.7589159560171496E-5</v>
      </c>
      <c r="F149" s="8" t="str">
        <v xml:space="preserve">Países Bajos </v>
      </c>
      <c r="G149" s="70">
        <f t="shared" si="5"/>
        <v>3.055679753163806E-2</v>
      </c>
    </row>
    <row r="150" spans="1:7" x14ac:dyDescent="0.2">
      <c r="A150" s="25" t="s">
        <v>176</v>
      </c>
      <c r="B150" s="26">
        <v>34231</v>
      </c>
      <c r="C150" s="26">
        <v>20802.14</v>
      </c>
      <c r="D150" s="70">
        <f t="shared" si="4"/>
        <v>2.1289191275780116E-6</v>
      </c>
      <c r="F150" s="8" t="str">
        <v xml:space="preserve">Polonia </v>
      </c>
      <c r="G150" s="70">
        <f t="shared" si="5"/>
        <v>3.313199161897596E-2</v>
      </c>
    </row>
    <row r="151" spans="1:7" x14ac:dyDescent="0.2">
      <c r="A151" s="25" t="s">
        <v>177</v>
      </c>
      <c r="B151" s="26">
        <v>491324317</v>
      </c>
      <c r="C151" s="26">
        <v>1095637707.46</v>
      </c>
      <c r="D151" s="70">
        <f t="shared" si="4"/>
        <v>3.055679753163806E-2</v>
      </c>
      <c r="F151" s="8" t="str">
        <v xml:space="preserve">Portugal </v>
      </c>
      <c r="G151" s="70">
        <f t="shared" si="5"/>
        <v>3.3643471109546201E-4</v>
      </c>
    </row>
    <row r="152" spans="1:7" x14ac:dyDescent="0.2">
      <c r="A152" s="25" t="s">
        <v>178</v>
      </c>
      <c r="B152" s="26">
        <v>532730995</v>
      </c>
      <c r="C152" s="26">
        <v>1132380236.21</v>
      </c>
      <c r="D152" s="70">
        <f t="shared" si="4"/>
        <v>3.313199161897596E-2</v>
      </c>
      <c r="F152" s="8" t="str">
        <v xml:space="preserve">Reino Unido </v>
      </c>
    </row>
    <row r="153" spans="1:7" x14ac:dyDescent="0.2">
      <c r="A153" s="25" t="s">
        <v>179</v>
      </c>
      <c r="B153" s="26">
        <v>5409551</v>
      </c>
      <c r="C153" s="26">
        <v>12305586.75</v>
      </c>
      <c r="D153" s="70">
        <f t="shared" si="4"/>
        <v>3.3643471109546201E-4</v>
      </c>
      <c r="F153" s="8" t="str">
        <v xml:space="preserve">Rumania </v>
      </c>
    </row>
    <row r="154" spans="1:7" x14ac:dyDescent="0.2">
      <c r="A154" s="25" t="s">
        <v>180</v>
      </c>
      <c r="B154" s="26">
        <v>404086336</v>
      </c>
      <c r="C154" s="26">
        <v>693021088</v>
      </c>
      <c r="D154" s="70">
        <f t="shared" si="4"/>
        <v>2.5131229876524649E-2</v>
      </c>
    </row>
    <row r="155" spans="1:7" x14ac:dyDescent="0.2">
      <c r="A155" s="25" t="s">
        <v>181</v>
      </c>
      <c r="B155" s="26">
        <v>48468250</v>
      </c>
      <c r="C155" s="26">
        <v>98945918.150000006</v>
      </c>
      <c r="D155" s="70">
        <f t="shared" si="4"/>
        <v>3.0143724841585977E-3</v>
      </c>
    </row>
    <row r="156" spans="1:7" x14ac:dyDescent="0.2">
      <c r="A156" s="25" t="s">
        <v>182</v>
      </c>
      <c r="B156" s="26">
        <v>3610585</v>
      </c>
      <c r="C156" s="26">
        <v>180468.03</v>
      </c>
    </row>
    <row r="157" spans="1:7" x14ac:dyDescent="0.2">
      <c r="A157" s="25" t="s">
        <v>183</v>
      </c>
      <c r="B157" s="26">
        <v>7800235</v>
      </c>
      <c r="C157" s="26">
        <v>7313609.1399999997</v>
      </c>
    </row>
    <row r="158" spans="1:7" x14ac:dyDescent="0.2">
      <c r="A158" s="25" t="s">
        <v>218</v>
      </c>
      <c r="B158" s="26">
        <v>119875257</v>
      </c>
      <c r="C158" s="26">
        <v>141218864</v>
      </c>
    </row>
    <row r="159" spans="1:7" x14ac:dyDescent="0.2">
      <c r="A159" s="25" t="s">
        <v>184</v>
      </c>
      <c r="B159" s="26">
        <v>9103697</v>
      </c>
      <c r="C159" s="26">
        <v>19058879.199999999</v>
      </c>
    </row>
    <row r="160" spans="1:7" x14ac:dyDescent="0.2">
      <c r="A160" s="25" t="s">
        <v>185</v>
      </c>
      <c r="B160" s="26">
        <v>187470211</v>
      </c>
      <c r="C160" s="26">
        <v>420575064.48000002</v>
      </c>
    </row>
    <row r="161" spans="1:3" x14ac:dyDescent="0.2">
      <c r="A161" s="25" t="s">
        <v>186</v>
      </c>
      <c r="B161" s="26">
        <v>186622578</v>
      </c>
      <c r="C161" s="26">
        <v>140861585.80000001</v>
      </c>
    </row>
    <row r="162" spans="1:3" x14ac:dyDescent="0.2">
      <c r="A162" s="25" t="s">
        <v>187</v>
      </c>
      <c r="B162" s="26">
        <v>660658</v>
      </c>
      <c r="C162" s="26">
        <v>184105</v>
      </c>
    </row>
    <row r="163" spans="1:3" x14ac:dyDescent="0.2">
      <c r="A163" s="25" t="s">
        <v>188</v>
      </c>
      <c r="B163" s="26">
        <v>753354</v>
      </c>
      <c r="C163" s="26">
        <v>34694</v>
      </c>
    </row>
    <row r="164" spans="1:3" x14ac:dyDescent="0.2">
      <c r="A164" s="25" t="s">
        <v>189</v>
      </c>
      <c r="B164" s="26">
        <v>207947834</v>
      </c>
      <c r="C164" s="26">
        <v>440789637.5</v>
      </c>
    </row>
    <row r="165" spans="1:3" x14ac:dyDescent="0.2">
      <c r="A165" s="25" t="s">
        <v>190</v>
      </c>
      <c r="B165" s="26">
        <v>28300775</v>
      </c>
      <c r="C165" s="26">
        <v>60011618.909999996</v>
      </c>
    </row>
    <row r="166" spans="1:3" x14ac:dyDescent="0.2">
      <c r="A166" s="25" t="s">
        <v>209</v>
      </c>
      <c r="B166" s="26">
        <v>120713</v>
      </c>
      <c r="C166" s="26">
        <v>17445.45</v>
      </c>
    </row>
    <row r="167" spans="1:3" x14ac:dyDescent="0.2">
      <c r="A167" s="25" t="s">
        <v>191</v>
      </c>
      <c r="B167" s="26">
        <v>136621428</v>
      </c>
      <c r="C167" s="26">
        <v>32300687.489999998</v>
      </c>
    </row>
    <row r="168" spans="1:3" x14ac:dyDescent="0.2">
      <c r="A168" s="25" t="s">
        <v>192</v>
      </c>
      <c r="B168" s="26">
        <v>1467762</v>
      </c>
      <c r="C168" s="26">
        <v>953388.22</v>
      </c>
    </row>
    <row r="169" spans="1:3" x14ac:dyDescent="0.2">
      <c r="A169" s="25" t="s">
        <v>193</v>
      </c>
      <c r="B169" s="26">
        <v>26962</v>
      </c>
      <c r="C169" s="26">
        <v>45136.5</v>
      </c>
    </row>
    <row r="170" spans="1:3" x14ac:dyDescent="0.2">
      <c r="A170" s="25" t="s">
        <v>194</v>
      </c>
      <c r="B170" s="26">
        <v>6223799</v>
      </c>
      <c r="C170" s="26">
        <v>12359390.35</v>
      </c>
    </row>
    <row r="171" spans="1:3" x14ac:dyDescent="0.2">
      <c r="A171" s="25" t="s">
        <v>195</v>
      </c>
      <c r="B171" s="26">
        <v>3310</v>
      </c>
      <c r="C171" s="26">
        <v>5492.9</v>
      </c>
    </row>
    <row r="172" spans="1:3" x14ac:dyDescent="0.2">
      <c r="A172" s="25" t="s">
        <v>196</v>
      </c>
      <c r="B172" s="26">
        <v>2019</v>
      </c>
      <c r="C172" s="26">
        <v>2914.6</v>
      </c>
    </row>
    <row r="173" spans="1:3" x14ac:dyDescent="0.2">
      <c r="A173" s="25" t="s">
        <v>197</v>
      </c>
      <c r="B173" s="26">
        <v>28176</v>
      </c>
      <c r="C173" s="26">
        <v>45064.2</v>
      </c>
    </row>
    <row r="174" spans="1:3" x14ac:dyDescent="0.2">
      <c r="A174" s="25" t="s">
        <v>198</v>
      </c>
      <c r="B174" s="26">
        <v>2050472</v>
      </c>
      <c r="C174" s="26">
        <v>639385.29</v>
      </c>
    </row>
    <row r="175" spans="1:3" x14ac:dyDescent="0.2">
      <c r="A175" s="25" t="s">
        <v>199</v>
      </c>
      <c r="B175" s="26">
        <v>17764</v>
      </c>
      <c r="C175" s="26">
        <v>25473.599999999999</v>
      </c>
    </row>
    <row r="176" spans="1:3" x14ac:dyDescent="0.2">
      <c r="A176" s="25" t="s">
        <v>200</v>
      </c>
      <c r="B176" s="26">
        <v>40458</v>
      </c>
      <c r="C176" s="26">
        <v>11663.99</v>
      </c>
    </row>
    <row r="177" spans="1:3" x14ac:dyDescent="0.2">
      <c r="A177" s="25"/>
      <c r="B177" s="26"/>
      <c r="C177" s="26"/>
    </row>
    <row r="178" spans="1:3" x14ac:dyDescent="0.2">
      <c r="A178" s="25" t="s">
        <v>201</v>
      </c>
      <c r="B178" s="26">
        <v>86088493</v>
      </c>
      <c r="C178" s="26">
        <v>117707698.23</v>
      </c>
    </row>
    <row r="179" spans="1:3" x14ac:dyDescent="0.2">
      <c r="A179" s="25" t="s">
        <v>202</v>
      </c>
      <c r="B179" s="26">
        <v>81667960</v>
      </c>
      <c r="C179" s="26">
        <v>103325962.28</v>
      </c>
    </row>
    <row r="180" spans="1:3" x14ac:dyDescent="0.2">
      <c r="A180" s="25" t="s">
        <v>203</v>
      </c>
      <c r="B180" s="26">
        <v>4415044</v>
      </c>
      <c r="C180" s="26">
        <v>14373104.25</v>
      </c>
    </row>
    <row r="181" spans="1:3" x14ac:dyDescent="0.2">
      <c r="A181" s="25" t="s">
        <v>210</v>
      </c>
      <c r="B181" s="26" t="s">
        <v>30</v>
      </c>
      <c r="C181" s="26" t="s">
        <v>30</v>
      </c>
    </row>
    <row r="182" spans="1:3" x14ac:dyDescent="0.2">
      <c r="A182" s="25" t="s">
        <v>211</v>
      </c>
      <c r="B182" s="26" t="s">
        <v>30</v>
      </c>
      <c r="C182" s="26" t="s">
        <v>30</v>
      </c>
    </row>
    <row r="183" spans="1:3" x14ac:dyDescent="0.2">
      <c r="A183" s="25" t="s">
        <v>204</v>
      </c>
      <c r="B183" s="26">
        <v>5488</v>
      </c>
      <c r="C183" s="26">
        <v>8631.7000000000007</v>
      </c>
    </row>
    <row r="184" spans="1:3" x14ac:dyDescent="0.2">
      <c r="A184" s="25"/>
      <c r="B184" s="26"/>
      <c r="C184" s="26"/>
    </row>
    <row r="185" spans="1:3" x14ac:dyDescent="0.2">
      <c r="A185" s="27" t="s">
        <v>17</v>
      </c>
      <c r="B185" s="28" t="s">
        <v>30</v>
      </c>
      <c r="C185" s="28" t="s">
        <v>30</v>
      </c>
    </row>
    <row r="186" spans="1:3" x14ac:dyDescent="0.2">
      <c r="B186" s="29"/>
      <c r="C186" s="29"/>
    </row>
    <row r="187" spans="1:3" x14ac:dyDescent="0.2">
      <c r="A187" s="30" t="s">
        <v>16</v>
      </c>
      <c r="B187" s="29"/>
      <c r="C187" s="29"/>
    </row>
  </sheetData>
  <mergeCells count="2">
    <mergeCell ref="A1:C2"/>
    <mergeCell ref="B4:C4"/>
  </mergeCells>
  <pageMargins left="0.75" right="0.75" top="1" bottom="1" header="0" footer="0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88"/>
  <sheetViews>
    <sheetView showGridLines="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D1" sqref="D1:G1048576"/>
    </sheetView>
  </sheetViews>
  <sheetFormatPr baseColWidth="10" defaultRowHeight="15" x14ac:dyDescent="0.2"/>
  <cols>
    <col min="1" max="1" width="41" style="17" customWidth="1"/>
    <col min="2" max="2" width="15.125" style="17" customWidth="1"/>
    <col min="3" max="3" width="14.375" style="17" bestFit="1" customWidth="1"/>
    <col min="4" max="7" width="11" style="8"/>
    <col min="8" max="16384" width="11" style="17"/>
  </cols>
  <sheetData>
    <row r="1" spans="1:7" x14ac:dyDescent="0.2">
      <c r="A1" s="63" t="s">
        <v>246</v>
      </c>
      <c r="B1" s="63"/>
      <c r="C1" s="63"/>
    </row>
    <row r="2" spans="1:7" x14ac:dyDescent="0.2">
      <c r="A2" s="63"/>
      <c r="B2" s="63"/>
      <c r="C2" s="63"/>
    </row>
    <row r="3" spans="1:7" s="18" customFormat="1" x14ac:dyDescent="0.2">
      <c r="D3" s="8"/>
      <c r="E3" s="8"/>
      <c r="F3" s="8"/>
      <c r="G3" s="8"/>
    </row>
    <row r="4" spans="1:7" x14ac:dyDescent="0.2">
      <c r="A4" s="19"/>
      <c r="B4" s="65" t="s">
        <v>214</v>
      </c>
      <c r="C4" s="65"/>
    </row>
    <row r="5" spans="1:7" x14ac:dyDescent="0.2">
      <c r="A5" s="17" t="s">
        <v>465</v>
      </c>
      <c r="B5" s="20" t="s">
        <v>10</v>
      </c>
      <c r="C5" s="20" t="s">
        <v>12</v>
      </c>
    </row>
    <row r="6" spans="1:7" x14ac:dyDescent="0.2">
      <c r="A6" s="21"/>
      <c r="B6" s="22" t="s">
        <v>15</v>
      </c>
      <c r="C6" s="22" t="s">
        <v>14</v>
      </c>
    </row>
    <row r="8" spans="1:7" s="18" customFormat="1" x14ac:dyDescent="0.2">
      <c r="A8" s="23" t="s">
        <v>0</v>
      </c>
      <c r="B8" s="24">
        <v>16794654401</v>
      </c>
      <c r="C8" s="24">
        <v>26601620964.240002</v>
      </c>
      <c r="D8" s="8"/>
      <c r="E8" s="8"/>
      <c r="F8" s="8"/>
      <c r="G8" s="8"/>
    </row>
    <row r="9" spans="1:7" x14ac:dyDescent="0.2">
      <c r="A9" s="25"/>
      <c r="B9" s="26"/>
      <c r="C9" s="26"/>
    </row>
    <row r="10" spans="1:7" x14ac:dyDescent="0.2">
      <c r="A10" s="25" t="s">
        <v>26</v>
      </c>
      <c r="B10" s="26">
        <v>1909750581</v>
      </c>
      <c r="C10" s="26">
        <v>3513376562.79</v>
      </c>
      <c r="D10" s="70">
        <f>+B10/$B$8</f>
        <v>0.11371181183021475</v>
      </c>
      <c r="F10" s="8" t="str" cm="1">
        <f t="array" ref="F10:F151">+_xlfn.UNIQUE(A10:A155)</f>
        <v>AFRICA</v>
      </c>
      <c r="G10" s="70">
        <f>+SUMIF(A10:A155,F10,D10:D155)</f>
        <v>0.11371181183021475</v>
      </c>
    </row>
    <row r="11" spans="1:7" x14ac:dyDescent="0.2">
      <c r="A11" s="25" t="s">
        <v>27</v>
      </c>
      <c r="B11" s="26">
        <v>25279</v>
      </c>
      <c r="C11" s="26">
        <v>30447.9</v>
      </c>
      <c r="D11" s="70">
        <f t="shared" ref="D11:D74" si="0">+B11/$B$8</f>
        <v>1.5051813152222304E-6</v>
      </c>
      <c r="F11" s="8" t="str">
        <v xml:space="preserve">Burkina Faso </v>
      </c>
      <c r="G11" s="70">
        <f t="shared" ref="G11:G74" si="1">+SUMIF(A11:A156,F11,D11:D156)</f>
        <v>1.5051813152222304E-6</v>
      </c>
    </row>
    <row r="12" spans="1:7" x14ac:dyDescent="0.2">
      <c r="A12" s="25" t="s">
        <v>28</v>
      </c>
      <c r="B12" s="26">
        <v>805160756</v>
      </c>
      <c r="C12" s="26">
        <v>1507661557.6500001</v>
      </c>
      <c r="D12" s="70">
        <f t="shared" si="0"/>
        <v>4.7941489998868839E-2</v>
      </c>
      <c r="F12" s="8" t="str">
        <v xml:space="preserve">Argelia </v>
      </c>
      <c r="G12" s="70">
        <f t="shared" si="1"/>
        <v>4.7941489998868839E-2</v>
      </c>
    </row>
    <row r="13" spans="1:7" x14ac:dyDescent="0.2">
      <c r="A13" s="25" t="s">
        <v>31</v>
      </c>
      <c r="B13" s="26">
        <v>24034203</v>
      </c>
      <c r="C13" s="26">
        <v>40158418.850000001</v>
      </c>
      <c r="D13" s="70">
        <f t="shared" si="0"/>
        <v>1.4310626718564055E-3</v>
      </c>
      <c r="F13" s="8" t="str">
        <v xml:space="preserve">Camerún </v>
      </c>
      <c r="G13" s="70">
        <f t="shared" si="1"/>
        <v>1.4310626718564055E-3</v>
      </c>
    </row>
    <row r="14" spans="1:7" x14ac:dyDescent="0.2">
      <c r="A14" s="25" t="s">
        <v>33</v>
      </c>
      <c r="B14" s="26">
        <v>2114781</v>
      </c>
      <c r="C14" s="26">
        <v>3502096.12</v>
      </c>
      <c r="D14" s="70">
        <f t="shared" si="0"/>
        <v>1.2591988793017855E-4</v>
      </c>
      <c r="F14" s="8" t="str">
        <v xml:space="preserve">Congo </v>
      </c>
      <c r="G14" s="70">
        <f t="shared" si="1"/>
        <v>1.2591988793017855E-4</v>
      </c>
    </row>
    <row r="15" spans="1:7" x14ac:dyDescent="0.2">
      <c r="A15" s="25" t="s">
        <v>34</v>
      </c>
      <c r="B15" s="26">
        <v>1319925</v>
      </c>
      <c r="C15" s="26">
        <v>2830576.86</v>
      </c>
      <c r="D15" s="70">
        <f t="shared" si="0"/>
        <v>7.8591971497871848E-5</v>
      </c>
      <c r="F15" s="8" t="str">
        <v>Rep Democrática del Congo (ex Zaire)</v>
      </c>
      <c r="G15" s="70">
        <f t="shared" si="1"/>
        <v>7.8591971497871848E-5</v>
      </c>
    </row>
    <row r="16" spans="1:7" x14ac:dyDescent="0.2">
      <c r="A16" s="25" t="s">
        <v>35</v>
      </c>
      <c r="B16" s="26">
        <v>2966420</v>
      </c>
      <c r="C16" s="26">
        <v>3402660.82</v>
      </c>
      <c r="D16" s="70">
        <f t="shared" si="0"/>
        <v>1.7662882064565564E-4</v>
      </c>
      <c r="F16" s="8" t="str">
        <v xml:space="preserve">Costa de Marfil </v>
      </c>
      <c r="G16" s="70">
        <f t="shared" si="1"/>
        <v>1.7662882064565564E-4</v>
      </c>
    </row>
    <row r="17" spans="1:7" x14ac:dyDescent="0.2">
      <c r="A17" s="25" t="s">
        <v>36</v>
      </c>
      <c r="B17" s="26">
        <v>635370</v>
      </c>
      <c r="C17" s="26">
        <v>147800</v>
      </c>
      <c r="D17" s="70">
        <f t="shared" si="0"/>
        <v>3.7831680535335595E-5</v>
      </c>
      <c r="F17" s="8" t="str">
        <v xml:space="preserve">Chad </v>
      </c>
      <c r="G17" s="70">
        <f t="shared" si="1"/>
        <v>3.7831680535335595E-5</v>
      </c>
    </row>
    <row r="18" spans="1:7" x14ac:dyDescent="0.2">
      <c r="A18" s="25" t="s">
        <v>37</v>
      </c>
      <c r="B18" s="26">
        <v>126165</v>
      </c>
      <c r="C18" s="26">
        <v>151559.1</v>
      </c>
      <c r="D18" s="70">
        <f t="shared" si="0"/>
        <v>7.5122117423558168E-6</v>
      </c>
      <c r="F18" s="8" t="str">
        <v xml:space="preserve">Benin </v>
      </c>
      <c r="G18" s="70">
        <f t="shared" si="1"/>
        <v>7.5122117423558168E-6</v>
      </c>
    </row>
    <row r="19" spans="1:7" x14ac:dyDescent="0.2">
      <c r="A19" s="25" t="s">
        <v>38</v>
      </c>
      <c r="B19" s="26">
        <v>402411934</v>
      </c>
      <c r="C19" s="26">
        <v>802727106.13999999</v>
      </c>
      <c r="D19" s="70">
        <f t="shared" si="0"/>
        <v>2.3960715379534054E-2</v>
      </c>
      <c r="F19" s="8" t="str">
        <v xml:space="preserve">Egipto </v>
      </c>
      <c r="G19" s="70">
        <f t="shared" si="1"/>
        <v>2.3960715379534054E-2</v>
      </c>
    </row>
    <row r="20" spans="1:7" x14ac:dyDescent="0.2">
      <c r="A20" s="25" t="s">
        <v>39</v>
      </c>
      <c r="B20" s="26">
        <v>279262</v>
      </c>
      <c r="C20" s="26">
        <v>198110.64</v>
      </c>
      <c r="D20" s="70">
        <f t="shared" si="0"/>
        <v>1.6628028974705902E-5</v>
      </c>
      <c r="F20" s="8" t="str">
        <v xml:space="preserve">Gabón </v>
      </c>
      <c r="G20" s="70">
        <f t="shared" si="1"/>
        <v>1.6628028974705902E-5</v>
      </c>
    </row>
    <row r="21" spans="1:7" x14ac:dyDescent="0.2">
      <c r="A21" s="25" t="s">
        <v>40</v>
      </c>
      <c r="B21" s="26">
        <v>141050</v>
      </c>
      <c r="C21" s="26">
        <v>73000</v>
      </c>
      <c r="D21" s="70">
        <f t="shared" si="0"/>
        <v>8.3985056573478229E-6</v>
      </c>
      <c r="F21" s="8" t="str">
        <v xml:space="preserve">Gambia </v>
      </c>
      <c r="G21" s="70">
        <f t="shared" si="1"/>
        <v>8.3985056573478229E-6</v>
      </c>
    </row>
    <row r="22" spans="1:7" x14ac:dyDescent="0.2">
      <c r="A22" s="25" t="s">
        <v>41</v>
      </c>
      <c r="B22" s="26">
        <v>5164751</v>
      </c>
      <c r="C22" s="26">
        <v>9394332.6500000004</v>
      </c>
      <c r="D22" s="70">
        <f t="shared" si="0"/>
        <v>3.0752350579434828E-4</v>
      </c>
      <c r="F22" s="8" t="str">
        <v xml:space="preserve">Ghana </v>
      </c>
      <c r="G22" s="70">
        <f t="shared" si="1"/>
        <v>3.0752350579434828E-4</v>
      </c>
    </row>
    <row r="23" spans="1:7" x14ac:dyDescent="0.2">
      <c r="A23" s="25" t="s">
        <v>42</v>
      </c>
      <c r="B23" s="26">
        <v>52011</v>
      </c>
      <c r="C23" s="26">
        <v>61576.2</v>
      </c>
      <c r="D23" s="70">
        <f t="shared" si="0"/>
        <v>3.0968782541249031E-6</v>
      </c>
      <c r="F23" s="8" t="str">
        <v xml:space="preserve">Guinea </v>
      </c>
      <c r="G23" s="70">
        <f t="shared" si="1"/>
        <v>3.0968782541249031E-6</v>
      </c>
    </row>
    <row r="24" spans="1:7" x14ac:dyDescent="0.2">
      <c r="A24" s="25" t="s">
        <v>43</v>
      </c>
      <c r="B24" s="26" t="s">
        <v>30</v>
      </c>
      <c r="C24" s="26" t="s">
        <v>30</v>
      </c>
      <c r="D24" s="70" t="e">
        <f t="shared" si="0"/>
        <v>#VALUE!</v>
      </c>
      <c r="F24" s="8" t="str">
        <v xml:space="preserve">Guinea Ecuatorial </v>
      </c>
      <c r="G24" s="70" t="e">
        <f t="shared" si="1"/>
        <v>#VALUE!</v>
      </c>
    </row>
    <row r="25" spans="1:7" x14ac:dyDescent="0.2">
      <c r="A25" s="25" t="s">
        <v>44</v>
      </c>
      <c r="B25" s="26">
        <v>2153040</v>
      </c>
      <c r="C25" s="26">
        <v>2359370</v>
      </c>
      <c r="D25" s="70">
        <f t="shared" si="0"/>
        <v>1.2819793421124534E-4</v>
      </c>
      <c r="F25" s="8" t="str">
        <v xml:space="preserve">Kenya </v>
      </c>
      <c r="G25" s="70">
        <f t="shared" si="1"/>
        <v>1.2819793421124534E-4</v>
      </c>
    </row>
    <row r="26" spans="1:7" x14ac:dyDescent="0.2">
      <c r="A26" s="25" t="s">
        <v>45</v>
      </c>
      <c r="B26" s="26">
        <v>74191</v>
      </c>
      <c r="C26" s="26">
        <v>86904.09</v>
      </c>
      <c r="D26" s="70">
        <f t="shared" si="0"/>
        <v>4.4175365701828591E-6</v>
      </c>
      <c r="F26" s="8" t="str">
        <v xml:space="preserve">Liberia </v>
      </c>
      <c r="G26" s="70">
        <f t="shared" si="1"/>
        <v>4.4175365701828591E-6</v>
      </c>
    </row>
    <row r="27" spans="1:7" x14ac:dyDescent="0.2">
      <c r="A27" s="25" t="s">
        <v>46</v>
      </c>
      <c r="B27" s="26">
        <v>56931664</v>
      </c>
      <c r="C27" s="26">
        <v>113021321.48</v>
      </c>
      <c r="D27" s="70">
        <f t="shared" si="0"/>
        <v>3.3898681473677797E-3</v>
      </c>
      <c r="F27" s="8" t="str">
        <v xml:space="preserve">Libia </v>
      </c>
      <c r="G27" s="70">
        <f t="shared" si="1"/>
        <v>3.3898681473677797E-3</v>
      </c>
    </row>
    <row r="28" spans="1:7" x14ac:dyDescent="0.2">
      <c r="A28" s="25" t="s">
        <v>47</v>
      </c>
      <c r="B28" s="26">
        <v>6794775</v>
      </c>
      <c r="C28" s="26">
        <v>7133500</v>
      </c>
      <c r="D28" s="70">
        <f t="shared" si="0"/>
        <v>4.0457962621698367E-4</v>
      </c>
      <c r="F28" s="8" t="str">
        <v xml:space="preserve">Madagascar </v>
      </c>
      <c r="G28" s="70">
        <f t="shared" si="1"/>
        <v>4.0457962621698367E-4</v>
      </c>
    </row>
    <row r="29" spans="1:7" x14ac:dyDescent="0.2">
      <c r="A29" s="25" t="s">
        <v>48</v>
      </c>
      <c r="B29" s="26">
        <v>185360</v>
      </c>
      <c r="C29" s="26">
        <v>50025</v>
      </c>
      <c r="D29" s="70">
        <f t="shared" si="0"/>
        <v>1.1036845151690835E-5</v>
      </c>
      <c r="F29" s="8" t="str">
        <v xml:space="preserve">Malawi </v>
      </c>
      <c r="G29" s="70">
        <f t="shared" si="1"/>
        <v>1.1036845151690835E-5</v>
      </c>
    </row>
    <row r="30" spans="1:7" x14ac:dyDescent="0.2">
      <c r="A30" s="25" t="s">
        <v>49</v>
      </c>
      <c r="B30" s="26">
        <v>1105774</v>
      </c>
      <c r="C30" s="26">
        <v>273172.32</v>
      </c>
      <c r="D30" s="70">
        <f t="shared" si="0"/>
        <v>6.5840830873790363E-5</v>
      </c>
      <c r="F30" s="8" t="str">
        <v xml:space="preserve">Mali </v>
      </c>
      <c r="G30" s="70">
        <f t="shared" si="1"/>
        <v>6.5840830873790363E-5</v>
      </c>
    </row>
    <row r="31" spans="1:7" x14ac:dyDescent="0.2">
      <c r="A31" s="25" t="s">
        <v>50</v>
      </c>
      <c r="B31" s="26">
        <v>178864204</v>
      </c>
      <c r="C31" s="26">
        <v>343247088.49000001</v>
      </c>
      <c r="D31" s="70">
        <f t="shared" si="0"/>
        <v>1.0650067558957923E-2</v>
      </c>
      <c r="F31" s="8" t="str">
        <v xml:space="preserve">Marruecos </v>
      </c>
      <c r="G31" s="70">
        <f t="shared" si="1"/>
        <v>1.0650067558957923E-2</v>
      </c>
    </row>
    <row r="32" spans="1:7" x14ac:dyDescent="0.2">
      <c r="A32" s="25" t="s">
        <v>51</v>
      </c>
      <c r="B32" s="26">
        <v>22640155</v>
      </c>
      <c r="C32" s="26">
        <v>43558928.759999998</v>
      </c>
      <c r="D32" s="70">
        <f t="shared" si="0"/>
        <v>1.3480572126957219E-3</v>
      </c>
      <c r="F32" s="8" t="str">
        <v xml:space="preserve">Mauricio </v>
      </c>
      <c r="G32" s="70">
        <f t="shared" si="1"/>
        <v>1.3480572126957219E-3</v>
      </c>
    </row>
    <row r="33" spans="1:7" x14ac:dyDescent="0.2">
      <c r="A33" s="25" t="s">
        <v>52</v>
      </c>
      <c r="B33" s="26">
        <v>477715</v>
      </c>
      <c r="C33" s="26">
        <v>789420</v>
      </c>
      <c r="D33" s="70">
        <f t="shared" si="0"/>
        <v>2.8444467423608046E-5</v>
      </c>
      <c r="F33" s="8" t="str">
        <v xml:space="preserve">Mauritania </v>
      </c>
      <c r="G33" s="70">
        <f t="shared" si="1"/>
        <v>2.8444467423608046E-5</v>
      </c>
    </row>
    <row r="34" spans="1:7" x14ac:dyDescent="0.2">
      <c r="A34" s="25" t="s">
        <v>53</v>
      </c>
      <c r="B34" s="26">
        <v>8007382</v>
      </c>
      <c r="C34" s="26">
        <v>1878680</v>
      </c>
      <c r="D34" s="70">
        <f t="shared" si="0"/>
        <v>4.7678158828461624E-4</v>
      </c>
      <c r="F34" s="8" t="str">
        <v xml:space="preserve">Níger </v>
      </c>
      <c r="G34" s="70">
        <f t="shared" si="1"/>
        <v>4.7678158828461624E-4</v>
      </c>
    </row>
    <row r="35" spans="1:7" x14ac:dyDescent="0.2">
      <c r="A35" s="25" t="s">
        <v>54</v>
      </c>
      <c r="B35" s="26">
        <v>28877947</v>
      </c>
      <c r="C35" s="26">
        <v>39307120.549999997</v>
      </c>
      <c r="D35" s="70">
        <f t="shared" si="0"/>
        <v>1.7194725363494545E-3</v>
      </c>
      <c r="F35" s="8" t="str">
        <v xml:space="preserve">Nigeria </v>
      </c>
      <c r="G35" s="70">
        <f t="shared" si="1"/>
        <v>1.7194725363494545E-3</v>
      </c>
    </row>
    <row r="36" spans="1:7" x14ac:dyDescent="0.2">
      <c r="A36" s="25" t="s">
        <v>55</v>
      </c>
      <c r="B36" s="26">
        <v>68420</v>
      </c>
      <c r="C36" s="26">
        <v>24770.44</v>
      </c>
      <c r="D36" s="70">
        <f t="shared" si="0"/>
        <v>4.0739153284348673E-6</v>
      </c>
      <c r="F36" s="8" t="str">
        <v xml:space="preserve">Zimbabwe </v>
      </c>
      <c r="G36" s="70">
        <f t="shared" si="1"/>
        <v>4.0739153284348673E-6</v>
      </c>
    </row>
    <row r="37" spans="1:7" x14ac:dyDescent="0.2">
      <c r="A37" s="25" t="s">
        <v>56</v>
      </c>
      <c r="B37" s="26" t="s">
        <v>30</v>
      </c>
      <c r="C37" s="26" t="s">
        <v>30</v>
      </c>
      <c r="D37" s="70" t="e">
        <f t="shared" si="0"/>
        <v>#VALUE!</v>
      </c>
      <c r="F37" s="8" t="str">
        <v xml:space="preserve">Rwanda </v>
      </c>
      <c r="G37" s="70" t="e">
        <f t="shared" si="1"/>
        <v>#VALUE!</v>
      </c>
    </row>
    <row r="38" spans="1:7" x14ac:dyDescent="0.2">
      <c r="A38" s="25" t="s">
        <v>57</v>
      </c>
      <c r="B38" s="26">
        <v>15798363</v>
      </c>
      <c r="C38" s="26">
        <v>24906742.280000001</v>
      </c>
      <c r="D38" s="70">
        <f t="shared" si="0"/>
        <v>9.4067806474537055E-4</v>
      </c>
      <c r="F38" s="8" t="str">
        <v xml:space="preserve">Senegal </v>
      </c>
      <c r="G38" s="70">
        <f t="shared" si="1"/>
        <v>9.4067806474537055E-4</v>
      </c>
    </row>
    <row r="39" spans="1:7" x14ac:dyDescent="0.2">
      <c r="A39" s="25" t="s">
        <v>58</v>
      </c>
      <c r="B39" s="26">
        <v>535093</v>
      </c>
      <c r="C39" s="26">
        <v>152628.94</v>
      </c>
      <c r="D39" s="70">
        <f t="shared" si="0"/>
        <v>3.1860911646275915E-5</v>
      </c>
      <c r="F39" s="8" t="str">
        <v xml:space="preserve">Sierra Leona </v>
      </c>
      <c r="G39" s="70">
        <f t="shared" si="1"/>
        <v>3.1860911646275915E-5</v>
      </c>
    </row>
    <row r="40" spans="1:7" x14ac:dyDescent="0.2">
      <c r="A40" s="25" t="s">
        <v>59</v>
      </c>
      <c r="B40" s="26" t="s">
        <v>30</v>
      </c>
      <c r="C40" s="26" t="s">
        <v>30</v>
      </c>
      <c r="D40" s="70" t="e">
        <f t="shared" si="0"/>
        <v>#VALUE!</v>
      </c>
      <c r="F40" s="8" t="str">
        <v xml:space="preserve">Sudán </v>
      </c>
      <c r="G40" s="70" t="e">
        <f t="shared" si="1"/>
        <v>#VALUE!</v>
      </c>
    </row>
    <row r="41" spans="1:7" x14ac:dyDescent="0.2">
      <c r="A41" s="25" t="s">
        <v>60</v>
      </c>
      <c r="B41" s="26">
        <v>1463543</v>
      </c>
      <c r="C41" s="26">
        <v>3813390.22</v>
      </c>
      <c r="D41" s="70">
        <f t="shared" si="0"/>
        <v>8.7143382951235761E-5</v>
      </c>
      <c r="F41" s="8" t="str">
        <v xml:space="preserve">Tanzania </v>
      </c>
      <c r="G41" s="70">
        <f t="shared" si="1"/>
        <v>8.7143382951235761E-5</v>
      </c>
    </row>
    <row r="42" spans="1:7" x14ac:dyDescent="0.2">
      <c r="A42" s="25" t="s">
        <v>61</v>
      </c>
      <c r="B42" s="26">
        <v>437365</v>
      </c>
      <c r="C42" s="26">
        <v>219779.69</v>
      </c>
      <c r="D42" s="70">
        <f t="shared" si="0"/>
        <v>2.6041917240878625E-5</v>
      </c>
      <c r="F42" s="8" t="str">
        <v xml:space="preserve">Togo </v>
      </c>
      <c r="G42" s="70">
        <f t="shared" si="1"/>
        <v>2.6041917240878625E-5</v>
      </c>
    </row>
    <row r="43" spans="1:7" x14ac:dyDescent="0.2">
      <c r="A43" s="25" t="s">
        <v>62</v>
      </c>
      <c r="B43" s="26">
        <v>49563183</v>
      </c>
      <c r="C43" s="26">
        <v>102198037.19</v>
      </c>
      <c r="D43" s="70">
        <f t="shared" si="0"/>
        <v>2.9511284850880213E-3</v>
      </c>
      <c r="F43" s="8" t="str">
        <v xml:space="preserve">Túnez </v>
      </c>
      <c r="G43" s="70">
        <f t="shared" si="1"/>
        <v>2.9511284850880213E-3</v>
      </c>
    </row>
    <row r="44" spans="1:7" x14ac:dyDescent="0.2">
      <c r="A44" s="25" t="s">
        <v>63</v>
      </c>
      <c r="B44" s="26">
        <v>524692</v>
      </c>
      <c r="C44" s="26">
        <v>1434240.7</v>
      </c>
      <c r="D44" s="70">
        <f t="shared" si="0"/>
        <v>3.1241607446757487E-5</v>
      </c>
      <c r="F44" s="8" t="str">
        <v xml:space="preserve">Uganda </v>
      </c>
      <c r="G44" s="70">
        <f t="shared" si="1"/>
        <v>3.1241607446757487E-5</v>
      </c>
    </row>
    <row r="45" spans="1:7" x14ac:dyDescent="0.2">
      <c r="A45" s="25" t="s">
        <v>64</v>
      </c>
      <c r="B45" s="26" t="s">
        <v>30</v>
      </c>
      <c r="C45" s="26" t="s">
        <v>30</v>
      </c>
      <c r="D45" s="70" t="e">
        <f t="shared" si="0"/>
        <v>#VALUE!</v>
      </c>
      <c r="F45" s="8" t="str">
        <v xml:space="preserve">Zambia </v>
      </c>
      <c r="G45" s="70" t="e">
        <f t="shared" si="1"/>
        <v>#VALUE!</v>
      </c>
    </row>
    <row r="46" spans="1:7" x14ac:dyDescent="0.2">
      <c r="A46" s="25" t="s">
        <v>66</v>
      </c>
      <c r="B46" s="26">
        <v>8769625</v>
      </c>
      <c r="C46" s="26">
        <v>19570794.620000001</v>
      </c>
      <c r="D46" s="70">
        <f t="shared" si="0"/>
        <v>5.2216763683317184E-4</v>
      </c>
      <c r="F46" s="8" t="str">
        <v>Territorios vinculados a Francia</v>
      </c>
      <c r="G46" s="70" t="e">
        <f t="shared" si="1"/>
        <v>#VALUE!</v>
      </c>
    </row>
    <row r="47" spans="1:7" x14ac:dyDescent="0.2">
      <c r="A47" s="25" t="s">
        <v>67</v>
      </c>
      <c r="B47" s="26">
        <v>20838165</v>
      </c>
      <c r="C47" s="26">
        <v>18536221.300000001</v>
      </c>
      <c r="D47" s="70">
        <f t="shared" si="0"/>
        <v>1.2407617627879998E-3</v>
      </c>
      <c r="F47" s="8" t="str">
        <v xml:space="preserve">Angola </v>
      </c>
      <c r="G47" s="70">
        <f t="shared" si="1"/>
        <v>1.2407617627879998E-3</v>
      </c>
    </row>
    <row r="48" spans="1:7" x14ac:dyDescent="0.2">
      <c r="A48" s="25" t="s">
        <v>68</v>
      </c>
      <c r="B48" s="26">
        <v>498927</v>
      </c>
      <c r="C48" s="26">
        <v>1672508.14</v>
      </c>
      <c r="D48" s="70">
        <f t="shared" si="0"/>
        <v>2.9707488352382677E-5</v>
      </c>
      <c r="F48" s="8" t="str">
        <v xml:space="preserve">Cabo Verde </v>
      </c>
      <c r="G48" s="70"/>
    </row>
    <row r="49" spans="1:7" x14ac:dyDescent="0.2">
      <c r="A49" s="25" t="s">
        <v>69</v>
      </c>
      <c r="B49" s="26">
        <v>18730761</v>
      </c>
      <c r="C49" s="26">
        <v>21961852.23</v>
      </c>
      <c r="D49" s="70">
        <f t="shared" si="0"/>
        <v>1.1152811217648348E-3</v>
      </c>
      <c r="F49" s="8" t="str">
        <v xml:space="preserve">Mozambique </v>
      </c>
      <c r="G49" s="70">
        <f t="shared" si="1"/>
        <v>1.1152811217648348E-3</v>
      </c>
    </row>
    <row r="50" spans="1:7" x14ac:dyDescent="0.2">
      <c r="A50" s="25" t="s">
        <v>71</v>
      </c>
      <c r="B50" s="26">
        <v>33487</v>
      </c>
      <c r="C50" s="26">
        <v>39208.050000000003</v>
      </c>
      <c r="D50" s="70">
        <f t="shared" si="0"/>
        <v>1.9939082520213151E-6</v>
      </c>
      <c r="F50" s="8" t="str">
        <v xml:space="preserve">Djibouti </v>
      </c>
      <c r="G50" s="70">
        <f t="shared" si="1"/>
        <v>1.9939082520213151E-6</v>
      </c>
    </row>
    <row r="51" spans="1:7" x14ac:dyDescent="0.2">
      <c r="A51" s="25" t="s">
        <v>73</v>
      </c>
      <c r="B51" s="26" t="s">
        <v>30</v>
      </c>
      <c r="C51" s="26" t="s">
        <v>30</v>
      </c>
      <c r="D51" s="70" t="e">
        <f t="shared" si="0"/>
        <v>#VALUE!</v>
      </c>
      <c r="F51" s="8" t="str">
        <v xml:space="preserve">Guinea Bissau </v>
      </c>
      <c r="G51" s="70" t="e">
        <f t="shared" si="1"/>
        <v>#VALUE!</v>
      </c>
    </row>
    <row r="52" spans="1:7" x14ac:dyDescent="0.2">
      <c r="A52" s="25" t="s">
        <v>75</v>
      </c>
      <c r="B52" s="26">
        <v>2227</v>
      </c>
      <c r="C52" s="26">
        <v>43</v>
      </c>
      <c r="D52" s="70">
        <f t="shared" si="0"/>
        <v>1.3260171640491742E-7</v>
      </c>
      <c r="F52" s="8" t="str">
        <v xml:space="preserve">Namibia </v>
      </c>
      <c r="G52" s="70">
        <f t="shared" si="1"/>
        <v>1.3260171640491742E-7</v>
      </c>
    </row>
    <row r="53" spans="1:7" x14ac:dyDescent="0.2">
      <c r="A53" s="25" t="s">
        <v>76</v>
      </c>
      <c r="B53" s="26">
        <v>236479874</v>
      </c>
      <c r="C53" s="26">
        <v>395295761.83999997</v>
      </c>
      <c r="D53" s="70">
        <f t="shared" si="0"/>
        <v>1.4080663308315491E-2</v>
      </c>
      <c r="F53" s="8" t="str">
        <v xml:space="preserve">Sudáfrica </v>
      </c>
      <c r="G53" s="70">
        <f t="shared" si="1"/>
        <v>1.4080663308315491E-2</v>
      </c>
    </row>
    <row r="54" spans="1:7" x14ac:dyDescent="0.2">
      <c r="A54" s="25" t="s">
        <v>213</v>
      </c>
      <c r="B54" s="26">
        <v>110547</v>
      </c>
      <c r="C54" s="26">
        <v>134719.20000000001</v>
      </c>
      <c r="D54" s="70">
        <f t="shared" si="0"/>
        <v>6.5822729876131138E-6</v>
      </c>
      <c r="F54" s="8" t="str">
        <v xml:space="preserve">Eritrea </v>
      </c>
      <c r="G54" s="70">
        <f t="shared" si="1"/>
        <v>6.5822729876131138E-6</v>
      </c>
    </row>
    <row r="55" spans="1:7" x14ac:dyDescent="0.2">
      <c r="A55" s="25" t="s">
        <v>77</v>
      </c>
      <c r="B55" s="26">
        <v>389053</v>
      </c>
      <c r="C55" s="26">
        <v>191677.83</v>
      </c>
      <c r="D55" s="70">
        <f t="shared" si="0"/>
        <v>2.3165287639192784E-5</v>
      </c>
      <c r="F55" s="8" t="str">
        <v xml:space="preserve">Etiopía </v>
      </c>
      <c r="G55" s="70">
        <f t="shared" si="1"/>
        <v>2.3165287639192784E-5</v>
      </c>
    </row>
    <row r="56" spans="1:7" x14ac:dyDescent="0.2">
      <c r="A56" s="25" t="s">
        <v>59</v>
      </c>
      <c r="B56" s="26">
        <v>4963125</v>
      </c>
      <c r="C56" s="26">
        <v>1179413.5</v>
      </c>
      <c r="D56" s="70">
        <f t="shared" si="0"/>
        <v>2.9551813818237796E-4</v>
      </c>
      <c r="F56" s="8">
        <v>0</v>
      </c>
      <c r="G56" s="70">
        <f t="shared" si="1"/>
        <v>0</v>
      </c>
    </row>
    <row r="57" spans="1:7" x14ac:dyDescent="0.2">
      <c r="A57" s="25"/>
      <c r="B57" s="26"/>
      <c r="C57" s="26"/>
      <c r="D57" s="70">
        <f t="shared" si="0"/>
        <v>0</v>
      </c>
      <c r="F57" s="8" t="str">
        <v>AMERICA</v>
      </c>
      <c r="G57" s="70">
        <f t="shared" si="1"/>
        <v>0.2985269031020652</v>
      </c>
    </row>
    <row r="58" spans="1:7" x14ac:dyDescent="0.2">
      <c r="A58" s="25" t="s">
        <v>78</v>
      </c>
      <c r="B58" s="26">
        <v>5013656167</v>
      </c>
      <c r="C58" s="26">
        <v>5020264694.3500004</v>
      </c>
      <c r="D58" s="70">
        <f t="shared" si="0"/>
        <v>0.2985269031020652</v>
      </c>
      <c r="F58" s="8" t="str">
        <v xml:space="preserve">Barbados </v>
      </c>
      <c r="G58" s="70">
        <f t="shared" si="1"/>
        <v>2.1533756596888726E-5</v>
      </c>
    </row>
    <row r="59" spans="1:7" x14ac:dyDescent="0.2">
      <c r="A59" s="25" t="s">
        <v>79</v>
      </c>
      <c r="B59" s="26">
        <v>361652</v>
      </c>
      <c r="C59" s="26">
        <v>217488.54</v>
      </c>
      <c r="D59" s="70">
        <f t="shared" si="0"/>
        <v>2.1533756596888726E-5</v>
      </c>
      <c r="F59" s="8" t="str">
        <v xml:space="preserve">Bolivia </v>
      </c>
      <c r="G59" s="70">
        <f t="shared" si="1"/>
        <v>6.3259099272488803E-3</v>
      </c>
    </row>
    <row r="60" spans="1:7" x14ac:dyDescent="0.2">
      <c r="A60" s="25" t="s">
        <v>80</v>
      </c>
      <c r="B60" s="26">
        <v>106241471</v>
      </c>
      <c r="C60" s="26">
        <v>63182496.340000004</v>
      </c>
      <c r="D60" s="70">
        <f t="shared" si="0"/>
        <v>6.3259099272488803E-3</v>
      </c>
      <c r="F60" s="8" t="str">
        <v xml:space="preserve">Brasil </v>
      </c>
      <c r="G60" s="70">
        <f t="shared" si="1"/>
        <v>0.10024805791179317</v>
      </c>
    </row>
    <row r="61" spans="1:7" x14ac:dyDescent="0.2">
      <c r="A61" s="25" t="s">
        <v>81</v>
      </c>
      <c r="B61" s="26">
        <v>1683631487</v>
      </c>
      <c r="C61" s="26">
        <v>841702321.13999999</v>
      </c>
      <c r="D61" s="70">
        <f t="shared" si="0"/>
        <v>0.10024805791179317</v>
      </c>
      <c r="F61" s="8" t="str">
        <v xml:space="preserve">Canadá </v>
      </c>
      <c r="G61" s="70">
        <f t="shared" si="1"/>
        <v>5.235739771743339E-4</v>
      </c>
    </row>
    <row r="62" spans="1:7" x14ac:dyDescent="0.2">
      <c r="A62" s="25" t="s">
        <v>82</v>
      </c>
      <c r="B62" s="26">
        <v>8793244</v>
      </c>
      <c r="C62" s="26">
        <v>1903013.51</v>
      </c>
      <c r="D62" s="70">
        <f t="shared" si="0"/>
        <v>5.235739771743339E-4</v>
      </c>
      <c r="F62" s="8" t="str">
        <v xml:space="preserve">Colombia </v>
      </c>
      <c r="G62" s="70">
        <f t="shared" si="1"/>
        <v>2.1951817119740681E-2</v>
      </c>
    </row>
    <row r="63" spans="1:7" x14ac:dyDescent="0.2">
      <c r="A63" s="25" t="s">
        <v>83</v>
      </c>
      <c r="B63" s="26">
        <v>368673182</v>
      </c>
      <c r="C63" s="26">
        <v>818985374.16999996</v>
      </c>
      <c r="D63" s="70">
        <f t="shared" si="0"/>
        <v>2.1951817119740681E-2</v>
      </c>
      <c r="F63" s="8" t="str">
        <v xml:space="preserve">Costa Rica </v>
      </c>
      <c r="G63" s="70">
        <f t="shared" si="1"/>
        <v>8.0822222809132517E-4</v>
      </c>
    </row>
    <row r="64" spans="1:7" x14ac:dyDescent="0.2">
      <c r="A64" s="25" t="s">
        <v>84</v>
      </c>
      <c r="B64" s="26">
        <v>13573813</v>
      </c>
      <c r="C64" s="26">
        <v>37647626.380000003</v>
      </c>
      <c r="D64" s="70">
        <f t="shared" si="0"/>
        <v>8.0822222809132517E-4</v>
      </c>
      <c r="F64" s="8" t="str">
        <v xml:space="preserve">Cuba </v>
      </c>
      <c r="G64" s="70">
        <f t="shared" si="1"/>
        <v>6.2859144034374467E-3</v>
      </c>
    </row>
    <row r="65" spans="1:7" x14ac:dyDescent="0.2">
      <c r="A65" s="25" t="s">
        <v>85</v>
      </c>
      <c r="B65" s="26">
        <v>105569760</v>
      </c>
      <c r="C65" s="26">
        <v>217185723.99000001</v>
      </c>
      <c r="D65" s="70">
        <f t="shared" si="0"/>
        <v>6.2859144034374467E-3</v>
      </c>
      <c r="F65" s="8" t="str">
        <v xml:space="preserve">Chile </v>
      </c>
      <c r="G65" s="70">
        <f t="shared" si="1"/>
        <v>2.1567023372534119E-2</v>
      </c>
    </row>
    <row r="66" spans="1:7" x14ac:dyDescent="0.2">
      <c r="A66" s="25" t="s">
        <v>86</v>
      </c>
      <c r="B66" s="26">
        <v>362210704</v>
      </c>
      <c r="C66" s="26">
        <v>454978244.94</v>
      </c>
      <c r="D66" s="70">
        <f t="shared" si="0"/>
        <v>2.1567023372534119E-2</v>
      </c>
      <c r="F66" s="8" t="str">
        <v xml:space="preserve">República Dominicana </v>
      </c>
      <c r="G66" s="70">
        <f t="shared" si="1"/>
        <v>6.0704126780917614E-3</v>
      </c>
    </row>
    <row r="67" spans="1:7" x14ac:dyDescent="0.2">
      <c r="A67" s="25" t="s">
        <v>87</v>
      </c>
      <c r="B67" s="26">
        <v>101950483</v>
      </c>
      <c r="C67" s="26">
        <v>155869547.28999999</v>
      </c>
      <c r="D67" s="70">
        <f t="shared" si="0"/>
        <v>6.0704126780917614E-3</v>
      </c>
      <c r="F67" s="8" t="str">
        <v xml:space="preserve">Ecuador </v>
      </c>
      <c r="G67" s="70">
        <f t="shared" si="1"/>
        <v>3.8626119032337688E-3</v>
      </c>
    </row>
    <row r="68" spans="1:7" x14ac:dyDescent="0.2">
      <c r="A68" s="25" t="s">
        <v>88</v>
      </c>
      <c r="B68" s="26">
        <v>64871232</v>
      </c>
      <c r="C68" s="26">
        <v>108969886.90000001</v>
      </c>
      <c r="D68" s="70">
        <f t="shared" si="0"/>
        <v>3.8626119032337688E-3</v>
      </c>
      <c r="F68" s="8" t="str">
        <v xml:space="preserve">El Salvador </v>
      </c>
      <c r="G68" s="70">
        <f t="shared" si="1"/>
        <v>2.1486646368770371E-4</v>
      </c>
    </row>
    <row r="69" spans="1:7" x14ac:dyDescent="0.2">
      <c r="A69" s="25" t="s">
        <v>89</v>
      </c>
      <c r="B69" s="26">
        <v>3608608</v>
      </c>
      <c r="C69" s="26">
        <v>8143346.2999999998</v>
      </c>
      <c r="D69" s="70">
        <f t="shared" si="0"/>
        <v>2.1486646368770371E-4</v>
      </c>
      <c r="F69" s="8" t="str">
        <v xml:space="preserve">Estados Unidos </v>
      </c>
      <c r="G69" s="70">
        <f t="shared" si="1"/>
        <v>2.8415581506195473E-2</v>
      </c>
    </row>
    <row r="70" spans="1:7" x14ac:dyDescent="0.2">
      <c r="A70" s="25" t="s">
        <v>90</v>
      </c>
      <c r="B70" s="26">
        <v>477229871</v>
      </c>
      <c r="C70" s="26">
        <v>480929981.63</v>
      </c>
      <c r="D70" s="70">
        <f t="shared" si="0"/>
        <v>2.8415581506195473E-2</v>
      </c>
      <c r="F70" s="8" t="str">
        <v xml:space="preserve">Guatemala </v>
      </c>
      <c r="G70" s="70">
        <f t="shared" si="1"/>
        <v>2.9474086109835397E-3</v>
      </c>
    </row>
    <row r="71" spans="1:7" x14ac:dyDescent="0.2">
      <c r="A71" s="25" t="s">
        <v>91</v>
      </c>
      <c r="B71" s="26">
        <v>49500709</v>
      </c>
      <c r="C71" s="26">
        <v>75431868.680000007</v>
      </c>
      <c r="D71" s="70">
        <f t="shared" si="0"/>
        <v>2.9474086109835397E-3</v>
      </c>
      <c r="F71" s="8" t="str">
        <v xml:space="preserve">Guyana </v>
      </c>
      <c r="G71" s="70">
        <f t="shared" si="1"/>
        <v>2.7866426353621994E-5</v>
      </c>
    </row>
    <row r="72" spans="1:7" x14ac:dyDescent="0.2">
      <c r="A72" s="25" t="s">
        <v>92</v>
      </c>
      <c r="B72" s="26">
        <v>468007</v>
      </c>
      <c r="C72" s="26">
        <v>179240</v>
      </c>
      <c r="D72" s="70">
        <f t="shared" si="0"/>
        <v>2.7866426353621994E-5</v>
      </c>
      <c r="F72" s="8" t="str">
        <v xml:space="preserve">Haití </v>
      </c>
      <c r="G72" s="70">
        <f t="shared" si="1"/>
        <v>6.2399045254399571E-4</v>
      </c>
    </row>
    <row r="73" spans="1:7" x14ac:dyDescent="0.2">
      <c r="A73" s="25" t="s">
        <v>93</v>
      </c>
      <c r="B73" s="26">
        <v>10479704</v>
      </c>
      <c r="C73" s="26">
        <v>10504646</v>
      </c>
      <c r="D73" s="70">
        <f t="shared" si="0"/>
        <v>6.2399045254399571E-4</v>
      </c>
      <c r="F73" s="8" t="str">
        <v xml:space="preserve">Honduras </v>
      </c>
      <c r="G73" s="70">
        <f t="shared" si="1"/>
        <v>2.2306472705844636E-4</v>
      </c>
    </row>
    <row r="74" spans="1:7" x14ac:dyDescent="0.2">
      <c r="A74" s="25" t="s">
        <v>94</v>
      </c>
      <c r="B74" s="26">
        <v>3746295</v>
      </c>
      <c r="C74" s="26">
        <v>9945544.6699999999</v>
      </c>
      <c r="D74" s="70">
        <f t="shared" si="0"/>
        <v>2.2306472705844636E-4</v>
      </c>
      <c r="F74" s="8" t="str">
        <v xml:space="preserve">Jamaica </v>
      </c>
      <c r="G74" s="70">
        <f t="shared" si="1"/>
        <v>4.1385698294489127E-4</v>
      </c>
    </row>
    <row r="75" spans="1:7" x14ac:dyDescent="0.2">
      <c r="A75" s="25" t="s">
        <v>95</v>
      </c>
      <c r="B75" s="26">
        <v>6950585</v>
      </c>
      <c r="C75" s="26">
        <v>8916094.7100000009</v>
      </c>
      <c r="D75" s="70">
        <f t="shared" ref="D75:D138" si="2">+B75/$B$8</f>
        <v>4.1385698294489127E-4</v>
      </c>
      <c r="F75" s="8" t="str">
        <v xml:space="preserve">México </v>
      </c>
      <c r="G75" s="70">
        <f t="shared" ref="G75:G138" si="3">+SUMIF(A75:A220,F75,D75:D220)</f>
        <v>5.1561375383136114E-3</v>
      </c>
    </row>
    <row r="76" spans="1:7" x14ac:dyDescent="0.2">
      <c r="A76" s="25" t="s">
        <v>96</v>
      </c>
      <c r="B76" s="26">
        <v>86595548</v>
      </c>
      <c r="C76" s="26">
        <v>84798601.599999994</v>
      </c>
      <c r="D76" s="70">
        <f t="shared" si="2"/>
        <v>5.1561375383136114E-3</v>
      </c>
      <c r="F76" s="8" t="str">
        <v xml:space="preserve">Nicaragua </v>
      </c>
      <c r="G76" s="70">
        <f t="shared" si="3"/>
        <v>7.2895111192469958E-4</v>
      </c>
    </row>
    <row r="77" spans="1:7" x14ac:dyDescent="0.2">
      <c r="A77" s="25" t="s">
        <v>97</v>
      </c>
      <c r="B77" s="26">
        <v>12242482</v>
      </c>
      <c r="C77" s="26">
        <v>13763456.199999999</v>
      </c>
      <c r="D77" s="70">
        <f t="shared" si="2"/>
        <v>7.2895111192469958E-4</v>
      </c>
      <c r="F77" s="8" t="str">
        <v xml:space="preserve">Panamá </v>
      </c>
      <c r="G77" s="70">
        <f t="shared" si="3"/>
        <v>1.1763453732530308E-3</v>
      </c>
    </row>
    <row r="78" spans="1:7" x14ac:dyDescent="0.2">
      <c r="A78" s="25" t="s">
        <v>98</v>
      </c>
      <c r="B78" s="26">
        <v>19756314</v>
      </c>
      <c r="C78" s="26">
        <v>37538200.130000003</v>
      </c>
      <c r="D78" s="70">
        <f t="shared" si="2"/>
        <v>1.1763453732530308E-3</v>
      </c>
      <c r="F78" s="8" t="str">
        <v xml:space="preserve">Paraguay </v>
      </c>
      <c r="G78" s="70">
        <f t="shared" si="3"/>
        <v>1.1841362331823788E-2</v>
      </c>
    </row>
    <row r="79" spans="1:7" x14ac:dyDescent="0.2">
      <c r="A79" s="25" t="s">
        <v>99</v>
      </c>
      <c r="B79" s="26">
        <v>198871588</v>
      </c>
      <c r="C79" s="26">
        <v>128027715.04000001</v>
      </c>
      <c r="D79" s="70">
        <f t="shared" si="2"/>
        <v>1.1841362331823788E-2</v>
      </c>
      <c r="F79" s="8" t="str">
        <v xml:space="preserve">Perú </v>
      </c>
      <c r="G79" s="70">
        <f t="shared" si="3"/>
        <v>2.926174336583778E-2</v>
      </c>
    </row>
    <row r="80" spans="1:7" x14ac:dyDescent="0.2">
      <c r="A80" s="25" t="s">
        <v>100</v>
      </c>
      <c r="B80" s="26">
        <v>491440867</v>
      </c>
      <c r="C80" s="26">
        <v>721132525.17999995</v>
      </c>
      <c r="D80" s="70">
        <f t="shared" si="2"/>
        <v>2.926174336583778E-2</v>
      </c>
      <c r="F80" s="8" t="str">
        <v xml:space="preserve">Puerto Rico(Estado Asociado) </v>
      </c>
      <c r="G80" s="70">
        <f t="shared" si="3"/>
        <v>1.949786355713888E-3</v>
      </c>
    </row>
    <row r="81" spans="1:7" x14ac:dyDescent="0.2">
      <c r="A81" s="25" t="s">
        <v>101</v>
      </c>
      <c r="B81" s="26">
        <v>32745988</v>
      </c>
      <c r="C81" s="26">
        <v>47529643.740000002</v>
      </c>
      <c r="D81" s="70">
        <f t="shared" si="2"/>
        <v>1.949786355713888E-3</v>
      </c>
      <c r="F81" s="8" t="str">
        <v xml:space="preserve">Trinidad y Tobago </v>
      </c>
      <c r="G81" s="70">
        <f t="shared" si="3"/>
        <v>6.6442748588715062E-5</v>
      </c>
    </row>
    <row r="82" spans="1:7" x14ac:dyDescent="0.2">
      <c r="A82" s="25" t="s">
        <v>102</v>
      </c>
      <c r="B82" s="26">
        <v>1115883</v>
      </c>
      <c r="C82" s="26">
        <v>798284.91</v>
      </c>
      <c r="D82" s="70">
        <f t="shared" si="2"/>
        <v>6.6442748588715062E-5</v>
      </c>
      <c r="F82" s="8" t="str">
        <v xml:space="preserve">Uruguay </v>
      </c>
      <c r="G82" s="70">
        <f t="shared" si="3"/>
        <v>1.2294212138578202E-2</v>
      </c>
    </row>
    <row r="83" spans="1:7" x14ac:dyDescent="0.2">
      <c r="A83" s="25" t="s">
        <v>103</v>
      </c>
      <c r="B83" s="26">
        <v>206477044</v>
      </c>
      <c r="C83" s="26">
        <v>198825596.68000001</v>
      </c>
      <c r="D83" s="70">
        <f t="shared" si="2"/>
        <v>1.2294212138578202E-2</v>
      </c>
      <c r="F83" s="8" t="str">
        <v xml:space="preserve">Venezuela </v>
      </c>
      <c r="G83" s="70">
        <f t="shared" si="3"/>
        <v>3.5305068853616596E-2</v>
      </c>
    </row>
    <row r="84" spans="1:7" x14ac:dyDescent="0.2">
      <c r="A84" s="25" t="s">
        <v>104</v>
      </c>
      <c r="B84" s="26">
        <v>592936430</v>
      </c>
      <c r="C84" s="26">
        <v>491230255.49000001</v>
      </c>
      <c r="D84" s="70">
        <f t="shared" si="2"/>
        <v>3.5305068853616596E-2</v>
      </c>
      <c r="F84" s="8" t="str">
        <v xml:space="preserve">Suriname </v>
      </c>
      <c r="G84" s="70">
        <f t="shared" si="3"/>
        <v>8.0042552106339112E-5</v>
      </c>
    </row>
    <row r="85" spans="1:7" x14ac:dyDescent="0.2">
      <c r="A85" s="25" t="s">
        <v>66</v>
      </c>
      <c r="B85" s="26" t="s">
        <v>30</v>
      </c>
      <c r="C85" s="26" t="s">
        <v>30</v>
      </c>
      <c r="D85" s="70" t="e">
        <f t="shared" si="2"/>
        <v>#VALUE!</v>
      </c>
      <c r="F85" s="8" t="str">
        <v xml:space="preserve">Santa Lucía </v>
      </c>
      <c r="G85" s="70">
        <f t="shared" si="3"/>
        <v>2.6435792568233153E-6</v>
      </c>
    </row>
    <row r="86" spans="1:7" x14ac:dyDescent="0.2">
      <c r="A86" s="25" t="s">
        <v>105</v>
      </c>
      <c r="B86" s="26">
        <v>1344287</v>
      </c>
      <c r="C86" s="26">
        <v>1020618.8</v>
      </c>
      <c r="D86" s="70">
        <f t="shared" si="2"/>
        <v>8.0042552106339112E-5</v>
      </c>
      <c r="F86" s="8" t="str">
        <v xml:space="preserve">San Vicente y las Granadinas </v>
      </c>
      <c r="G86" s="70">
        <f t="shared" si="3"/>
        <v>7.1823448771186175E-6</v>
      </c>
    </row>
    <row r="87" spans="1:7" x14ac:dyDescent="0.2">
      <c r="A87" s="25" t="s">
        <v>107</v>
      </c>
      <c r="B87" s="26">
        <v>44398</v>
      </c>
      <c r="C87" s="26">
        <v>54144</v>
      </c>
      <c r="D87" s="70">
        <f t="shared" si="2"/>
        <v>2.6435792568233153E-6</v>
      </c>
      <c r="F87" s="8" t="str">
        <v xml:space="preserve">Belice </v>
      </c>
      <c r="G87" s="70" t="e">
        <f t="shared" si="3"/>
        <v>#VALUE!</v>
      </c>
    </row>
    <row r="88" spans="1:7" x14ac:dyDescent="0.2">
      <c r="A88" s="25" t="s">
        <v>108</v>
      </c>
      <c r="B88" s="26">
        <v>120625</v>
      </c>
      <c r="C88" s="26">
        <v>25000</v>
      </c>
      <c r="D88" s="70">
        <f t="shared" si="2"/>
        <v>7.1823448771186175E-6</v>
      </c>
      <c r="F88" s="8" t="str">
        <v xml:space="preserve">San Cristóbal y Nevis </v>
      </c>
      <c r="G88" s="70">
        <f t="shared" si="3"/>
        <v>4.9685452291909894E-6</v>
      </c>
    </row>
    <row r="89" spans="1:7" x14ac:dyDescent="0.2">
      <c r="A89" s="25" t="s">
        <v>109</v>
      </c>
      <c r="B89" s="26" t="s">
        <v>30</v>
      </c>
      <c r="C89" s="26" t="s">
        <v>30</v>
      </c>
      <c r="D89" s="70" t="e">
        <f t="shared" si="2"/>
        <v>#VALUE!</v>
      </c>
      <c r="F89" s="8" t="str">
        <v xml:space="preserve">Grenada </v>
      </c>
      <c r="G89" s="70" t="e">
        <f t="shared" si="3"/>
        <v>#VALUE!</v>
      </c>
    </row>
    <row r="90" spans="1:7" x14ac:dyDescent="0.2">
      <c r="A90" s="25" t="s">
        <v>111</v>
      </c>
      <c r="B90" s="26">
        <v>83445</v>
      </c>
      <c r="C90" s="26">
        <v>14920.28</v>
      </c>
      <c r="D90" s="70">
        <f t="shared" si="2"/>
        <v>4.9685452291909894E-6</v>
      </c>
      <c r="F90" s="8" t="str">
        <v xml:space="preserve">Antillas Holandesas </v>
      </c>
      <c r="G90" s="70">
        <f t="shared" si="3"/>
        <v>5.436813275214713E-5</v>
      </c>
    </row>
    <row r="91" spans="1:7" x14ac:dyDescent="0.2">
      <c r="A91" s="25" t="s">
        <v>113</v>
      </c>
      <c r="B91" s="26" t="s">
        <v>30</v>
      </c>
      <c r="C91" s="26" t="s">
        <v>30</v>
      </c>
      <c r="D91" s="70" t="e">
        <f t="shared" si="2"/>
        <v>#VALUE!</v>
      </c>
      <c r="F91" s="8" t="str">
        <v xml:space="preserve">Aruba </v>
      </c>
      <c r="G91" s="70">
        <f t="shared" si="3"/>
        <v>1.1264715276828517E-5</v>
      </c>
    </row>
    <row r="92" spans="1:7" x14ac:dyDescent="0.2">
      <c r="A92" s="25" t="s">
        <v>114</v>
      </c>
      <c r="B92" s="26">
        <v>913094</v>
      </c>
      <c r="C92" s="26">
        <v>244879.78</v>
      </c>
      <c r="D92" s="70">
        <f t="shared" si="2"/>
        <v>5.436813275214713E-5</v>
      </c>
      <c r="F92" s="8" t="str">
        <v xml:space="preserve">Iquique (Chile) </v>
      </c>
      <c r="G92" s="70">
        <f t="shared" si="3"/>
        <v>1.7874675645729592E-5</v>
      </c>
    </row>
    <row r="93" spans="1:7" x14ac:dyDescent="0.2">
      <c r="A93" s="25" t="s">
        <v>115</v>
      </c>
      <c r="B93" s="26">
        <v>189187</v>
      </c>
      <c r="C93" s="26">
        <v>40714.18</v>
      </c>
      <c r="D93" s="70">
        <f t="shared" si="2"/>
        <v>1.1264715276828517E-5</v>
      </c>
      <c r="F93" s="8" t="str">
        <v xml:space="preserve">Punta Arenas (Chile) </v>
      </c>
      <c r="G93" s="70">
        <f t="shared" si="3"/>
        <v>2.5348244139793182E-5</v>
      </c>
    </row>
    <row r="94" spans="1:7" x14ac:dyDescent="0.2">
      <c r="A94" s="25" t="s">
        <v>116</v>
      </c>
      <c r="B94" s="26">
        <v>300199</v>
      </c>
      <c r="C94" s="26">
        <v>66000</v>
      </c>
      <c r="D94" s="70">
        <f t="shared" si="2"/>
        <v>1.7874675645729592E-5</v>
      </c>
      <c r="F94" s="8" t="str">
        <v xml:space="preserve">Colonia (Uruguay) </v>
      </c>
      <c r="G94" s="70">
        <f t="shared" si="3"/>
        <v>1.1447094736796305E-5</v>
      </c>
    </row>
    <row r="95" spans="1:7" x14ac:dyDescent="0.2">
      <c r="A95" s="25" t="s">
        <v>117</v>
      </c>
      <c r="B95" s="26">
        <v>425715</v>
      </c>
      <c r="C95" s="26">
        <v>61693.15</v>
      </c>
      <c r="D95" s="70">
        <f t="shared" si="2"/>
        <v>2.5348244139793182E-5</v>
      </c>
      <c r="F95" s="8" t="str">
        <v>ASIA</v>
      </c>
      <c r="G95" s="70">
        <f t="shared" si="3"/>
        <v>0.37731756246336823</v>
      </c>
    </row>
    <row r="96" spans="1:7" x14ac:dyDescent="0.2">
      <c r="A96" s="25" t="s">
        <v>118</v>
      </c>
      <c r="B96" s="26">
        <v>192250</v>
      </c>
      <c r="C96" s="26">
        <v>400000</v>
      </c>
      <c r="D96" s="70">
        <f t="shared" si="2"/>
        <v>1.1447094736796305E-5</v>
      </c>
      <c r="F96" s="8" t="str">
        <v xml:space="preserve">Arabia Saudita </v>
      </c>
      <c r="G96" s="70">
        <f t="shared" si="3"/>
        <v>1.2952288794168203E-2</v>
      </c>
    </row>
    <row r="97" spans="1:7" x14ac:dyDescent="0.2">
      <c r="A97" s="25"/>
      <c r="B97" s="26"/>
      <c r="C97" s="26"/>
      <c r="D97" s="70">
        <f t="shared" si="2"/>
        <v>0</v>
      </c>
      <c r="F97" s="8" t="str">
        <v xml:space="preserve">Bahrein </v>
      </c>
      <c r="G97" s="70">
        <f t="shared" si="3"/>
        <v>2.1547808687176806E-5</v>
      </c>
    </row>
    <row r="98" spans="1:7" x14ac:dyDescent="0.2">
      <c r="A98" s="25" t="s">
        <v>119</v>
      </c>
      <c r="B98" s="26">
        <v>6336918061</v>
      </c>
      <c r="C98" s="26">
        <v>11406826763.200001</v>
      </c>
      <c r="D98" s="70">
        <f t="shared" si="2"/>
        <v>0.37731756246336823</v>
      </c>
      <c r="F98" s="8" t="str">
        <v xml:space="preserve">Myanmar (ex Birmania) Unión de </v>
      </c>
      <c r="G98" s="70">
        <f t="shared" si="3"/>
        <v>1.991949295366748E-5</v>
      </c>
    </row>
    <row r="99" spans="1:7" x14ac:dyDescent="0.2">
      <c r="A99" s="25" t="s">
        <v>121</v>
      </c>
      <c r="B99" s="26">
        <v>217529214</v>
      </c>
      <c r="C99" s="26">
        <v>547250196.47000003</v>
      </c>
      <c r="D99" s="70">
        <f t="shared" si="2"/>
        <v>1.2952288794168203E-2</v>
      </c>
      <c r="F99" s="8" t="str">
        <v xml:space="preserve">Camboya (ex Kampuchea) </v>
      </c>
      <c r="G99" s="70">
        <f t="shared" si="3"/>
        <v>4.487430833677207E-4</v>
      </c>
    </row>
    <row r="100" spans="1:7" x14ac:dyDescent="0.2">
      <c r="A100" s="25" t="s">
        <v>122</v>
      </c>
      <c r="B100" s="26">
        <v>361888</v>
      </c>
      <c r="C100" s="26">
        <v>816559.05</v>
      </c>
      <c r="D100" s="70">
        <f t="shared" si="2"/>
        <v>2.1547808687176806E-5</v>
      </c>
      <c r="F100" s="8" t="str">
        <v xml:space="preserve">Sri Lanka </v>
      </c>
      <c r="G100" s="70">
        <f t="shared" si="3"/>
        <v>1.036579829767942E-6</v>
      </c>
    </row>
    <row r="101" spans="1:7" x14ac:dyDescent="0.2">
      <c r="A101" s="25" t="s">
        <v>123</v>
      </c>
      <c r="B101" s="26">
        <v>334541</v>
      </c>
      <c r="C101" s="26">
        <v>732160</v>
      </c>
      <c r="D101" s="70">
        <f t="shared" si="2"/>
        <v>1.991949295366748E-5</v>
      </c>
      <c r="F101" s="8" t="str">
        <v xml:space="preserve">Corea Republicana </v>
      </c>
      <c r="G101" s="70">
        <f t="shared" si="3"/>
        <v>1.4010879794346296E-2</v>
      </c>
    </row>
    <row r="102" spans="1:7" x14ac:dyDescent="0.2">
      <c r="A102" s="25" t="s">
        <v>124</v>
      </c>
      <c r="B102" s="26">
        <v>7536485</v>
      </c>
      <c r="C102" s="26">
        <v>371839.51</v>
      </c>
      <c r="D102" s="70">
        <f t="shared" si="2"/>
        <v>4.487430833677207E-4</v>
      </c>
      <c r="F102" s="8" t="str">
        <v xml:space="preserve">China </v>
      </c>
      <c r="G102" s="70">
        <f t="shared" si="3"/>
        <v>7.141920431113967E-2</v>
      </c>
    </row>
    <row r="103" spans="1:7" x14ac:dyDescent="0.2">
      <c r="A103" s="25" t="s">
        <v>125</v>
      </c>
      <c r="B103" s="26">
        <v>17409</v>
      </c>
      <c r="C103" s="26">
        <v>13462.83</v>
      </c>
      <c r="D103" s="70">
        <f t="shared" si="2"/>
        <v>1.036579829767942E-6</v>
      </c>
      <c r="F103" s="8" t="str">
        <v xml:space="preserve">Filipinas </v>
      </c>
      <c r="G103" s="70">
        <f t="shared" si="3"/>
        <v>1.8807551942312813E-2</v>
      </c>
    </row>
    <row r="104" spans="1:7" x14ac:dyDescent="0.2">
      <c r="A104" s="25" t="s">
        <v>126</v>
      </c>
      <c r="B104" s="26">
        <v>235307884</v>
      </c>
      <c r="C104" s="26">
        <v>541483454.85000002</v>
      </c>
      <c r="D104" s="70">
        <f t="shared" si="2"/>
        <v>1.4010879794346296E-2</v>
      </c>
      <c r="F104" s="8" t="str">
        <v xml:space="preserve">Taiwan </v>
      </c>
      <c r="G104" s="70">
        <f t="shared" si="3"/>
        <v>4.3842352597392989E-3</v>
      </c>
    </row>
    <row r="105" spans="1:7" x14ac:dyDescent="0.2">
      <c r="A105" s="25" t="s">
        <v>127</v>
      </c>
      <c r="B105" s="26">
        <v>1199460854</v>
      </c>
      <c r="C105" s="26">
        <v>1788623484.3</v>
      </c>
      <c r="D105" s="70">
        <f t="shared" si="2"/>
        <v>7.141920431113967E-2</v>
      </c>
      <c r="F105" s="8" t="str">
        <v xml:space="preserve">India </v>
      </c>
      <c r="G105" s="70">
        <f t="shared" si="3"/>
        <v>4.0085255279793952E-2</v>
      </c>
    </row>
    <row r="106" spans="1:7" x14ac:dyDescent="0.2">
      <c r="A106" s="25" t="s">
        <v>128</v>
      </c>
      <c r="B106" s="26">
        <v>315866335</v>
      </c>
      <c r="C106" s="26">
        <v>675137359.84000003</v>
      </c>
      <c r="D106" s="70">
        <f t="shared" si="2"/>
        <v>1.8807551942312813E-2</v>
      </c>
      <c r="F106" s="8" t="str">
        <v xml:space="preserve">Indonesia </v>
      </c>
      <c r="G106" s="70">
        <f t="shared" si="3"/>
        <v>4.5373756065776871E-2</v>
      </c>
    </row>
    <row r="107" spans="1:7" x14ac:dyDescent="0.2">
      <c r="A107" s="25" t="s">
        <v>129</v>
      </c>
      <c r="B107" s="26">
        <v>73631716</v>
      </c>
      <c r="C107" s="26">
        <v>166345560.69999999</v>
      </c>
      <c r="D107" s="70">
        <f t="shared" si="2"/>
        <v>4.3842352597392989E-3</v>
      </c>
      <c r="F107" s="8" t="str">
        <v xml:space="preserve">Iraq </v>
      </c>
      <c r="G107" s="70">
        <f t="shared" si="3"/>
        <v>5.7020470748298316E-4</v>
      </c>
    </row>
    <row r="108" spans="1:7" x14ac:dyDescent="0.2">
      <c r="A108" s="25" t="s">
        <v>130</v>
      </c>
      <c r="B108" s="26">
        <v>673218009</v>
      </c>
      <c r="C108" s="26">
        <v>682889412.54999995</v>
      </c>
      <c r="D108" s="70">
        <f t="shared" si="2"/>
        <v>4.0085255279793952E-2</v>
      </c>
      <c r="F108" s="8" t="str">
        <v xml:space="preserve">Irán </v>
      </c>
      <c r="G108" s="70">
        <f t="shared" si="3"/>
        <v>3.0808633071317704E-2</v>
      </c>
    </row>
    <row r="109" spans="1:7" x14ac:dyDescent="0.2">
      <c r="A109" s="25" t="s">
        <v>131</v>
      </c>
      <c r="B109" s="26">
        <v>762036552</v>
      </c>
      <c r="C109" s="26">
        <v>1596101651.21</v>
      </c>
      <c r="D109" s="70">
        <f t="shared" si="2"/>
        <v>4.5373756065776871E-2</v>
      </c>
      <c r="F109" s="8" t="str">
        <v xml:space="preserve">Israel </v>
      </c>
      <c r="G109" s="70">
        <f t="shared" si="3"/>
        <v>3.4606297701808837E-3</v>
      </c>
    </row>
    <row r="110" spans="1:7" x14ac:dyDescent="0.2">
      <c r="A110" s="25" t="s">
        <v>132</v>
      </c>
      <c r="B110" s="26">
        <v>9576391</v>
      </c>
      <c r="C110" s="26">
        <v>16384937.25</v>
      </c>
      <c r="D110" s="70">
        <f t="shared" si="2"/>
        <v>5.7020470748298316E-4</v>
      </c>
      <c r="F110" s="8" t="str">
        <v xml:space="preserve">Japón </v>
      </c>
      <c r="G110" s="70">
        <f t="shared" si="3"/>
        <v>1.0722983676834517E-2</v>
      </c>
    </row>
    <row r="111" spans="1:7" x14ac:dyDescent="0.2">
      <c r="A111" s="25" t="s">
        <v>133</v>
      </c>
      <c r="B111" s="26">
        <v>517420345</v>
      </c>
      <c r="C111" s="26">
        <v>772946838.26999998</v>
      </c>
      <c r="D111" s="70">
        <f t="shared" si="2"/>
        <v>3.0808633071317704E-2</v>
      </c>
      <c r="F111" s="8" t="str">
        <v xml:space="preserve">Jordania </v>
      </c>
      <c r="G111" s="70">
        <f t="shared" si="3"/>
        <v>6.2885578636087585E-3</v>
      </c>
    </row>
    <row r="112" spans="1:7" x14ac:dyDescent="0.2">
      <c r="A112" s="25" t="s">
        <v>134</v>
      </c>
      <c r="B112" s="26">
        <v>58120081</v>
      </c>
      <c r="C112" s="26">
        <v>29504087.710000001</v>
      </c>
      <c r="D112" s="70">
        <f t="shared" si="2"/>
        <v>3.4606297701808837E-3</v>
      </c>
      <c r="F112" s="8" t="str">
        <v xml:space="preserve">Qatar </v>
      </c>
      <c r="G112" s="70">
        <f t="shared" si="3"/>
        <v>5.2744163639786229E-6</v>
      </c>
    </row>
    <row r="113" spans="1:7" x14ac:dyDescent="0.2">
      <c r="A113" s="25" t="s">
        <v>135</v>
      </c>
      <c r="B113" s="26">
        <v>180088805</v>
      </c>
      <c r="C113" s="26">
        <v>596998291.87</v>
      </c>
      <c r="D113" s="70">
        <f t="shared" si="2"/>
        <v>1.0722983676834517E-2</v>
      </c>
      <c r="F113" s="8" t="str">
        <v xml:space="preserve">Kuwait </v>
      </c>
      <c r="G113" s="70">
        <f t="shared" si="3"/>
        <v>2.8507797098313153E-4</v>
      </c>
    </row>
    <row r="114" spans="1:7" x14ac:dyDescent="0.2">
      <c r="A114" s="25" t="s">
        <v>136</v>
      </c>
      <c r="B114" s="26">
        <v>105614156</v>
      </c>
      <c r="C114" s="26">
        <v>236968609.34999999</v>
      </c>
      <c r="D114" s="70">
        <f t="shared" si="2"/>
        <v>6.2885578636087585E-3</v>
      </c>
      <c r="F114" s="8" t="str">
        <v xml:space="preserve">Líbano </v>
      </c>
      <c r="G114" s="70">
        <f t="shared" si="3"/>
        <v>1.3758549862523009E-3</v>
      </c>
    </row>
    <row r="115" spans="1:7" x14ac:dyDescent="0.2">
      <c r="A115" s="25" t="s">
        <v>137</v>
      </c>
      <c r="B115" s="26">
        <v>88582</v>
      </c>
      <c r="C115" s="26">
        <v>10575.73</v>
      </c>
      <c r="D115" s="70">
        <f t="shared" si="2"/>
        <v>5.2744163639786229E-6</v>
      </c>
      <c r="F115" s="8" t="str">
        <v xml:space="preserve">Malasia </v>
      </c>
      <c r="G115" s="70">
        <f t="shared" si="3"/>
        <v>3.0770281939783751E-2</v>
      </c>
    </row>
    <row r="116" spans="1:7" x14ac:dyDescent="0.2">
      <c r="A116" s="25" t="s">
        <v>138</v>
      </c>
      <c r="B116" s="26">
        <v>4787786</v>
      </c>
      <c r="C116" s="26">
        <v>15730056.619999999</v>
      </c>
      <c r="D116" s="70">
        <f t="shared" si="2"/>
        <v>2.8507797098313153E-4</v>
      </c>
      <c r="F116" s="8" t="str">
        <v xml:space="preserve">Maldivas </v>
      </c>
      <c r="G116" s="70">
        <f t="shared" si="3"/>
        <v>6.3213566331962532E-6</v>
      </c>
    </row>
    <row r="117" spans="1:7" x14ac:dyDescent="0.2">
      <c r="A117" s="25" t="s">
        <v>139</v>
      </c>
      <c r="B117" s="26">
        <v>23107009</v>
      </c>
      <c r="C117" s="26">
        <v>41818478.729999997</v>
      </c>
      <c r="D117" s="70">
        <f t="shared" si="2"/>
        <v>1.3758549862523009E-3</v>
      </c>
      <c r="F117" s="8" t="str">
        <v xml:space="preserve">Omán </v>
      </c>
      <c r="G117" s="70">
        <f t="shared" si="3"/>
        <v>1.9591978027270869E-4</v>
      </c>
    </row>
    <row r="118" spans="1:7" x14ac:dyDescent="0.2">
      <c r="A118" s="25" t="s">
        <v>140</v>
      </c>
      <c r="B118" s="26">
        <v>516776251</v>
      </c>
      <c r="C118" s="26">
        <v>1121148584.7</v>
      </c>
      <c r="D118" s="70">
        <f t="shared" si="2"/>
        <v>3.0770281939783751E-2</v>
      </c>
      <c r="F118" s="8" t="str">
        <v xml:space="preserve">Mongolia </v>
      </c>
      <c r="G118" s="70">
        <f t="shared" si="3"/>
        <v>1.6267676218674219E-6</v>
      </c>
    </row>
    <row r="119" spans="1:7" x14ac:dyDescent="0.2">
      <c r="A119" s="25" t="s">
        <v>141</v>
      </c>
      <c r="B119" s="26">
        <v>106165</v>
      </c>
      <c r="C119" s="26">
        <v>382725</v>
      </c>
      <c r="D119" s="70">
        <f t="shared" si="2"/>
        <v>6.3213566331962532E-6</v>
      </c>
      <c r="F119" s="8" t="str">
        <v xml:space="preserve">Nepal </v>
      </c>
      <c r="G119" s="70">
        <f t="shared" si="3"/>
        <v>2.2064818432818432E-5</v>
      </c>
    </row>
    <row r="120" spans="1:7" x14ac:dyDescent="0.2">
      <c r="A120" s="25" t="s">
        <v>142</v>
      </c>
      <c r="B120" s="26">
        <v>3290405</v>
      </c>
      <c r="C120" s="26">
        <v>11169730.5</v>
      </c>
      <c r="D120" s="70">
        <f t="shared" si="2"/>
        <v>1.9591978027270869E-4</v>
      </c>
      <c r="F120" s="8" t="str">
        <v xml:space="preserve">Emiratos Arabes Unidos </v>
      </c>
      <c r="G120" s="70">
        <f t="shared" si="3"/>
        <v>2.6443819527096441E-3</v>
      </c>
    </row>
    <row r="121" spans="1:7" x14ac:dyDescent="0.2">
      <c r="A121" s="25" t="s">
        <v>143</v>
      </c>
      <c r="B121" s="26">
        <v>27321</v>
      </c>
      <c r="C121" s="26">
        <v>6397.13</v>
      </c>
      <c r="D121" s="70">
        <f t="shared" si="2"/>
        <v>1.6267676218674219E-6</v>
      </c>
      <c r="F121" s="8" t="str">
        <v xml:space="preserve">Paquistán </v>
      </c>
      <c r="G121" s="70">
        <f t="shared" si="3"/>
        <v>3.7940554463690508E-3</v>
      </c>
    </row>
    <row r="122" spans="1:7" x14ac:dyDescent="0.2">
      <c r="A122" s="25" t="s">
        <v>144</v>
      </c>
      <c r="B122" s="26">
        <v>370571</v>
      </c>
      <c r="C122" s="26">
        <v>526228.16</v>
      </c>
      <c r="D122" s="70">
        <f t="shared" si="2"/>
        <v>2.2064818432818432E-5</v>
      </c>
      <c r="F122" s="8" t="str">
        <v xml:space="preserve">Singapur </v>
      </c>
      <c r="G122" s="70">
        <f t="shared" si="3"/>
        <v>4.7945607023152222E-4</v>
      </c>
    </row>
    <row r="123" spans="1:7" x14ac:dyDescent="0.2">
      <c r="A123" s="25" t="s">
        <v>145</v>
      </c>
      <c r="B123" s="26">
        <v>44411481</v>
      </c>
      <c r="C123" s="26">
        <v>83893461.670000002</v>
      </c>
      <c r="D123" s="70">
        <f t="shared" si="2"/>
        <v>2.6443819527096441E-3</v>
      </c>
      <c r="F123" s="8" t="str">
        <v xml:space="preserve">Siria </v>
      </c>
      <c r="G123" s="70">
        <f t="shared" si="3"/>
        <v>2.0837774427746618E-3</v>
      </c>
    </row>
    <row r="124" spans="1:7" x14ac:dyDescent="0.2">
      <c r="A124" s="25" t="s">
        <v>146</v>
      </c>
      <c r="B124" s="26">
        <v>63719850</v>
      </c>
      <c r="C124" s="26">
        <v>100874446.94</v>
      </c>
      <c r="D124" s="70">
        <f t="shared" si="2"/>
        <v>3.7940554463690508E-3</v>
      </c>
      <c r="F124" s="8" t="str">
        <v xml:space="preserve">Tailandia </v>
      </c>
      <c r="G124" s="70">
        <f t="shared" si="3"/>
        <v>2.8779494919003543E-2</v>
      </c>
    </row>
    <row r="125" spans="1:7" x14ac:dyDescent="0.2">
      <c r="A125" s="25" t="s">
        <v>147</v>
      </c>
      <c r="B125" s="26">
        <v>8052299</v>
      </c>
      <c r="C125" s="26">
        <v>5408613.79</v>
      </c>
      <c r="D125" s="70">
        <f t="shared" si="2"/>
        <v>4.7945607023152222E-4</v>
      </c>
      <c r="F125" s="8" t="str">
        <v xml:space="preserve">Vietnam </v>
      </c>
      <c r="G125" s="70">
        <f t="shared" si="3"/>
        <v>2.8944590784259032E-2</v>
      </c>
    </row>
    <row r="126" spans="1:7" x14ac:dyDescent="0.2">
      <c r="A126" s="25" t="s">
        <v>148</v>
      </c>
      <c r="B126" s="26">
        <v>34996322</v>
      </c>
      <c r="C126" s="26">
        <v>69951892.390000001</v>
      </c>
      <c r="D126" s="70">
        <f t="shared" si="2"/>
        <v>2.0837774427746618E-3</v>
      </c>
      <c r="F126" s="8" t="str">
        <v xml:space="preserve">Hong Kong </v>
      </c>
      <c r="G126" s="70">
        <f t="shared" si="3"/>
        <v>2.8618821710995209E-3</v>
      </c>
    </row>
    <row r="127" spans="1:7" x14ac:dyDescent="0.2">
      <c r="A127" s="25" t="s">
        <v>149</v>
      </c>
      <c r="B127" s="26">
        <v>483341671</v>
      </c>
      <c r="C127" s="26">
        <v>893040395.88</v>
      </c>
      <c r="D127" s="70">
        <f t="shared" si="2"/>
        <v>2.8779494919003543E-2</v>
      </c>
      <c r="F127" s="8" t="str">
        <v xml:space="preserve">Bangladesh </v>
      </c>
      <c r="G127" s="70">
        <f t="shared" si="3"/>
        <v>1.0646680290685429E-2</v>
      </c>
    </row>
    <row r="128" spans="1:7" x14ac:dyDescent="0.2">
      <c r="A128" s="25" t="s">
        <v>150</v>
      </c>
      <c r="B128" s="26">
        <v>486114399</v>
      </c>
      <c r="C128" s="26">
        <v>992122274.64999998</v>
      </c>
      <c r="D128" s="70">
        <f t="shared" si="2"/>
        <v>2.8944590784259032E-2</v>
      </c>
      <c r="F128" s="8" t="str">
        <v xml:space="preserve">Brunei </v>
      </c>
      <c r="G128" s="70">
        <f t="shared" si="3"/>
        <v>1.05920429055931E-4</v>
      </c>
    </row>
    <row r="129" spans="1:7" x14ac:dyDescent="0.2">
      <c r="A129" s="25" t="s">
        <v>151</v>
      </c>
      <c r="B129" s="26">
        <v>48064322</v>
      </c>
      <c r="C129" s="26">
        <v>9441852.7899999991</v>
      </c>
      <c r="D129" s="70">
        <f t="shared" si="2"/>
        <v>2.8618821710995209E-3</v>
      </c>
      <c r="F129" s="8" t="str">
        <v xml:space="preserve">República de Yemen </v>
      </c>
      <c r="G129" s="70">
        <f t="shared" si="3"/>
        <v>4.0244902566125753E-3</v>
      </c>
    </row>
    <row r="130" spans="1:7" x14ac:dyDescent="0.2">
      <c r="A130" s="25" t="s">
        <v>153</v>
      </c>
      <c r="B130" s="26">
        <v>178807316</v>
      </c>
      <c r="C130" s="26">
        <v>197177355.00999999</v>
      </c>
      <c r="D130" s="70">
        <f t="shared" si="2"/>
        <v>1.0646680290685429E-2</v>
      </c>
      <c r="F130" s="8" t="str">
        <v xml:space="preserve">Armenia </v>
      </c>
      <c r="G130" s="70">
        <f t="shared" si="3"/>
        <v>1.2372984584167865E-6</v>
      </c>
    </row>
    <row r="131" spans="1:7" x14ac:dyDescent="0.2">
      <c r="A131" s="25" t="s">
        <v>215</v>
      </c>
      <c r="B131" s="26">
        <v>1778897</v>
      </c>
      <c r="C131" s="26">
        <v>4622660</v>
      </c>
      <c r="D131" s="70">
        <f t="shared" si="2"/>
        <v>1.05920429055931E-4</v>
      </c>
      <c r="F131" s="8" t="str">
        <v xml:space="preserve">Azerbaiján </v>
      </c>
      <c r="G131" s="70">
        <f t="shared" si="3"/>
        <v>2.5680195001471409E-6</v>
      </c>
    </row>
    <row r="132" spans="1:7" x14ac:dyDescent="0.2">
      <c r="A132" s="25" t="s">
        <v>154</v>
      </c>
      <c r="B132" s="26">
        <v>67589923</v>
      </c>
      <c r="C132" s="26">
        <v>174132691.22</v>
      </c>
      <c r="D132" s="70">
        <f t="shared" si="2"/>
        <v>4.0244902566125753E-3</v>
      </c>
      <c r="F132" s="8" t="str">
        <v xml:space="preserve">Georgia </v>
      </c>
      <c r="G132" s="70">
        <f t="shared" si="3"/>
        <v>8.8603639257464942E-4</v>
      </c>
    </row>
    <row r="133" spans="1:7" x14ac:dyDescent="0.2">
      <c r="A133" s="25" t="s">
        <v>155</v>
      </c>
      <c r="B133" s="26">
        <v>20780</v>
      </c>
      <c r="C133" s="26">
        <v>26297.46</v>
      </c>
      <c r="D133" s="70">
        <f t="shared" si="2"/>
        <v>1.2372984584167865E-6</v>
      </c>
      <c r="F133" s="8" t="str">
        <v xml:space="preserve">Kazajstán </v>
      </c>
      <c r="G133" s="70">
        <f t="shared" si="3"/>
        <v>2.4793186573413909E-5</v>
      </c>
    </row>
    <row r="134" spans="1:7" x14ac:dyDescent="0.2">
      <c r="A134" s="25" t="s">
        <v>156</v>
      </c>
      <c r="B134" s="26">
        <v>43129</v>
      </c>
      <c r="C134" s="26">
        <v>56388.15</v>
      </c>
      <c r="D134" s="70">
        <f t="shared" si="2"/>
        <v>2.5680195001471409E-6</v>
      </c>
      <c r="F134" s="8" t="str">
        <v>Territorios Autónomos Palestinos (Gaza y Jericó)</v>
      </c>
      <c r="G134" s="70">
        <f t="shared" si="3"/>
        <v>3.4737243534184472E-7</v>
      </c>
    </row>
    <row r="135" spans="1:7" x14ac:dyDescent="0.2">
      <c r="A135" s="25" t="s">
        <v>157</v>
      </c>
      <c r="B135" s="26">
        <v>14880675</v>
      </c>
      <c r="C135" s="26">
        <v>32573180.989999998</v>
      </c>
      <c r="D135" s="70">
        <f t="shared" si="2"/>
        <v>8.8603639257464942E-4</v>
      </c>
      <c r="F135" s="8" t="str">
        <v>EUROPA</v>
      </c>
      <c r="G135" s="70">
        <f t="shared" si="3"/>
        <v>0.19515329453905564</v>
      </c>
    </row>
    <row r="136" spans="1:7" x14ac:dyDescent="0.2">
      <c r="A136" s="25" t="s">
        <v>158</v>
      </c>
      <c r="B136" s="26">
        <v>416393</v>
      </c>
      <c r="C136" s="26">
        <v>144413.41</v>
      </c>
      <c r="D136" s="70">
        <f t="shared" si="2"/>
        <v>2.4793186573413909E-5</v>
      </c>
      <c r="F136" s="8" t="str">
        <v xml:space="preserve">Albania </v>
      </c>
      <c r="G136" s="70">
        <f t="shared" si="3"/>
        <v>2.6563333150424141E-4</v>
      </c>
    </row>
    <row r="137" spans="1:7" x14ac:dyDescent="0.2">
      <c r="A137" s="25" t="s">
        <v>159</v>
      </c>
      <c r="B137" s="26">
        <v>5834</v>
      </c>
      <c r="C137" s="26">
        <v>156.52000000000001</v>
      </c>
      <c r="D137" s="70">
        <f t="shared" si="2"/>
        <v>3.4737243534184472E-7</v>
      </c>
      <c r="F137" s="8" t="str">
        <v xml:space="preserve">Austria </v>
      </c>
      <c r="G137" s="70">
        <f t="shared" si="3"/>
        <v>2.0835349846744369E-4</v>
      </c>
    </row>
    <row r="138" spans="1:7" x14ac:dyDescent="0.2">
      <c r="A138" s="25"/>
      <c r="B138" s="26"/>
      <c r="C138" s="26"/>
      <c r="D138" s="70">
        <f t="shared" si="2"/>
        <v>0</v>
      </c>
      <c r="F138" s="8" t="str">
        <v xml:space="preserve">Bélgica </v>
      </c>
      <c r="G138" s="70">
        <f t="shared" si="3"/>
        <v>5.2791083331087119E-3</v>
      </c>
    </row>
    <row r="139" spans="1:7" x14ac:dyDescent="0.2">
      <c r="A139" s="25" t="s">
        <v>160</v>
      </c>
      <c r="B139" s="26">
        <v>3277532137</v>
      </c>
      <c r="C139" s="26">
        <v>6190697917.6800003</v>
      </c>
      <c r="D139" s="70">
        <f t="shared" ref="D139:D155" si="4">+B139/$B$8</f>
        <v>0.19515329453905564</v>
      </c>
      <c r="F139" s="8" t="str">
        <v xml:space="preserve">Bulgaria </v>
      </c>
      <c r="G139" s="70">
        <f t="shared" ref="G139:G151" si="5">+SUMIF(A139:A284,F139,D139:D284)</f>
        <v>6.2898585155589825E-6</v>
      </c>
    </row>
    <row r="140" spans="1:7" x14ac:dyDescent="0.2">
      <c r="A140" s="25" t="s">
        <v>161</v>
      </c>
      <c r="B140" s="26">
        <v>4461220</v>
      </c>
      <c r="C140" s="26">
        <v>5304197.8899999997</v>
      </c>
      <c r="D140" s="70">
        <f t="shared" si="4"/>
        <v>2.6563333150424141E-4</v>
      </c>
      <c r="F140" s="8" t="str">
        <v xml:space="preserve">Dinamarca </v>
      </c>
      <c r="G140" s="70">
        <f t="shared" si="5"/>
        <v>9.7940965662387143E-3</v>
      </c>
    </row>
    <row r="141" spans="1:7" x14ac:dyDescent="0.2">
      <c r="A141" s="25" t="s">
        <v>162</v>
      </c>
      <c r="B141" s="26">
        <v>3499225</v>
      </c>
      <c r="C141" s="26">
        <v>102913.96</v>
      </c>
      <c r="D141" s="70">
        <f t="shared" si="4"/>
        <v>2.0835349846744369E-4</v>
      </c>
      <c r="F141" s="8" t="str">
        <v xml:space="preserve">España </v>
      </c>
      <c r="G141" s="70">
        <f t="shared" si="5"/>
        <v>3.1029764028307139E-2</v>
      </c>
    </row>
    <row r="142" spans="1:7" x14ac:dyDescent="0.2">
      <c r="A142" s="25" t="s">
        <v>163</v>
      </c>
      <c r="B142" s="26">
        <v>88660800</v>
      </c>
      <c r="C142" s="26">
        <v>102176155.63</v>
      </c>
      <c r="D142" s="70">
        <f t="shared" si="4"/>
        <v>5.2791083331087119E-3</v>
      </c>
      <c r="F142" s="8" t="str">
        <v xml:space="preserve">Finlandia </v>
      </c>
      <c r="G142" s="70">
        <f t="shared" si="5"/>
        <v>5.9933296391027061E-5</v>
      </c>
    </row>
    <row r="143" spans="1:7" x14ac:dyDescent="0.2">
      <c r="A143" s="25" t="s">
        <v>164</v>
      </c>
      <c r="B143" s="26">
        <v>105636</v>
      </c>
      <c r="C143" s="26">
        <v>93275.59</v>
      </c>
      <c r="D143" s="70">
        <f t="shared" si="4"/>
        <v>6.2898585155589825E-6</v>
      </c>
      <c r="F143" s="8" t="str">
        <v xml:space="preserve">Francia </v>
      </c>
      <c r="G143" s="70">
        <f t="shared" si="5"/>
        <v>8.378341205498201E-3</v>
      </c>
    </row>
    <row r="144" spans="1:7" x14ac:dyDescent="0.2">
      <c r="A144" s="25" t="s">
        <v>165</v>
      </c>
      <c r="B144" s="26">
        <v>164488467</v>
      </c>
      <c r="C144" s="26">
        <v>338603904.16000003</v>
      </c>
      <c r="D144" s="70">
        <f t="shared" si="4"/>
        <v>9.7940965662387143E-3</v>
      </c>
      <c r="F144" s="8" t="str">
        <v xml:space="preserve">Grecia </v>
      </c>
      <c r="G144" s="70">
        <f t="shared" si="5"/>
        <v>3.1149417993909453E-3</v>
      </c>
    </row>
    <row r="145" spans="1:7" x14ac:dyDescent="0.2">
      <c r="A145" s="25" t="s">
        <v>166</v>
      </c>
      <c r="B145" s="26">
        <v>521134163</v>
      </c>
      <c r="C145" s="26">
        <v>887881604.26999998</v>
      </c>
      <c r="D145" s="70">
        <f t="shared" si="4"/>
        <v>3.1029764028307139E-2</v>
      </c>
      <c r="F145" s="8" t="str">
        <v xml:space="preserve">Hungría </v>
      </c>
      <c r="G145" s="70">
        <f t="shared" si="5"/>
        <v>4.8330021006664479E-5</v>
      </c>
    </row>
    <row r="146" spans="1:7" x14ac:dyDescent="0.2">
      <c r="A146" s="25" t="s">
        <v>167</v>
      </c>
      <c r="B146" s="26">
        <v>1006559</v>
      </c>
      <c r="C146" s="26">
        <v>202417.16</v>
      </c>
      <c r="D146" s="70">
        <f t="shared" si="4"/>
        <v>5.9933296391027061E-5</v>
      </c>
      <c r="F146" s="8" t="str">
        <v xml:space="preserve">Irlanda </v>
      </c>
      <c r="G146" s="70">
        <f t="shared" si="5"/>
        <v>7.0454214284370494E-3</v>
      </c>
    </row>
    <row r="147" spans="1:7" x14ac:dyDescent="0.2">
      <c r="A147" s="25" t="s">
        <v>168</v>
      </c>
      <c r="B147" s="26">
        <v>140711345</v>
      </c>
      <c r="C147" s="26">
        <v>242246488.56999999</v>
      </c>
      <c r="D147" s="70">
        <f t="shared" si="4"/>
        <v>8.378341205498201E-3</v>
      </c>
      <c r="F147" s="8" t="str">
        <v xml:space="preserve">Italia </v>
      </c>
      <c r="G147" s="70">
        <f t="shared" si="5"/>
        <v>2.2696862876636695E-2</v>
      </c>
    </row>
    <row r="148" spans="1:7" x14ac:dyDescent="0.2">
      <c r="A148" s="25" t="s">
        <v>169</v>
      </c>
      <c r="B148" s="26">
        <v>52314371</v>
      </c>
      <c r="C148" s="26">
        <v>110655108.94</v>
      </c>
      <c r="D148" s="70">
        <f t="shared" si="4"/>
        <v>3.1149417993909453E-3</v>
      </c>
      <c r="F148" s="8" t="str">
        <v xml:space="preserve">Luxemburgo </v>
      </c>
      <c r="G148" s="70">
        <f t="shared" si="5"/>
        <v>1.5844267684612536E-5</v>
      </c>
    </row>
    <row r="149" spans="1:7" x14ac:dyDescent="0.2">
      <c r="A149" s="25" t="s">
        <v>170</v>
      </c>
      <c r="B149" s="26">
        <v>811686</v>
      </c>
      <c r="C149" s="26">
        <v>224662.75</v>
      </c>
      <c r="D149" s="70">
        <f t="shared" si="4"/>
        <v>4.8330021006664479E-5</v>
      </c>
      <c r="F149" s="8" t="str">
        <v xml:space="preserve">Malta </v>
      </c>
      <c r="G149" s="70" t="e">
        <f t="shared" si="5"/>
        <v>#VALUE!</v>
      </c>
    </row>
    <row r="150" spans="1:7" x14ac:dyDescent="0.2">
      <c r="A150" s="25" t="s">
        <v>171</v>
      </c>
      <c r="B150" s="26">
        <v>118325418</v>
      </c>
      <c r="C150" s="26">
        <v>342803148.81</v>
      </c>
      <c r="D150" s="70">
        <f t="shared" si="4"/>
        <v>7.0454214284370494E-3</v>
      </c>
      <c r="F150" s="8" t="str">
        <v xml:space="preserve">Noruega </v>
      </c>
      <c r="G150" s="70">
        <f t="shared" si="5"/>
        <v>2.5046243284110316E-5</v>
      </c>
    </row>
    <row r="151" spans="1:7" x14ac:dyDescent="0.2">
      <c r="A151" s="25" t="s">
        <v>173</v>
      </c>
      <c r="B151" s="26">
        <v>381185968</v>
      </c>
      <c r="C151" s="26">
        <v>757091210.74000001</v>
      </c>
      <c r="D151" s="70">
        <f t="shared" si="4"/>
        <v>2.2696862876636695E-2</v>
      </c>
      <c r="F151" s="8" t="str">
        <v xml:space="preserve">Países Bajos </v>
      </c>
      <c r="G151" s="70">
        <f t="shared" si="5"/>
        <v>3.5257969879079025E-2</v>
      </c>
    </row>
    <row r="152" spans="1:7" x14ac:dyDescent="0.2">
      <c r="A152" s="25" t="s">
        <v>174</v>
      </c>
      <c r="B152" s="26">
        <v>266099</v>
      </c>
      <c r="C152" s="26">
        <v>15404.71</v>
      </c>
      <c r="D152" s="70">
        <f t="shared" si="4"/>
        <v>1.5844267684612536E-5</v>
      </c>
    </row>
    <row r="153" spans="1:7" x14ac:dyDescent="0.2">
      <c r="A153" s="25" t="s">
        <v>175</v>
      </c>
      <c r="B153" s="26" t="s">
        <v>30</v>
      </c>
      <c r="C153" s="26" t="s">
        <v>30</v>
      </c>
      <c r="D153" s="70" t="e">
        <f t="shared" si="4"/>
        <v>#VALUE!</v>
      </c>
    </row>
    <row r="154" spans="1:7" x14ac:dyDescent="0.2">
      <c r="A154" s="25" t="s">
        <v>176</v>
      </c>
      <c r="B154" s="26">
        <v>420643</v>
      </c>
      <c r="C154" s="26">
        <v>47169.89</v>
      </c>
      <c r="D154" s="70">
        <f t="shared" si="4"/>
        <v>2.5046243284110316E-5</v>
      </c>
    </row>
    <row r="155" spans="1:7" x14ac:dyDescent="0.2">
      <c r="A155" s="25" t="s">
        <v>177</v>
      </c>
      <c r="B155" s="26">
        <v>592145419</v>
      </c>
      <c r="C155" s="26">
        <v>1275888828.6900001</v>
      </c>
      <c r="D155" s="70">
        <f t="shared" si="4"/>
        <v>3.5257969879079025E-2</v>
      </c>
    </row>
    <row r="156" spans="1:7" x14ac:dyDescent="0.2">
      <c r="A156" s="25" t="s">
        <v>178</v>
      </c>
      <c r="B156" s="26">
        <v>382668265</v>
      </c>
      <c r="C156" s="26">
        <v>790260374.80999994</v>
      </c>
    </row>
    <row r="157" spans="1:7" x14ac:dyDescent="0.2">
      <c r="A157" s="25" t="s">
        <v>179</v>
      </c>
      <c r="B157" s="26">
        <v>2012438</v>
      </c>
      <c r="C157" s="26">
        <v>2778999.54</v>
      </c>
    </row>
    <row r="158" spans="1:7" x14ac:dyDescent="0.2">
      <c r="A158" s="25" t="s">
        <v>180</v>
      </c>
      <c r="B158" s="26">
        <v>183015465</v>
      </c>
      <c r="C158" s="26">
        <v>440634984.93000001</v>
      </c>
    </row>
    <row r="159" spans="1:7" x14ac:dyDescent="0.2">
      <c r="A159" s="25" t="s">
        <v>181</v>
      </c>
      <c r="B159" s="26">
        <v>58867986</v>
      </c>
      <c r="C159" s="26">
        <v>125295259.48</v>
      </c>
    </row>
    <row r="160" spans="1:7" x14ac:dyDescent="0.2">
      <c r="A160" s="25" t="s">
        <v>182</v>
      </c>
      <c r="B160" s="26">
        <v>4025741</v>
      </c>
      <c r="C160" s="26">
        <v>225461.42</v>
      </c>
    </row>
    <row r="161" spans="1:3" x14ac:dyDescent="0.2">
      <c r="A161" s="25" t="s">
        <v>183</v>
      </c>
      <c r="B161" s="26">
        <v>4274214</v>
      </c>
      <c r="C161" s="26">
        <v>423371.82</v>
      </c>
    </row>
    <row r="162" spans="1:3" x14ac:dyDescent="0.2">
      <c r="A162" s="25" t="s">
        <v>184</v>
      </c>
      <c r="B162" s="26">
        <v>7037933</v>
      </c>
      <c r="C162" s="26">
        <v>13522592.710000001</v>
      </c>
    </row>
    <row r="163" spans="1:3" x14ac:dyDescent="0.2">
      <c r="A163" s="25" t="s">
        <v>185</v>
      </c>
      <c r="B163" s="26">
        <v>178258450</v>
      </c>
      <c r="C163" s="26">
        <v>364132350.93000001</v>
      </c>
    </row>
    <row r="164" spans="1:3" x14ac:dyDescent="0.2">
      <c r="A164" s="25" t="s">
        <v>186</v>
      </c>
      <c r="B164" s="26">
        <v>152726007</v>
      </c>
      <c r="C164" s="26">
        <v>54522084.439999998</v>
      </c>
    </row>
    <row r="165" spans="1:3" x14ac:dyDescent="0.2">
      <c r="A165" s="25" t="s">
        <v>187</v>
      </c>
      <c r="B165" s="26">
        <v>797516</v>
      </c>
      <c r="C165" s="26">
        <v>250815.8</v>
      </c>
    </row>
    <row r="166" spans="1:3" x14ac:dyDescent="0.2">
      <c r="A166" s="25" t="s">
        <v>188</v>
      </c>
      <c r="B166" s="26">
        <v>973290</v>
      </c>
      <c r="C166" s="26">
        <v>52452.7</v>
      </c>
    </row>
    <row r="167" spans="1:3" x14ac:dyDescent="0.2">
      <c r="A167" s="25" t="s">
        <v>189</v>
      </c>
      <c r="B167" s="26">
        <v>125464185</v>
      </c>
      <c r="C167" s="26">
        <v>257450956.21000001</v>
      </c>
    </row>
    <row r="168" spans="1:3" x14ac:dyDescent="0.2">
      <c r="A168" s="25" t="s">
        <v>190</v>
      </c>
      <c r="B168" s="26">
        <v>21222783</v>
      </c>
      <c r="C168" s="26">
        <v>47332383.810000002</v>
      </c>
    </row>
    <row r="169" spans="1:3" x14ac:dyDescent="0.2">
      <c r="A169" s="25" t="s">
        <v>209</v>
      </c>
      <c r="B169" s="26">
        <v>214126</v>
      </c>
      <c r="C169" s="26">
        <v>15155.17</v>
      </c>
    </row>
    <row r="170" spans="1:3" x14ac:dyDescent="0.2">
      <c r="A170" s="25" t="s">
        <v>191</v>
      </c>
      <c r="B170" s="26">
        <v>81043770</v>
      </c>
      <c r="C170" s="26">
        <v>28113103.469999999</v>
      </c>
    </row>
    <row r="171" spans="1:3" x14ac:dyDescent="0.2">
      <c r="A171" s="25" t="s">
        <v>192</v>
      </c>
      <c r="B171" s="26">
        <v>3096324</v>
      </c>
      <c r="C171" s="26">
        <v>1248849.67</v>
      </c>
    </row>
    <row r="172" spans="1:3" x14ac:dyDescent="0.2">
      <c r="A172" s="25" t="s">
        <v>193</v>
      </c>
      <c r="B172" s="26">
        <v>45419</v>
      </c>
      <c r="C172" s="26">
        <v>52050.6</v>
      </c>
    </row>
    <row r="173" spans="1:3" x14ac:dyDescent="0.2">
      <c r="A173" s="25" t="s">
        <v>194</v>
      </c>
      <c r="B173" s="26">
        <v>99734</v>
      </c>
      <c r="C173" s="26">
        <v>114400.64</v>
      </c>
    </row>
    <row r="174" spans="1:3" x14ac:dyDescent="0.2">
      <c r="A174" s="25" t="s">
        <v>196</v>
      </c>
      <c r="B174" s="26">
        <v>3745</v>
      </c>
      <c r="C174" s="26">
        <v>4422.6000000000004</v>
      </c>
    </row>
    <row r="175" spans="1:3" x14ac:dyDescent="0.2">
      <c r="A175" s="25" t="s">
        <v>197</v>
      </c>
      <c r="B175" s="26">
        <v>28469</v>
      </c>
      <c r="C175" s="26">
        <v>35210.699999999997</v>
      </c>
    </row>
    <row r="176" spans="1:3" x14ac:dyDescent="0.2">
      <c r="A176" s="25" t="s">
        <v>198</v>
      </c>
      <c r="B176" s="26">
        <v>1993196</v>
      </c>
      <c r="C176" s="26">
        <v>770937.61</v>
      </c>
    </row>
    <row r="177" spans="1:3" x14ac:dyDescent="0.2">
      <c r="A177" s="25" t="s">
        <v>199</v>
      </c>
      <c r="B177" s="26">
        <v>28355</v>
      </c>
      <c r="C177" s="26">
        <v>33749.54</v>
      </c>
    </row>
    <row r="178" spans="1:3" x14ac:dyDescent="0.2">
      <c r="A178" s="25" t="s">
        <v>200</v>
      </c>
      <c r="B178" s="26">
        <v>97687</v>
      </c>
      <c r="C178" s="26">
        <v>91457.32</v>
      </c>
    </row>
    <row r="179" spans="1:3" x14ac:dyDescent="0.2">
      <c r="A179" s="25"/>
      <c r="B179" s="26"/>
      <c r="C179" s="26"/>
    </row>
    <row r="180" spans="1:3" x14ac:dyDescent="0.2">
      <c r="A180" s="25" t="s">
        <v>201</v>
      </c>
      <c r="B180" s="26">
        <v>256797454</v>
      </c>
      <c r="C180" s="26">
        <v>470455026.22000003</v>
      </c>
    </row>
    <row r="181" spans="1:3" x14ac:dyDescent="0.2">
      <c r="A181" s="25" t="s">
        <v>202</v>
      </c>
      <c r="B181" s="26">
        <v>227114486</v>
      </c>
      <c r="C181" s="26">
        <v>402351620.37</v>
      </c>
    </row>
    <row r="182" spans="1:3" x14ac:dyDescent="0.2">
      <c r="A182" s="25" t="s">
        <v>203</v>
      </c>
      <c r="B182" s="26">
        <v>29530803</v>
      </c>
      <c r="C182" s="26">
        <v>68074018.700000003</v>
      </c>
    </row>
    <row r="183" spans="1:3" x14ac:dyDescent="0.2">
      <c r="A183" s="25" t="s">
        <v>210</v>
      </c>
      <c r="B183" s="26">
        <v>4021</v>
      </c>
      <c r="C183" s="26">
        <v>420.9</v>
      </c>
    </row>
    <row r="184" spans="1:3" x14ac:dyDescent="0.2">
      <c r="A184" s="25" t="s">
        <v>211</v>
      </c>
      <c r="B184" s="26">
        <v>126100</v>
      </c>
      <c r="C184" s="26">
        <v>3026</v>
      </c>
    </row>
    <row r="185" spans="1:3" x14ac:dyDescent="0.2">
      <c r="A185" s="25" t="s">
        <v>204</v>
      </c>
      <c r="B185" s="26">
        <v>22042</v>
      </c>
      <c r="C185" s="26">
        <v>25940.25</v>
      </c>
    </row>
    <row r="186" spans="1:3" x14ac:dyDescent="0.2">
      <c r="A186" s="25"/>
      <c r="B186" s="26"/>
      <c r="C186" s="26"/>
    </row>
    <row r="187" spans="1:3" x14ac:dyDescent="0.2">
      <c r="A187" s="27" t="s">
        <v>17</v>
      </c>
      <c r="B187" s="28" t="s">
        <v>30</v>
      </c>
      <c r="C187" s="28" t="s">
        <v>30</v>
      </c>
    </row>
    <row r="188" spans="1:3" x14ac:dyDescent="0.2">
      <c r="B188" s="29"/>
      <c r="C188" s="29"/>
    </row>
  </sheetData>
  <mergeCells count="2">
    <mergeCell ref="A1:C2"/>
    <mergeCell ref="B4:C4"/>
  </mergeCells>
  <pageMargins left="0.75" right="0.75" top="1" bottom="1" header="0" footer="0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99"/>
  <sheetViews>
    <sheetView showGridLines="0" workbookViewId="0">
      <selection activeCell="D1" sqref="D1:G1048576"/>
    </sheetView>
  </sheetViews>
  <sheetFormatPr baseColWidth="10" defaultRowHeight="15" x14ac:dyDescent="0.2"/>
  <cols>
    <col min="1" max="1" width="47.375" style="17" customWidth="1"/>
    <col min="2" max="2" width="15.125" style="17" customWidth="1"/>
    <col min="3" max="3" width="14.375" style="17" bestFit="1" customWidth="1"/>
    <col min="4" max="7" width="11" style="8"/>
    <col min="8" max="16384" width="11" style="17"/>
  </cols>
  <sheetData>
    <row r="1" spans="1:7" x14ac:dyDescent="0.2">
      <c r="A1" s="63" t="s">
        <v>247</v>
      </c>
      <c r="B1" s="63"/>
      <c r="C1" s="63"/>
    </row>
    <row r="2" spans="1:7" x14ac:dyDescent="0.2">
      <c r="A2" s="63"/>
      <c r="B2" s="63"/>
      <c r="C2" s="63"/>
    </row>
    <row r="3" spans="1:7" s="18" customFormat="1" x14ac:dyDescent="0.2">
      <c r="D3" s="8"/>
      <c r="E3" s="8"/>
      <c r="F3" s="8"/>
      <c r="G3" s="8"/>
    </row>
    <row r="4" spans="1:7" x14ac:dyDescent="0.2">
      <c r="A4" s="19"/>
      <c r="B4" s="65" t="s">
        <v>212</v>
      </c>
      <c r="C4" s="65"/>
    </row>
    <row r="5" spans="1:7" x14ac:dyDescent="0.2">
      <c r="A5" s="17" t="s">
        <v>465</v>
      </c>
      <c r="B5" s="20" t="s">
        <v>10</v>
      </c>
      <c r="C5" s="20" t="s">
        <v>12</v>
      </c>
    </row>
    <row r="6" spans="1:7" x14ac:dyDescent="0.2">
      <c r="A6" s="21"/>
      <c r="B6" s="22" t="s">
        <v>15</v>
      </c>
      <c r="C6" s="22" t="s">
        <v>14</v>
      </c>
    </row>
    <row r="8" spans="1:7" s="18" customFormat="1" x14ac:dyDescent="0.2">
      <c r="A8" s="23" t="s">
        <v>0</v>
      </c>
      <c r="B8" s="24">
        <v>17931537295</v>
      </c>
      <c r="C8" s="24">
        <v>28561926237.049999</v>
      </c>
      <c r="D8" s="8"/>
      <c r="E8" s="8"/>
      <c r="F8" s="8"/>
      <c r="G8" s="8"/>
    </row>
    <row r="9" spans="1:7" x14ac:dyDescent="0.2">
      <c r="A9" s="25"/>
      <c r="B9" s="26"/>
      <c r="C9" s="26"/>
    </row>
    <row r="10" spans="1:7" x14ac:dyDescent="0.2">
      <c r="A10" s="25" t="s">
        <v>26</v>
      </c>
      <c r="B10" s="26">
        <v>1602535825</v>
      </c>
      <c r="C10" s="26">
        <v>3389012295.9400001</v>
      </c>
      <c r="D10" s="70">
        <f>+B10/$B$8</f>
        <v>8.9369684184682163E-2</v>
      </c>
      <c r="F10" s="8" t="str" cm="1">
        <f t="array" ref="F10:F151">+_xlfn.UNIQUE(A10:A155)</f>
        <v>AFRICA</v>
      </c>
      <c r="G10" s="70">
        <f>+SUMIF(A10:A155,F10,D10:D155)</f>
        <v>8.9369684184682163E-2</v>
      </c>
    </row>
    <row r="11" spans="1:7" x14ac:dyDescent="0.2">
      <c r="A11" s="25" t="s">
        <v>27</v>
      </c>
      <c r="B11" s="26">
        <v>508445</v>
      </c>
      <c r="C11" s="26">
        <v>187239.3</v>
      </c>
      <c r="D11" s="70">
        <f t="shared" ref="D11:D74" si="0">+B11/$B$8</f>
        <v>2.8354791428940893E-5</v>
      </c>
      <c r="F11" s="8" t="str">
        <v xml:space="preserve">Burkina Faso </v>
      </c>
      <c r="G11" s="70">
        <f t="shared" ref="G11:G74" si="1">+SUMIF(A11:A156,F11,D11:D156)</f>
        <v>2.8354791428940893E-5</v>
      </c>
    </row>
    <row r="12" spans="1:7" x14ac:dyDescent="0.2">
      <c r="A12" s="25" t="s">
        <v>28</v>
      </c>
      <c r="B12" s="26">
        <v>594729970</v>
      </c>
      <c r="C12" s="26">
        <v>1272991640.1900001</v>
      </c>
      <c r="D12" s="70">
        <f t="shared" si="0"/>
        <v>3.3166702899802877E-2</v>
      </c>
      <c r="F12" s="8" t="str">
        <v xml:space="preserve">Argelia </v>
      </c>
      <c r="G12" s="70">
        <f t="shared" si="1"/>
        <v>3.3166702899802877E-2</v>
      </c>
    </row>
    <row r="13" spans="1:7" x14ac:dyDescent="0.2">
      <c r="A13" s="25" t="s">
        <v>207</v>
      </c>
      <c r="B13" s="26" t="s">
        <v>30</v>
      </c>
      <c r="C13" s="26" t="s">
        <v>30</v>
      </c>
      <c r="D13" s="70" t="e">
        <f t="shared" si="0"/>
        <v>#VALUE!</v>
      </c>
      <c r="F13" s="8" t="str">
        <v xml:space="preserve">Burundi </v>
      </c>
      <c r="G13" s="70" t="e">
        <f t="shared" si="1"/>
        <v>#VALUE!</v>
      </c>
    </row>
    <row r="14" spans="1:7" x14ac:dyDescent="0.2">
      <c r="A14" s="25" t="s">
        <v>31</v>
      </c>
      <c r="B14" s="26">
        <v>7752616</v>
      </c>
      <c r="C14" s="26">
        <v>11043428.800000001</v>
      </c>
      <c r="D14" s="70">
        <f t="shared" si="0"/>
        <v>4.3234530717908533E-4</v>
      </c>
      <c r="F14" s="8" t="str">
        <v xml:space="preserve">Camerún </v>
      </c>
      <c r="G14" s="70">
        <f t="shared" si="1"/>
        <v>4.3234530717908533E-4</v>
      </c>
    </row>
    <row r="15" spans="1:7" x14ac:dyDescent="0.2">
      <c r="A15" s="25" t="s">
        <v>33</v>
      </c>
      <c r="B15" s="26">
        <v>3698985</v>
      </c>
      <c r="C15" s="26">
        <v>9751609.8800000008</v>
      </c>
      <c r="D15" s="70">
        <f t="shared" si="0"/>
        <v>2.0628376358068412E-4</v>
      </c>
      <c r="F15" s="8" t="str">
        <v xml:space="preserve">Congo </v>
      </c>
      <c r="G15" s="70">
        <f t="shared" si="1"/>
        <v>2.0628376358068412E-4</v>
      </c>
    </row>
    <row r="16" spans="1:7" x14ac:dyDescent="0.2">
      <c r="A16" s="25" t="s">
        <v>34</v>
      </c>
      <c r="B16" s="26">
        <v>7080364</v>
      </c>
      <c r="C16" s="26">
        <v>10378593.34</v>
      </c>
      <c r="D16" s="70">
        <f t="shared" si="0"/>
        <v>3.9485538152795615E-4</v>
      </c>
      <c r="F16" s="8" t="str">
        <v>Rep Democrática del Congo (ex Zaire)</v>
      </c>
      <c r="G16" s="70">
        <f t="shared" si="1"/>
        <v>3.9485538152795615E-4</v>
      </c>
    </row>
    <row r="17" spans="1:7" x14ac:dyDescent="0.2">
      <c r="A17" s="25" t="s">
        <v>35</v>
      </c>
      <c r="B17" s="26">
        <v>4445804</v>
      </c>
      <c r="C17" s="26">
        <v>8600044.5099999998</v>
      </c>
      <c r="D17" s="70">
        <f t="shared" si="0"/>
        <v>2.4793211685423427E-4</v>
      </c>
      <c r="F17" s="8" t="str">
        <v xml:space="preserve">Costa de Marfil </v>
      </c>
      <c r="G17" s="70">
        <f t="shared" si="1"/>
        <v>2.4793211685423427E-4</v>
      </c>
    </row>
    <row r="18" spans="1:7" x14ac:dyDescent="0.2">
      <c r="A18" s="25" t="s">
        <v>36</v>
      </c>
      <c r="B18" s="26">
        <v>572420</v>
      </c>
      <c r="C18" s="26">
        <v>171600</v>
      </c>
      <c r="D18" s="70">
        <f t="shared" si="0"/>
        <v>3.1922527922891062E-5</v>
      </c>
      <c r="F18" s="8" t="str">
        <v xml:space="preserve">Chad </v>
      </c>
      <c r="G18" s="70">
        <f t="shared" si="1"/>
        <v>3.1922527922891062E-5</v>
      </c>
    </row>
    <row r="19" spans="1:7" x14ac:dyDescent="0.2">
      <c r="A19" s="25" t="s">
        <v>37</v>
      </c>
      <c r="B19" s="26">
        <v>795396</v>
      </c>
      <c r="C19" s="26">
        <v>468057.56</v>
      </c>
      <c r="D19" s="70">
        <f t="shared" si="0"/>
        <v>4.4357379231605919E-5</v>
      </c>
      <c r="F19" s="8" t="str">
        <v xml:space="preserve">Benin </v>
      </c>
      <c r="G19" s="70">
        <f t="shared" si="1"/>
        <v>4.4357379231605919E-5</v>
      </c>
    </row>
    <row r="20" spans="1:7" x14ac:dyDescent="0.2">
      <c r="A20" s="25" t="s">
        <v>38</v>
      </c>
      <c r="B20" s="26">
        <v>339738636</v>
      </c>
      <c r="C20" s="26">
        <v>666452810.20000005</v>
      </c>
      <c r="D20" s="70">
        <f t="shared" si="0"/>
        <v>1.8946431106870696E-2</v>
      </c>
      <c r="F20" s="8" t="str">
        <v xml:space="preserve">Egipto </v>
      </c>
      <c r="G20" s="70">
        <f t="shared" si="1"/>
        <v>1.8946431106870696E-2</v>
      </c>
    </row>
    <row r="21" spans="1:7" x14ac:dyDescent="0.2">
      <c r="A21" s="25" t="s">
        <v>39</v>
      </c>
      <c r="B21" s="26">
        <v>393446</v>
      </c>
      <c r="C21" s="26">
        <v>120879.36</v>
      </c>
      <c r="D21" s="70">
        <f t="shared" si="0"/>
        <v>2.1941565495876799E-5</v>
      </c>
      <c r="F21" s="8" t="str">
        <v xml:space="preserve">Gabón </v>
      </c>
      <c r="G21" s="70">
        <f t="shared" si="1"/>
        <v>2.1941565495876799E-5</v>
      </c>
    </row>
    <row r="22" spans="1:7" x14ac:dyDescent="0.2">
      <c r="A22" s="25" t="s">
        <v>40</v>
      </c>
      <c r="B22" s="26" t="s">
        <v>30</v>
      </c>
      <c r="C22" s="26" t="s">
        <v>30</v>
      </c>
      <c r="D22" s="70" t="e">
        <f t="shared" si="0"/>
        <v>#VALUE!</v>
      </c>
      <c r="F22" s="8" t="str">
        <v xml:space="preserve">Gambia </v>
      </c>
      <c r="G22" s="70" t="e">
        <f t="shared" si="1"/>
        <v>#VALUE!</v>
      </c>
    </row>
    <row r="23" spans="1:7" x14ac:dyDescent="0.2">
      <c r="A23" s="25" t="s">
        <v>41</v>
      </c>
      <c r="B23" s="26">
        <v>4583710</v>
      </c>
      <c r="C23" s="26">
        <v>13478356.699999999</v>
      </c>
      <c r="D23" s="70">
        <f t="shared" si="0"/>
        <v>2.5562281273441704E-4</v>
      </c>
      <c r="F23" s="8" t="str">
        <v xml:space="preserve">Ghana </v>
      </c>
      <c r="G23" s="70">
        <f t="shared" si="1"/>
        <v>2.5562281273441704E-4</v>
      </c>
    </row>
    <row r="24" spans="1:7" x14ac:dyDescent="0.2">
      <c r="A24" s="25" t="s">
        <v>42</v>
      </c>
      <c r="B24" s="26">
        <v>606926</v>
      </c>
      <c r="C24" s="26">
        <v>260908.35</v>
      </c>
      <c r="D24" s="70">
        <f t="shared" si="0"/>
        <v>3.3846847039112157E-5</v>
      </c>
      <c r="F24" s="8" t="str">
        <v xml:space="preserve">Guinea </v>
      </c>
      <c r="G24" s="70">
        <f t="shared" si="1"/>
        <v>3.3846847039112157E-5</v>
      </c>
    </row>
    <row r="25" spans="1:7" x14ac:dyDescent="0.2">
      <c r="A25" s="25" t="s">
        <v>43</v>
      </c>
      <c r="B25" s="26">
        <v>48840</v>
      </c>
      <c r="C25" s="26">
        <v>28531.81</v>
      </c>
      <c r="D25" s="70">
        <f t="shared" si="0"/>
        <v>2.7236928544669989E-6</v>
      </c>
      <c r="F25" s="8" t="str">
        <v xml:space="preserve">Guinea Ecuatorial </v>
      </c>
      <c r="G25" s="70">
        <f t="shared" si="1"/>
        <v>2.7236928544669989E-6</v>
      </c>
    </row>
    <row r="26" spans="1:7" x14ac:dyDescent="0.2">
      <c r="A26" s="25" t="s">
        <v>44</v>
      </c>
      <c r="B26" s="26">
        <v>10812518</v>
      </c>
      <c r="C26" s="26">
        <v>41981190.899999999</v>
      </c>
      <c r="D26" s="70">
        <f t="shared" si="0"/>
        <v>6.02988902854132E-4</v>
      </c>
      <c r="F26" s="8" t="str">
        <v xml:space="preserve">Kenya </v>
      </c>
      <c r="G26" s="70">
        <f t="shared" si="1"/>
        <v>6.02988902854132E-4</v>
      </c>
    </row>
    <row r="27" spans="1:7" x14ac:dyDescent="0.2">
      <c r="A27" s="25" t="s">
        <v>45</v>
      </c>
      <c r="B27" s="26">
        <v>292966</v>
      </c>
      <c r="C27" s="26">
        <v>155386.95000000001</v>
      </c>
      <c r="D27" s="70">
        <f t="shared" si="0"/>
        <v>1.633803031944674E-5</v>
      </c>
      <c r="F27" s="8" t="str">
        <v xml:space="preserve">Liberia </v>
      </c>
      <c r="G27" s="70">
        <f t="shared" si="1"/>
        <v>1.633803031944674E-5</v>
      </c>
    </row>
    <row r="28" spans="1:7" x14ac:dyDescent="0.2">
      <c r="A28" s="25" t="s">
        <v>46</v>
      </c>
      <c r="B28" s="26">
        <v>51557764</v>
      </c>
      <c r="C28" s="26">
        <v>120043287.88</v>
      </c>
      <c r="D28" s="70">
        <f t="shared" si="0"/>
        <v>2.8752562121027001E-3</v>
      </c>
      <c r="F28" s="8" t="str">
        <v xml:space="preserve">Libia </v>
      </c>
      <c r="G28" s="70">
        <f t="shared" si="1"/>
        <v>2.8752562121027001E-3</v>
      </c>
    </row>
    <row r="29" spans="1:7" x14ac:dyDescent="0.2">
      <c r="A29" s="25" t="s">
        <v>47</v>
      </c>
      <c r="B29" s="26">
        <v>3843905</v>
      </c>
      <c r="C29" s="26">
        <v>3252795.3</v>
      </c>
      <c r="D29" s="70">
        <f t="shared" si="0"/>
        <v>2.143656138769445E-4</v>
      </c>
      <c r="F29" s="8" t="str">
        <v xml:space="preserve">Madagascar </v>
      </c>
      <c r="G29" s="70">
        <f t="shared" si="1"/>
        <v>2.143656138769445E-4</v>
      </c>
    </row>
    <row r="30" spans="1:7" x14ac:dyDescent="0.2">
      <c r="A30" s="25" t="s">
        <v>48</v>
      </c>
      <c r="B30" s="26">
        <v>171608</v>
      </c>
      <c r="C30" s="26">
        <v>83331</v>
      </c>
      <c r="D30" s="70">
        <f t="shared" si="0"/>
        <v>9.5701777921656993E-6</v>
      </c>
      <c r="F30" s="8" t="str">
        <v xml:space="preserve">Malawi </v>
      </c>
      <c r="G30" s="70">
        <f t="shared" si="1"/>
        <v>9.5701777921656993E-6</v>
      </c>
    </row>
    <row r="31" spans="1:7" x14ac:dyDescent="0.2">
      <c r="A31" s="25" t="s">
        <v>49</v>
      </c>
      <c r="B31" s="26">
        <v>847034</v>
      </c>
      <c r="C31" s="26">
        <v>1310828.4099999999</v>
      </c>
      <c r="D31" s="70">
        <f t="shared" si="0"/>
        <v>4.7237110018235057E-5</v>
      </c>
      <c r="F31" s="8" t="str">
        <v xml:space="preserve">Mali </v>
      </c>
      <c r="G31" s="70">
        <f t="shared" si="1"/>
        <v>4.7237110018235057E-5</v>
      </c>
    </row>
    <row r="32" spans="1:7" x14ac:dyDescent="0.2">
      <c r="A32" s="25" t="s">
        <v>50</v>
      </c>
      <c r="B32" s="26">
        <v>95356292</v>
      </c>
      <c r="C32" s="26">
        <v>312726128.64999998</v>
      </c>
      <c r="D32" s="70">
        <f t="shared" si="0"/>
        <v>5.3177979350710206E-3</v>
      </c>
      <c r="F32" s="8" t="str">
        <v xml:space="preserve">Marruecos </v>
      </c>
      <c r="G32" s="70">
        <f t="shared" si="1"/>
        <v>5.3177979350710206E-3</v>
      </c>
    </row>
    <row r="33" spans="1:7" x14ac:dyDescent="0.2">
      <c r="A33" s="25" t="s">
        <v>51</v>
      </c>
      <c r="B33" s="26">
        <v>30845730</v>
      </c>
      <c r="C33" s="26">
        <v>57668765.979999997</v>
      </c>
      <c r="D33" s="70">
        <f t="shared" si="0"/>
        <v>1.7201943978668785E-3</v>
      </c>
      <c r="F33" s="8" t="str">
        <v xml:space="preserve">Mauricio </v>
      </c>
      <c r="G33" s="70">
        <f t="shared" si="1"/>
        <v>1.7201943978668785E-3</v>
      </c>
    </row>
    <row r="34" spans="1:7" x14ac:dyDescent="0.2">
      <c r="A34" s="25" t="s">
        <v>52</v>
      </c>
      <c r="B34" s="26">
        <v>4906939</v>
      </c>
      <c r="C34" s="26">
        <v>15187665.83</v>
      </c>
      <c r="D34" s="70">
        <f t="shared" si="0"/>
        <v>2.736485399591614E-4</v>
      </c>
      <c r="F34" s="8" t="str">
        <v xml:space="preserve">Mauritania </v>
      </c>
      <c r="G34" s="70">
        <f t="shared" si="1"/>
        <v>2.736485399591614E-4</v>
      </c>
    </row>
    <row r="35" spans="1:7" x14ac:dyDescent="0.2">
      <c r="A35" s="25" t="s">
        <v>53</v>
      </c>
      <c r="B35" s="26">
        <v>10994980</v>
      </c>
      <c r="C35" s="26">
        <v>2989520</v>
      </c>
      <c r="D35" s="70">
        <f t="shared" si="0"/>
        <v>6.1316438290351274E-4</v>
      </c>
      <c r="F35" s="8" t="str">
        <v xml:space="preserve">Níger </v>
      </c>
      <c r="G35" s="70">
        <f t="shared" si="1"/>
        <v>6.1316438290351274E-4</v>
      </c>
    </row>
    <row r="36" spans="1:7" x14ac:dyDescent="0.2">
      <c r="A36" s="25" t="s">
        <v>54</v>
      </c>
      <c r="B36" s="26">
        <v>34365860</v>
      </c>
      <c r="C36" s="26">
        <v>72374503.709999993</v>
      </c>
      <c r="D36" s="70">
        <f t="shared" si="0"/>
        <v>1.9165038353729168E-3</v>
      </c>
      <c r="F36" s="8" t="str">
        <v xml:space="preserve">Nigeria </v>
      </c>
      <c r="G36" s="70">
        <f t="shared" si="1"/>
        <v>1.9165038353729168E-3</v>
      </c>
    </row>
    <row r="37" spans="1:7" x14ac:dyDescent="0.2">
      <c r="A37" s="25" t="s">
        <v>55</v>
      </c>
      <c r="B37" s="26">
        <v>2441981</v>
      </c>
      <c r="C37" s="26">
        <v>4066741.55</v>
      </c>
      <c r="D37" s="70">
        <f t="shared" si="0"/>
        <v>1.3618358313767767E-4</v>
      </c>
      <c r="F37" s="8" t="str">
        <v xml:space="preserve">Zimbabwe </v>
      </c>
      <c r="G37" s="70">
        <f t="shared" si="1"/>
        <v>1.3618358313767767E-4</v>
      </c>
    </row>
    <row r="38" spans="1:7" x14ac:dyDescent="0.2">
      <c r="A38" s="25" t="s">
        <v>56</v>
      </c>
      <c r="B38" s="26">
        <v>463327</v>
      </c>
      <c r="C38" s="26">
        <v>1800716</v>
      </c>
      <c r="D38" s="70">
        <f t="shared" si="0"/>
        <v>2.5838665830909731E-5</v>
      </c>
      <c r="F38" s="8" t="str">
        <v xml:space="preserve">Rwanda </v>
      </c>
      <c r="G38" s="70">
        <f t="shared" si="1"/>
        <v>2.5838665830909731E-5</v>
      </c>
    </row>
    <row r="39" spans="1:7" x14ac:dyDescent="0.2">
      <c r="A39" s="25" t="s">
        <v>57</v>
      </c>
      <c r="B39" s="26">
        <v>24122214</v>
      </c>
      <c r="C39" s="26">
        <v>58776286.359999999</v>
      </c>
      <c r="D39" s="70">
        <f t="shared" si="0"/>
        <v>1.3452395967592917E-3</v>
      </c>
      <c r="F39" s="8" t="str">
        <v xml:space="preserve">Senegal </v>
      </c>
      <c r="G39" s="70">
        <f t="shared" si="1"/>
        <v>1.3452395967592917E-3</v>
      </c>
    </row>
    <row r="40" spans="1:7" x14ac:dyDescent="0.2">
      <c r="A40" s="25" t="s">
        <v>58</v>
      </c>
      <c r="B40" s="26">
        <v>210971</v>
      </c>
      <c r="C40" s="26">
        <v>109735.99</v>
      </c>
      <c r="D40" s="70">
        <f t="shared" si="0"/>
        <v>1.1765360466825497E-5</v>
      </c>
      <c r="F40" s="8" t="str">
        <v xml:space="preserve">Sierra Leona </v>
      </c>
      <c r="G40" s="70">
        <f t="shared" si="1"/>
        <v>1.1765360466825497E-5</v>
      </c>
    </row>
    <row r="41" spans="1:7" x14ac:dyDescent="0.2">
      <c r="A41" s="25" t="s">
        <v>59</v>
      </c>
      <c r="B41" s="26">
        <v>3025000</v>
      </c>
      <c r="C41" s="26">
        <v>825000</v>
      </c>
      <c r="D41" s="70">
        <f t="shared" si="0"/>
        <v>1.6869719256270828E-4</v>
      </c>
      <c r="F41" s="8" t="str">
        <v xml:space="preserve">Sudán </v>
      </c>
      <c r="G41" s="70">
        <f t="shared" si="1"/>
        <v>2.8921346311150175E-4</v>
      </c>
    </row>
    <row r="42" spans="1:7" x14ac:dyDescent="0.2">
      <c r="A42" s="25" t="s">
        <v>60</v>
      </c>
      <c r="B42" s="26">
        <v>11648314</v>
      </c>
      <c r="C42" s="26">
        <v>33223865.350000001</v>
      </c>
      <c r="D42" s="70">
        <f t="shared" si="0"/>
        <v>6.4959929583103821E-4</v>
      </c>
      <c r="F42" s="8" t="str">
        <v xml:space="preserve">Tanzania </v>
      </c>
      <c r="G42" s="70">
        <f t="shared" si="1"/>
        <v>6.4959929583103821E-4</v>
      </c>
    </row>
    <row r="43" spans="1:7" x14ac:dyDescent="0.2">
      <c r="A43" s="25" t="s">
        <v>61</v>
      </c>
      <c r="B43" s="26">
        <v>1099154</v>
      </c>
      <c r="C43" s="26">
        <v>337207.94</v>
      </c>
      <c r="D43" s="70">
        <f t="shared" si="0"/>
        <v>6.129725421291605E-5</v>
      </c>
      <c r="F43" s="8" t="str">
        <v xml:space="preserve">Togo </v>
      </c>
      <c r="G43" s="70">
        <f t="shared" si="1"/>
        <v>6.129725421291605E-5</v>
      </c>
    </row>
    <row r="44" spans="1:7" x14ac:dyDescent="0.2">
      <c r="A44" s="25" t="s">
        <v>62</v>
      </c>
      <c r="B44" s="26">
        <v>63545985</v>
      </c>
      <c r="C44" s="26">
        <v>133616744.56</v>
      </c>
      <c r="D44" s="70">
        <f t="shared" si="0"/>
        <v>3.5438113283080899E-3</v>
      </c>
      <c r="F44" s="8" t="str">
        <v xml:space="preserve">Túnez </v>
      </c>
      <c r="G44" s="70">
        <f t="shared" si="1"/>
        <v>3.5438113283080899E-3</v>
      </c>
    </row>
    <row r="45" spans="1:7" x14ac:dyDescent="0.2">
      <c r="A45" s="25" t="s">
        <v>63</v>
      </c>
      <c r="B45" s="26">
        <v>2183283</v>
      </c>
      <c r="C45" s="26">
        <v>7923465.7199999997</v>
      </c>
      <c r="D45" s="70">
        <f t="shared" si="0"/>
        <v>1.2175659922971484E-4</v>
      </c>
      <c r="F45" s="8" t="str">
        <v xml:space="preserve">Uganda </v>
      </c>
      <c r="G45" s="70">
        <f t="shared" si="1"/>
        <v>1.2175659922971484E-4</v>
      </c>
    </row>
    <row r="46" spans="1:7" x14ac:dyDescent="0.2">
      <c r="A46" s="25" t="s">
        <v>64</v>
      </c>
      <c r="B46" s="26">
        <v>831800</v>
      </c>
      <c r="C46" s="26">
        <v>244000</v>
      </c>
      <c r="D46" s="70">
        <f t="shared" si="0"/>
        <v>4.6387545379722559E-5</v>
      </c>
      <c r="F46" s="8" t="str">
        <v xml:space="preserve">Zambia </v>
      </c>
      <c r="G46" s="70">
        <f t="shared" si="1"/>
        <v>4.6387545379722559E-5</v>
      </c>
    </row>
    <row r="47" spans="1:7" x14ac:dyDescent="0.2">
      <c r="A47" s="25" t="s">
        <v>66</v>
      </c>
      <c r="B47" s="26">
        <v>8221428</v>
      </c>
      <c r="C47" s="26">
        <v>18310143.84</v>
      </c>
      <c r="D47" s="70">
        <f t="shared" si="0"/>
        <v>4.5848985866328644E-4</v>
      </c>
      <c r="F47" s="8" t="str">
        <v>Territorios vinculados a Francia</v>
      </c>
      <c r="G47" s="70">
        <f t="shared" si="1"/>
        <v>4.6285133636111926E-4</v>
      </c>
    </row>
    <row r="48" spans="1:7" x14ac:dyDescent="0.2">
      <c r="A48" s="25" t="s">
        <v>67</v>
      </c>
      <c r="B48" s="26">
        <v>27381089</v>
      </c>
      <c r="C48" s="26">
        <v>23649349.82</v>
      </c>
      <c r="D48" s="70">
        <f t="shared" si="0"/>
        <v>1.5269794524329432E-3</v>
      </c>
      <c r="F48" s="8" t="str">
        <v xml:space="preserve">Angola </v>
      </c>
      <c r="G48" s="70"/>
    </row>
    <row r="49" spans="1:7" x14ac:dyDescent="0.2">
      <c r="A49" s="25" t="s">
        <v>68</v>
      </c>
      <c r="B49" s="26">
        <v>742125</v>
      </c>
      <c r="C49" s="26">
        <v>2880467.39</v>
      </c>
      <c r="D49" s="70">
        <f t="shared" si="0"/>
        <v>4.1386579844826403E-5</v>
      </c>
      <c r="F49" s="8" t="str">
        <v xml:space="preserve">Cabo Verde </v>
      </c>
      <c r="G49" s="70">
        <f t="shared" si="1"/>
        <v>4.1386579844826403E-5</v>
      </c>
    </row>
    <row r="50" spans="1:7" x14ac:dyDescent="0.2">
      <c r="A50" s="25" t="s">
        <v>69</v>
      </c>
      <c r="B50" s="26">
        <v>30424807</v>
      </c>
      <c r="C50" s="26">
        <v>32682989.57</v>
      </c>
      <c r="D50" s="70">
        <f t="shared" si="0"/>
        <v>1.6967205041858626E-3</v>
      </c>
      <c r="F50" s="8" t="str">
        <v xml:space="preserve">Mozambique </v>
      </c>
      <c r="G50" s="70">
        <f t="shared" si="1"/>
        <v>1.6967205041858626E-3</v>
      </c>
    </row>
    <row r="51" spans="1:7" x14ac:dyDescent="0.2">
      <c r="A51" s="25" t="s">
        <v>71</v>
      </c>
      <c r="B51" s="26">
        <v>4018115</v>
      </c>
      <c r="C51" s="26">
        <v>17503583.5</v>
      </c>
      <c r="D51" s="70">
        <f t="shared" si="0"/>
        <v>2.2408089913854762E-4</v>
      </c>
      <c r="F51" s="8" t="str">
        <v xml:space="preserve">Djibouti </v>
      </c>
      <c r="G51" s="70">
        <f t="shared" si="1"/>
        <v>2.2408089913854762E-4</v>
      </c>
    </row>
    <row r="52" spans="1:7" x14ac:dyDescent="0.2">
      <c r="A52" s="25" t="s">
        <v>73</v>
      </c>
      <c r="B52" s="26">
        <v>44200</v>
      </c>
      <c r="C52" s="26">
        <v>13000</v>
      </c>
      <c r="D52" s="70">
        <f t="shared" si="0"/>
        <v>2.4649308797592416E-6</v>
      </c>
      <c r="F52" s="8" t="str">
        <v xml:space="preserve">Guinea Bissau </v>
      </c>
      <c r="G52" s="70">
        <f t="shared" si="1"/>
        <v>2.4649308797592416E-6</v>
      </c>
    </row>
    <row r="53" spans="1:7" x14ac:dyDescent="0.2">
      <c r="A53" s="25" t="s">
        <v>75</v>
      </c>
      <c r="B53" s="26">
        <v>2168946</v>
      </c>
      <c r="C53" s="26">
        <v>3059413.59</v>
      </c>
      <c r="D53" s="70">
        <f t="shared" si="0"/>
        <v>1.2095705818846806E-4</v>
      </c>
      <c r="F53" s="8" t="str">
        <v xml:space="preserve">Namibia </v>
      </c>
      <c r="G53" s="70">
        <f t="shared" si="1"/>
        <v>1.2095705818846806E-4</v>
      </c>
    </row>
    <row r="54" spans="1:7" x14ac:dyDescent="0.2">
      <c r="A54" s="25" t="s">
        <v>76</v>
      </c>
      <c r="B54" s="26">
        <v>208720520</v>
      </c>
      <c r="C54" s="26">
        <v>421805942.75</v>
      </c>
      <c r="D54" s="70">
        <f t="shared" si="0"/>
        <v>1.1639856447678877E-2</v>
      </c>
      <c r="F54" s="8" t="str">
        <v xml:space="preserve">Sudáfrica </v>
      </c>
      <c r="G54" s="70">
        <f t="shared" si="1"/>
        <v>1.1639856447678877E-2</v>
      </c>
    </row>
    <row r="55" spans="1:7" x14ac:dyDescent="0.2">
      <c r="A55" s="25" t="s">
        <v>213</v>
      </c>
      <c r="B55" s="26">
        <v>50761</v>
      </c>
      <c r="C55" s="26">
        <v>69441.399999999994</v>
      </c>
      <c r="D55" s="70">
        <f t="shared" si="0"/>
        <v>2.8308225427026891E-6</v>
      </c>
      <c r="F55" s="8" t="str">
        <v xml:space="preserve">Eritrea </v>
      </c>
      <c r="G55" s="70">
        <f t="shared" si="1"/>
        <v>2.8308225427026891E-6</v>
      </c>
    </row>
    <row r="56" spans="1:7" x14ac:dyDescent="0.2">
      <c r="A56" s="25" t="s">
        <v>77</v>
      </c>
      <c r="B56" s="26">
        <v>79592</v>
      </c>
      <c r="C56" s="26">
        <v>97146</v>
      </c>
      <c r="D56" s="70">
        <f t="shared" si="0"/>
        <v>4.4386601489094468E-6</v>
      </c>
      <c r="F56" s="8" t="str">
        <v xml:space="preserve">Etiopía </v>
      </c>
      <c r="G56" s="70">
        <f t="shared" si="1"/>
        <v>4.4386601489094468E-6</v>
      </c>
    </row>
    <row r="57" spans="1:7" x14ac:dyDescent="0.2">
      <c r="A57" s="25" t="s">
        <v>59</v>
      </c>
      <c r="B57" s="26">
        <v>2161042</v>
      </c>
      <c r="C57" s="26">
        <v>6309950</v>
      </c>
      <c r="D57" s="70">
        <f t="shared" si="0"/>
        <v>1.2051627054879346E-4</v>
      </c>
      <c r="F57" s="8">
        <v>0</v>
      </c>
      <c r="G57" s="70">
        <f t="shared" si="1"/>
        <v>0</v>
      </c>
    </row>
    <row r="58" spans="1:7" x14ac:dyDescent="0.2">
      <c r="A58" s="25"/>
      <c r="B58" s="26"/>
      <c r="C58" s="26"/>
      <c r="D58" s="70">
        <f t="shared" si="0"/>
        <v>0</v>
      </c>
      <c r="F58" s="8" t="str">
        <v>AMERICA</v>
      </c>
      <c r="G58" s="70">
        <f t="shared" si="1"/>
        <v>0.29431253044163497</v>
      </c>
    </row>
    <row r="59" spans="1:7" x14ac:dyDescent="0.2">
      <c r="A59" s="25" t="s">
        <v>78</v>
      </c>
      <c r="B59" s="26">
        <v>5277476116</v>
      </c>
      <c r="C59" s="26">
        <v>5542854200.3800001</v>
      </c>
      <c r="D59" s="70">
        <f t="shared" si="0"/>
        <v>0.29431253044163497</v>
      </c>
      <c r="F59" s="8" t="str">
        <v xml:space="preserve">Barbados </v>
      </c>
      <c r="G59" s="70">
        <f t="shared" si="1"/>
        <v>4.7726248225166465E-5</v>
      </c>
    </row>
    <row r="60" spans="1:7" x14ac:dyDescent="0.2">
      <c r="A60" s="25" t="s">
        <v>79</v>
      </c>
      <c r="B60" s="26">
        <v>855805</v>
      </c>
      <c r="C60" s="26">
        <v>377909.36</v>
      </c>
      <c r="D60" s="70">
        <f t="shared" si="0"/>
        <v>4.7726248225166465E-5</v>
      </c>
      <c r="F60" s="8" t="str">
        <v xml:space="preserve">Bolivia </v>
      </c>
      <c r="G60" s="70">
        <f t="shared" si="1"/>
        <v>5.996099287593178E-3</v>
      </c>
    </row>
    <row r="61" spans="1:7" x14ac:dyDescent="0.2">
      <c r="A61" s="25" t="s">
        <v>80</v>
      </c>
      <c r="B61" s="26">
        <v>107519278</v>
      </c>
      <c r="C61" s="26">
        <v>81001222.439999998</v>
      </c>
      <c r="D61" s="70">
        <f t="shared" si="0"/>
        <v>5.996099287593178E-3</v>
      </c>
      <c r="F61" s="8" t="str">
        <v xml:space="preserve">Brasil </v>
      </c>
      <c r="G61" s="70">
        <f t="shared" si="1"/>
        <v>0.10433595029923506</v>
      </c>
    </row>
    <row r="62" spans="1:7" x14ac:dyDescent="0.2">
      <c r="A62" s="25" t="s">
        <v>81</v>
      </c>
      <c r="B62" s="26">
        <v>1870903984</v>
      </c>
      <c r="C62" s="26">
        <v>1162395918.1300001</v>
      </c>
      <c r="D62" s="70">
        <f t="shared" si="0"/>
        <v>0.10433595029923506</v>
      </c>
      <c r="F62" s="8" t="str">
        <v xml:space="preserve">Canadá </v>
      </c>
      <c r="G62" s="70">
        <f t="shared" si="1"/>
        <v>4.0187351934456661E-4</v>
      </c>
    </row>
    <row r="63" spans="1:7" x14ac:dyDescent="0.2">
      <c r="A63" s="25" t="s">
        <v>82</v>
      </c>
      <c r="B63" s="26">
        <v>7206210</v>
      </c>
      <c r="C63" s="26">
        <v>1755605.73</v>
      </c>
      <c r="D63" s="70">
        <f t="shared" si="0"/>
        <v>4.0187351934456661E-4</v>
      </c>
      <c r="F63" s="8" t="str">
        <v xml:space="preserve">Colombia </v>
      </c>
      <c r="G63" s="70">
        <f t="shared" si="1"/>
        <v>2.8740559692207918E-2</v>
      </c>
    </row>
    <row r="64" spans="1:7" x14ac:dyDescent="0.2">
      <c r="A64" s="25" t="s">
        <v>83</v>
      </c>
      <c r="B64" s="26">
        <v>515362418</v>
      </c>
      <c r="C64" s="26">
        <v>1241221353.1300001</v>
      </c>
      <c r="D64" s="70">
        <f t="shared" si="0"/>
        <v>2.8740559692207918E-2</v>
      </c>
      <c r="F64" s="8" t="str">
        <v xml:space="preserve">Costa Rica </v>
      </c>
      <c r="G64" s="70">
        <f t="shared" si="1"/>
        <v>5.6536736550897042E-4</v>
      </c>
    </row>
    <row r="65" spans="1:7" x14ac:dyDescent="0.2">
      <c r="A65" s="25" t="s">
        <v>84</v>
      </c>
      <c r="B65" s="26">
        <v>10137906</v>
      </c>
      <c r="C65" s="26">
        <v>30649270.370000001</v>
      </c>
      <c r="D65" s="70">
        <f t="shared" si="0"/>
        <v>5.6536736550897042E-4</v>
      </c>
      <c r="F65" s="8" t="str">
        <v xml:space="preserve">Cuba </v>
      </c>
      <c r="G65" s="70">
        <f t="shared" si="1"/>
        <v>1.6483349148341941E-3</v>
      </c>
    </row>
    <row r="66" spans="1:7" x14ac:dyDescent="0.2">
      <c r="A66" s="25" t="s">
        <v>85</v>
      </c>
      <c r="B66" s="26">
        <v>29557179</v>
      </c>
      <c r="C66" s="26">
        <v>48746752.100000001</v>
      </c>
      <c r="D66" s="70">
        <f t="shared" si="0"/>
        <v>1.6483349148341941E-3</v>
      </c>
      <c r="F66" s="8" t="str">
        <v xml:space="preserve">Chile </v>
      </c>
      <c r="G66" s="70">
        <f t="shared" si="1"/>
        <v>2.7732679681549858E-2</v>
      </c>
    </row>
    <row r="67" spans="1:7" x14ac:dyDescent="0.2">
      <c r="A67" s="25" t="s">
        <v>86</v>
      </c>
      <c r="B67" s="26">
        <v>497289580</v>
      </c>
      <c r="C67" s="26">
        <v>766094557.58000004</v>
      </c>
      <c r="D67" s="70">
        <f t="shared" si="0"/>
        <v>2.7732679681549858E-2</v>
      </c>
      <c r="F67" s="8" t="str">
        <v xml:space="preserve">República Dominicana </v>
      </c>
      <c r="G67" s="70">
        <f t="shared" si="1"/>
        <v>6.75561152438269E-3</v>
      </c>
    </row>
    <row r="68" spans="1:7" x14ac:dyDescent="0.2">
      <c r="A68" s="25" t="s">
        <v>87</v>
      </c>
      <c r="B68" s="26">
        <v>121138500</v>
      </c>
      <c r="C68" s="26">
        <v>134847833.83000001</v>
      </c>
      <c r="D68" s="70">
        <f t="shared" si="0"/>
        <v>6.75561152438269E-3</v>
      </c>
      <c r="F68" s="8" t="str">
        <v xml:space="preserve">Ecuador </v>
      </c>
      <c r="G68" s="70">
        <f t="shared" si="1"/>
        <v>2.3122263483544791E-3</v>
      </c>
    </row>
    <row r="69" spans="1:7" x14ac:dyDescent="0.2">
      <c r="A69" s="25" t="s">
        <v>88</v>
      </c>
      <c r="B69" s="26">
        <v>41461773</v>
      </c>
      <c r="C69" s="26">
        <v>68524501.510000005</v>
      </c>
      <c r="D69" s="70">
        <f t="shared" si="0"/>
        <v>2.3122263483544791E-3</v>
      </c>
      <c r="F69" s="8" t="str">
        <v xml:space="preserve">El Salvador </v>
      </c>
      <c r="G69" s="70">
        <f t="shared" si="1"/>
        <v>2.011201795289242E-4</v>
      </c>
    </row>
    <row r="70" spans="1:7" x14ac:dyDescent="0.2">
      <c r="A70" s="25" t="s">
        <v>89</v>
      </c>
      <c r="B70" s="26">
        <v>3606394</v>
      </c>
      <c r="C70" s="26">
        <v>7312236.7199999997</v>
      </c>
      <c r="D70" s="70">
        <f t="shared" si="0"/>
        <v>2.011201795289242E-4</v>
      </c>
      <c r="F70" s="8" t="str">
        <v xml:space="preserve">Estados Unidos </v>
      </c>
      <c r="G70" s="70">
        <f t="shared" si="1"/>
        <v>1.1056608964323603E-2</v>
      </c>
    </row>
    <row r="71" spans="1:7" x14ac:dyDescent="0.2">
      <c r="A71" s="25" t="s">
        <v>90</v>
      </c>
      <c r="B71" s="26">
        <v>198261996</v>
      </c>
      <c r="C71" s="26">
        <v>110540185.55</v>
      </c>
      <c r="D71" s="70">
        <f t="shared" si="0"/>
        <v>1.1056608964323603E-2</v>
      </c>
      <c r="F71" s="8" t="str">
        <v xml:space="preserve">Guatemala </v>
      </c>
      <c r="G71" s="70">
        <f t="shared" si="1"/>
        <v>2.5424038803807422E-3</v>
      </c>
    </row>
    <row r="72" spans="1:7" x14ac:dyDescent="0.2">
      <c r="A72" s="25" t="s">
        <v>91</v>
      </c>
      <c r="B72" s="26">
        <v>45589210</v>
      </c>
      <c r="C72" s="26">
        <v>53753748.07</v>
      </c>
      <c r="D72" s="70">
        <f t="shared" si="0"/>
        <v>2.5424038803807422E-3</v>
      </c>
      <c r="F72" s="8" t="str">
        <v xml:space="preserve">Guyana </v>
      </c>
      <c r="G72" s="70">
        <f t="shared" si="1"/>
        <v>3.2719280580789711E-5</v>
      </c>
    </row>
    <row r="73" spans="1:7" x14ac:dyDescent="0.2">
      <c r="A73" s="25" t="s">
        <v>92</v>
      </c>
      <c r="B73" s="26">
        <v>586707</v>
      </c>
      <c r="C73" s="26">
        <v>1154005.8500000001</v>
      </c>
      <c r="D73" s="70">
        <f t="shared" si="0"/>
        <v>3.2719280580789711E-5</v>
      </c>
      <c r="F73" s="8" t="str">
        <v xml:space="preserve">Haití </v>
      </c>
      <c r="G73" s="70">
        <f t="shared" si="1"/>
        <v>8.3952344700516097E-4</v>
      </c>
    </row>
    <row r="74" spans="1:7" x14ac:dyDescent="0.2">
      <c r="A74" s="25" t="s">
        <v>93</v>
      </c>
      <c r="B74" s="26">
        <v>15053946</v>
      </c>
      <c r="C74" s="26">
        <v>13095437.49</v>
      </c>
      <c r="D74" s="70">
        <f t="shared" si="0"/>
        <v>8.3952344700516097E-4</v>
      </c>
      <c r="F74" s="8" t="str">
        <v xml:space="preserve">Honduras </v>
      </c>
      <c r="G74" s="70">
        <f t="shared" si="1"/>
        <v>1.5690227523239246E-4</v>
      </c>
    </row>
    <row r="75" spans="1:7" x14ac:dyDescent="0.2">
      <c r="A75" s="25" t="s">
        <v>94</v>
      </c>
      <c r="B75" s="26">
        <v>2813499</v>
      </c>
      <c r="C75" s="26">
        <v>4999296.6100000003</v>
      </c>
      <c r="D75" s="70">
        <f t="shared" ref="D75:D138" si="2">+B75/$B$8</f>
        <v>1.5690227523239246E-4</v>
      </c>
      <c r="F75" s="8" t="str">
        <v xml:space="preserve">Jamaica </v>
      </c>
      <c r="G75" s="70">
        <f t="shared" ref="G75:G138" si="3">+SUMIF(A75:A220,F75,D75:D220)</f>
        <v>5.8576126671129345E-5</v>
      </c>
    </row>
    <row r="76" spans="1:7" x14ac:dyDescent="0.2">
      <c r="A76" s="25" t="s">
        <v>95</v>
      </c>
      <c r="B76" s="26">
        <v>1050360</v>
      </c>
      <c r="C76" s="26">
        <v>400917.69</v>
      </c>
      <c r="D76" s="70">
        <f t="shared" si="2"/>
        <v>5.8576126671129345E-5</v>
      </c>
      <c r="F76" s="8" t="str">
        <v xml:space="preserve">México </v>
      </c>
      <c r="G76" s="70">
        <f t="shared" si="3"/>
        <v>4.4770869155978856E-3</v>
      </c>
    </row>
    <row r="77" spans="1:7" x14ac:dyDescent="0.2">
      <c r="A77" s="25" t="s">
        <v>96</v>
      </c>
      <c r="B77" s="26">
        <v>80281051</v>
      </c>
      <c r="C77" s="26">
        <v>87180073.200000003</v>
      </c>
      <c r="D77" s="70">
        <f t="shared" si="2"/>
        <v>4.4770869155978856E-3</v>
      </c>
      <c r="F77" s="8" t="str">
        <v xml:space="preserve">Nicaragua </v>
      </c>
      <c r="G77" s="70">
        <f t="shared" si="3"/>
        <v>4.0386515003481188E-4</v>
      </c>
    </row>
    <row r="78" spans="1:7" x14ac:dyDescent="0.2">
      <c r="A78" s="25" t="s">
        <v>97</v>
      </c>
      <c r="B78" s="26">
        <v>7241923</v>
      </c>
      <c r="C78" s="26">
        <v>7302455.75</v>
      </c>
      <c r="D78" s="70">
        <f t="shared" si="2"/>
        <v>4.0386515003481188E-4</v>
      </c>
      <c r="F78" s="8" t="str">
        <v xml:space="preserve">Panamá </v>
      </c>
      <c r="G78" s="70">
        <f t="shared" si="3"/>
        <v>2.6238659979877649E-3</v>
      </c>
    </row>
    <row r="79" spans="1:7" x14ac:dyDescent="0.2">
      <c r="A79" s="25" t="s">
        <v>98</v>
      </c>
      <c r="B79" s="26">
        <v>47049951</v>
      </c>
      <c r="C79" s="26">
        <v>113545410.89</v>
      </c>
      <c r="D79" s="70">
        <f t="shared" si="2"/>
        <v>2.6238659979877649E-3</v>
      </c>
      <c r="F79" s="8" t="str">
        <v xml:space="preserve">Paraguay </v>
      </c>
      <c r="G79" s="70">
        <f t="shared" si="3"/>
        <v>1.3119766762306478E-2</v>
      </c>
    </row>
    <row r="80" spans="1:7" x14ac:dyDescent="0.2">
      <c r="A80" s="25" t="s">
        <v>99</v>
      </c>
      <c r="B80" s="26">
        <v>235257587</v>
      </c>
      <c r="C80" s="26">
        <v>162230329.81999999</v>
      </c>
      <c r="D80" s="70">
        <f t="shared" si="2"/>
        <v>1.3119766762306478E-2</v>
      </c>
      <c r="F80" s="8" t="str">
        <v xml:space="preserve">Perú </v>
      </c>
      <c r="G80" s="70">
        <f t="shared" si="3"/>
        <v>3.5013750615518542E-2</v>
      </c>
    </row>
    <row r="81" spans="1:7" x14ac:dyDescent="0.2">
      <c r="A81" s="25" t="s">
        <v>100</v>
      </c>
      <c r="B81" s="26">
        <v>627850375</v>
      </c>
      <c r="C81" s="26">
        <v>841186665.88999999</v>
      </c>
      <c r="D81" s="70">
        <f t="shared" si="2"/>
        <v>3.5013750615518542E-2</v>
      </c>
      <c r="F81" s="8" t="str">
        <v xml:space="preserve">Puerto Rico(Estado Asociado) </v>
      </c>
      <c r="G81" s="70">
        <f t="shared" si="3"/>
        <v>3.3463628362043343E-4</v>
      </c>
    </row>
    <row r="82" spans="1:7" x14ac:dyDescent="0.2">
      <c r="A82" s="25" t="s">
        <v>101</v>
      </c>
      <c r="B82" s="26">
        <v>6000543</v>
      </c>
      <c r="C82" s="26">
        <v>14929503.359999999</v>
      </c>
      <c r="D82" s="70">
        <f t="shared" si="2"/>
        <v>3.3463628362043343E-4</v>
      </c>
      <c r="F82" s="8" t="str">
        <v xml:space="preserve">Trinidad y Tobago </v>
      </c>
      <c r="G82" s="70">
        <f t="shared" si="3"/>
        <v>1.1623850011907191E-4</v>
      </c>
    </row>
    <row r="83" spans="1:7" x14ac:dyDescent="0.2">
      <c r="A83" s="25" t="s">
        <v>102</v>
      </c>
      <c r="B83" s="26">
        <v>2084335</v>
      </c>
      <c r="C83" s="26">
        <v>1997933.04</v>
      </c>
      <c r="D83" s="70">
        <f t="shared" si="2"/>
        <v>1.1623850011907191E-4</v>
      </c>
      <c r="F83" s="8" t="str">
        <v xml:space="preserve">Uruguay </v>
      </c>
      <c r="G83" s="70">
        <f t="shared" si="3"/>
        <v>1.1332754501571026E-2</v>
      </c>
    </row>
    <row r="84" spans="1:7" x14ac:dyDescent="0.2">
      <c r="A84" s="25" t="s">
        <v>103</v>
      </c>
      <c r="B84" s="26">
        <v>203213710</v>
      </c>
      <c r="C84" s="26">
        <v>178739580.72</v>
      </c>
      <c r="D84" s="70">
        <f t="shared" si="2"/>
        <v>1.1332754501571026E-2</v>
      </c>
      <c r="F84" s="8" t="str">
        <v xml:space="preserve">Venezuela </v>
      </c>
      <c r="G84" s="70">
        <f t="shared" si="3"/>
        <v>3.3261127988524757E-2</v>
      </c>
    </row>
    <row r="85" spans="1:7" x14ac:dyDescent="0.2">
      <c r="A85" s="25" t="s">
        <v>104</v>
      </c>
      <c r="B85" s="26">
        <v>596423157</v>
      </c>
      <c r="C85" s="26">
        <v>407163102.29000002</v>
      </c>
      <c r="D85" s="70">
        <f t="shared" si="2"/>
        <v>3.3261127988524757E-2</v>
      </c>
      <c r="F85" s="8" t="str">
        <v xml:space="preserve">Suriname </v>
      </c>
      <c r="G85" s="70">
        <f t="shared" si="3"/>
        <v>3.9450382215542219E-5</v>
      </c>
    </row>
    <row r="86" spans="1:7" x14ac:dyDescent="0.2">
      <c r="A86" s="25" t="s">
        <v>66</v>
      </c>
      <c r="B86" s="26">
        <v>78208</v>
      </c>
      <c r="C86" s="26">
        <v>15882.24</v>
      </c>
      <c r="D86" s="70">
        <f t="shared" si="2"/>
        <v>4.3614776978328227E-6</v>
      </c>
      <c r="F86" s="8" t="str">
        <v xml:space="preserve">Dominica </v>
      </c>
      <c r="G86" s="70" t="e">
        <f t="shared" si="3"/>
        <v>#VALUE!</v>
      </c>
    </row>
    <row r="87" spans="1:7" x14ac:dyDescent="0.2">
      <c r="A87" s="25" t="s">
        <v>105</v>
      </c>
      <c r="B87" s="26">
        <v>707406</v>
      </c>
      <c r="C87" s="26">
        <v>476994.4</v>
      </c>
      <c r="D87" s="70">
        <f t="shared" si="2"/>
        <v>3.9450382215542219E-5</v>
      </c>
      <c r="F87" s="8" t="str">
        <v xml:space="preserve">Santa Lucía </v>
      </c>
      <c r="G87" s="70">
        <f t="shared" si="3"/>
        <v>2.4357086222706931E-6</v>
      </c>
    </row>
    <row r="88" spans="1:7" x14ac:dyDescent="0.2">
      <c r="A88" s="25" t="s">
        <v>106</v>
      </c>
      <c r="B88" s="26" t="s">
        <v>30</v>
      </c>
      <c r="C88" s="26" t="s">
        <v>30</v>
      </c>
      <c r="D88" s="70" t="e">
        <f t="shared" si="2"/>
        <v>#VALUE!</v>
      </c>
      <c r="F88" s="8" t="str">
        <v xml:space="preserve">San Vicente y las Granadinas </v>
      </c>
      <c r="G88" s="70">
        <f t="shared" si="3"/>
        <v>4.3219941896231048E-6</v>
      </c>
    </row>
    <row r="89" spans="1:7" x14ac:dyDescent="0.2">
      <c r="A89" s="25" t="s">
        <v>107</v>
      </c>
      <c r="B89" s="26">
        <v>43676</v>
      </c>
      <c r="C89" s="26">
        <v>54144</v>
      </c>
      <c r="D89" s="70">
        <f t="shared" si="2"/>
        <v>2.4357086222706931E-6</v>
      </c>
      <c r="F89" s="8" t="str">
        <v xml:space="preserve">Belice </v>
      </c>
      <c r="G89" s="70">
        <f t="shared" si="3"/>
        <v>1.1125649559094315E-7</v>
      </c>
    </row>
    <row r="90" spans="1:7" x14ac:dyDescent="0.2">
      <c r="A90" s="25" t="s">
        <v>108</v>
      </c>
      <c r="B90" s="26">
        <v>77500</v>
      </c>
      <c r="C90" s="26">
        <v>25000</v>
      </c>
      <c r="D90" s="70">
        <f t="shared" si="2"/>
        <v>4.3219941896231048E-6</v>
      </c>
      <c r="F90" s="8" t="str">
        <v xml:space="preserve">San Cristóbal y Nevis </v>
      </c>
      <c r="G90" s="70">
        <f t="shared" si="3"/>
        <v>8.3979414326059877E-6</v>
      </c>
    </row>
    <row r="91" spans="1:7" x14ac:dyDescent="0.2">
      <c r="A91" s="25" t="s">
        <v>109</v>
      </c>
      <c r="B91" s="26">
        <v>1995</v>
      </c>
      <c r="C91" s="26">
        <v>57.15</v>
      </c>
      <c r="D91" s="70">
        <f t="shared" si="2"/>
        <v>1.1125649559094315E-7</v>
      </c>
      <c r="F91" s="8" t="str">
        <v xml:space="preserve">Grenada </v>
      </c>
      <c r="G91" s="70">
        <f t="shared" si="3"/>
        <v>2.721462147788484E-6</v>
      </c>
    </row>
    <row r="92" spans="1:7" x14ac:dyDescent="0.2">
      <c r="A92" s="25" t="s">
        <v>111</v>
      </c>
      <c r="B92" s="26">
        <v>150588</v>
      </c>
      <c r="C92" s="26">
        <v>32973.699999999997</v>
      </c>
      <c r="D92" s="70">
        <f t="shared" si="2"/>
        <v>8.3979414326059877E-6</v>
      </c>
      <c r="F92" s="8" t="str">
        <v xml:space="preserve">Antillas Holandesas </v>
      </c>
      <c r="G92" s="70">
        <f t="shared" si="3"/>
        <v>8.0301536689858017E-5</v>
      </c>
    </row>
    <row r="93" spans="1:7" x14ac:dyDescent="0.2">
      <c r="A93" s="25" t="s">
        <v>113</v>
      </c>
      <c r="B93" s="26">
        <v>48800</v>
      </c>
      <c r="C93" s="26">
        <v>16000</v>
      </c>
      <c r="D93" s="70">
        <f t="shared" si="2"/>
        <v>2.721462147788484E-6</v>
      </c>
      <c r="F93" s="8" t="str">
        <v xml:space="preserve">Aruba </v>
      </c>
      <c r="G93" s="70">
        <f t="shared" si="3"/>
        <v>9.1876115968003513E-6</v>
      </c>
    </row>
    <row r="94" spans="1:7" x14ac:dyDescent="0.2">
      <c r="A94" s="25" t="s">
        <v>114</v>
      </c>
      <c r="B94" s="26">
        <v>1439930</v>
      </c>
      <c r="C94" s="26">
        <v>408252.2</v>
      </c>
      <c r="D94" s="70">
        <f t="shared" si="2"/>
        <v>8.0301536689858017E-5</v>
      </c>
      <c r="F94" s="8" t="str">
        <v xml:space="preserve">Iquique (Chile) </v>
      </c>
      <c r="G94" s="70">
        <f t="shared" si="3"/>
        <v>2.4790400995008499E-6</v>
      </c>
    </row>
    <row r="95" spans="1:7" x14ac:dyDescent="0.2">
      <c r="A95" s="25" t="s">
        <v>115</v>
      </c>
      <c r="B95" s="26">
        <v>164748</v>
      </c>
      <c r="C95" s="26">
        <v>42526.03</v>
      </c>
      <c r="D95" s="70">
        <f t="shared" si="2"/>
        <v>9.1876115968003513E-6</v>
      </c>
      <c r="F95" s="8" t="str">
        <v xml:space="preserve">Punta Arenas (Chile) </v>
      </c>
      <c r="G95" s="70">
        <f t="shared" si="3"/>
        <v>3.8441600887850701E-5</v>
      </c>
    </row>
    <row r="96" spans="1:7" x14ac:dyDescent="0.2">
      <c r="A96" s="25" t="s">
        <v>116</v>
      </c>
      <c r="B96" s="26">
        <v>44453</v>
      </c>
      <c r="C96" s="26">
        <v>5932.22</v>
      </c>
      <c r="D96" s="70">
        <f t="shared" si="2"/>
        <v>2.4790400995008499E-6</v>
      </c>
      <c r="F96" s="8" t="str">
        <v xml:space="preserve">Colonia (Uruguay) </v>
      </c>
      <c r="G96" s="70">
        <f t="shared" si="3"/>
        <v>1.2943675502084163E-5</v>
      </c>
    </row>
    <row r="97" spans="1:7" x14ac:dyDescent="0.2">
      <c r="A97" s="25" t="s">
        <v>117</v>
      </c>
      <c r="B97" s="26">
        <v>689317</v>
      </c>
      <c r="C97" s="26">
        <v>108131.32</v>
      </c>
      <c r="D97" s="70">
        <f t="shared" si="2"/>
        <v>3.8441600887850701E-5</v>
      </c>
      <c r="F97" s="8" t="str">
        <v xml:space="preserve">Nueva Palmira (Uruguay) </v>
      </c>
      <c r="G97" s="70" t="e">
        <f t="shared" si="3"/>
        <v>#VALUE!</v>
      </c>
    </row>
    <row r="98" spans="1:7" x14ac:dyDescent="0.2">
      <c r="A98" s="25" t="s">
        <v>118</v>
      </c>
      <c r="B98" s="26">
        <v>232100</v>
      </c>
      <c r="C98" s="26">
        <v>522500</v>
      </c>
      <c r="D98" s="70">
        <f t="shared" si="2"/>
        <v>1.2943675502084163E-5</v>
      </c>
      <c r="F98" s="8" t="str">
        <v>ASIA</v>
      </c>
      <c r="G98" s="70">
        <f t="shared" si="3"/>
        <v>0.34105259963992396</v>
      </c>
    </row>
    <row r="99" spans="1:7" x14ac:dyDescent="0.2">
      <c r="A99" s="25" t="s">
        <v>208</v>
      </c>
      <c r="B99" s="26" t="s">
        <v>30</v>
      </c>
      <c r="C99" s="26" t="s">
        <v>30</v>
      </c>
      <c r="D99" s="70" t="e">
        <f t="shared" si="2"/>
        <v>#VALUE!</v>
      </c>
      <c r="F99" s="8" t="str">
        <v xml:space="preserve">Afganistán </v>
      </c>
      <c r="G99" s="70" t="e">
        <f t="shared" si="3"/>
        <v>#VALUE!</v>
      </c>
    </row>
    <row r="100" spans="1:7" x14ac:dyDescent="0.2">
      <c r="A100" s="25"/>
      <c r="B100" s="26"/>
      <c r="C100" s="26"/>
      <c r="D100" s="70">
        <f t="shared" si="2"/>
        <v>0</v>
      </c>
      <c r="F100" s="8" t="str">
        <v xml:space="preserve">Arabia Saudita </v>
      </c>
      <c r="G100" s="70">
        <f t="shared" si="3"/>
        <v>6.5345653343772611E-3</v>
      </c>
    </row>
    <row r="101" spans="1:7" x14ac:dyDescent="0.2">
      <c r="A101" s="25" t="s">
        <v>119</v>
      </c>
      <c r="B101" s="26">
        <v>6115597410</v>
      </c>
      <c r="C101" s="26">
        <v>10607981547.65</v>
      </c>
      <c r="D101" s="70">
        <f t="shared" si="2"/>
        <v>0.34105259963992396</v>
      </c>
      <c r="F101" s="8" t="str">
        <v xml:space="preserve">Bahrein </v>
      </c>
      <c r="G101" s="70">
        <f t="shared" si="3"/>
        <v>9.8049875539129E-5</v>
      </c>
    </row>
    <row r="102" spans="1:7" x14ac:dyDescent="0.2">
      <c r="A102" s="25" t="s">
        <v>120</v>
      </c>
      <c r="B102" s="26" t="s">
        <v>30</v>
      </c>
      <c r="C102" s="26" t="s">
        <v>30</v>
      </c>
      <c r="D102" s="70" t="e">
        <f t="shared" si="2"/>
        <v>#VALUE!</v>
      </c>
      <c r="F102" s="8" t="str">
        <v xml:space="preserve">Myanmar (ex Birmania) Unión de </v>
      </c>
      <c r="G102" s="70" t="e">
        <f t="shared" si="3"/>
        <v>#VALUE!</v>
      </c>
    </row>
    <row r="103" spans="1:7" x14ac:dyDescent="0.2">
      <c r="A103" s="25" t="s">
        <v>121</v>
      </c>
      <c r="B103" s="26">
        <v>117174802</v>
      </c>
      <c r="C103" s="26">
        <v>349619409.97000003</v>
      </c>
      <c r="D103" s="70">
        <f t="shared" si="2"/>
        <v>6.5345653343772611E-3</v>
      </c>
      <c r="F103" s="8" t="str">
        <v xml:space="preserve">Camboya (ex Kampuchea) </v>
      </c>
      <c r="G103" s="70">
        <f t="shared" si="3"/>
        <v>2.4657941632438271E-4</v>
      </c>
    </row>
    <row r="104" spans="1:7" x14ac:dyDescent="0.2">
      <c r="A104" s="25" t="s">
        <v>122</v>
      </c>
      <c r="B104" s="26">
        <v>1758185</v>
      </c>
      <c r="C104" s="26">
        <v>5288731.18</v>
      </c>
      <c r="D104" s="70">
        <f t="shared" si="2"/>
        <v>9.8049875539129E-5</v>
      </c>
      <c r="F104" s="8" t="str">
        <v xml:space="preserve">Sri Lanka </v>
      </c>
      <c r="G104" s="70">
        <f t="shared" si="3"/>
        <v>2.0627902332899229E-6</v>
      </c>
    </row>
    <row r="105" spans="1:7" x14ac:dyDescent="0.2">
      <c r="A105" s="25" t="s">
        <v>123</v>
      </c>
      <c r="B105" s="26" t="s">
        <v>30</v>
      </c>
      <c r="C105" s="26" t="s">
        <v>30</v>
      </c>
      <c r="D105" s="70" t="e">
        <f t="shared" si="2"/>
        <v>#VALUE!</v>
      </c>
      <c r="F105" s="8" t="str">
        <v xml:space="preserve">Corea Republicana </v>
      </c>
      <c r="G105" s="70">
        <f t="shared" si="3"/>
        <v>1.9346304240001302E-2</v>
      </c>
    </row>
    <row r="106" spans="1:7" x14ac:dyDescent="0.2">
      <c r="A106" s="25" t="s">
        <v>124</v>
      </c>
      <c r="B106" s="26">
        <v>4421548</v>
      </c>
      <c r="C106" s="26">
        <v>199461.29</v>
      </c>
      <c r="D106" s="70">
        <f t="shared" si="2"/>
        <v>2.4657941632438271E-4</v>
      </c>
      <c r="F106" s="8" t="str">
        <v xml:space="preserve">China </v>
      </c>
      <c r="G106" s="70">
        <f t="shared" si="3"/>
        <v>6.6399705023171579E-2</v>
      </c>
    </row>
    <row r="107" spans="1:7" x14ac:dyDescent="0.2">
      <c r="A107" s="25" t="s">
        <v>125</v>
      </c>
      <c r="B107" s="26">
        <v>36989</v>
      </c>
      <c r="C107" s="26">
        <v>72052.5</v>
      </c>
      <c r="D107" s="70">
        <f t="shared" si="2"/>
        <v>2.0627902332899229E-6</v>
      </c>
      <c r="F107" s="8" t="str">
        <v xml:space="preserve">Filipinas </v>
      </c>
      <c r="G107" s="70">
        <f t="shared" si="3"/>
        <v>1.2432060527357033E-2</v>
      </c>
    </row>
    <row r="108" spans="1:7" x14ac:dyDescent="0.2">
      <c r="A108" s="25" t="s">
        <v>126</v>
      </c>
      <c r="B108" s="26">
        <v>346908976</v>
      </c>
      <c r="C108" s="26">
        <v>684316165.13999999</v>
      </c>
      <c r="D108" s="70">
        <f t="shared" si="2"/>
        <v>1.9346304240001302E-2</v>
      </c>
      <c r="F108" s="8" t="str">
        <v xml:space="preserve">Taiwan </v>
      </c>
      <c r="G108" s="70">
        <f t="shared" si="3"/>
        <v>3.307579937194671E-3</v>
      </c>
    </row>
    <row r="109" spans="1:7" x14ac:dyDescent="0.2">
      <c r="A109" s="25" t="s">
        <v>127</v>
      </c>
      <c r="B109" s="26">
        <v>1190648787</v>
      </c>
      <c r="C109" s="26">
        <v>1617097560.5599999</v>
      </c>
      <c r="D109" s="70">
        <f t="shared" si="2"/>
        <v>6.6399705023171579E-2</v>
      </c>
      <c r="F109" s="8" t="str">
        <v xml:space="preserve">India </v>
      </c>
      <c r="G109" s="70">
        <f t="shared" si="3"/>
        <v>4.5600041733622039E-2</v>
      </c>
    </row>
    <row r="110" spans="1:7" x14ac:dyDescent="0.2">
      <c r="A110" s="25" t="s">
        <v>128</v>
      </c>
      <c r="B110" s="26">
        <v>222925957</v>
      </c>
      <c r="C110" s="26">
        <v>514897606.99000001</v>
      </c>
      <c r="D110" s="70">
        <f t="shared" si="2"/>
        <v>1.2432060527357033E-2</v>
      </c>
      <c r="F110" s="8" t="str">
        <v xml:space="preserve">Indonesia </v>
      </c>
      <c r="G110" s="70">
        <f t="shared" si="3"/>
        <v>4.3906040962786289E-2</v>
      </c>
    </row>
    <row r="111" spans="1:7" x14ac:dyDescent="0.2">
      <c r="A111" s="25" t="s">
        <v>129</v>
      </c>
      <c r="B111" s="26">
        <v>59309993</v>
      </c>
      <c r="C111" s="26">
        <v>139120916.62</v>
      </c>
      <c r="D111" s="70">
        <f t="shared" si="2"/>
        <v>3.307579937194671E-3</v>
      </c>
      <c r="F111" s="8" t="str">
        <v xml:space="preserve">Iraq </v>
      </c>
      <c r="G111" s="70">
        <f t="shared" si="3"/>
        <v>3.0949950964591848E-4</v>
      </c>
    </row>
    <row r="112" spans="1:7" x14ac:dyDescent="0.2">
      <c r="A112" s="25" t="s">
        <v>130</v>
      </c>
      <c r="B112" s="26">
        <v>817678849</v>
      </c>
      <c r="C112" s="26">
        <v>708124341.17999995</v>
      </c>
      <c r="D112" s="70">
        <f t="shared" si="2"/>
        <v>4.5600041733622039E-2</v>
      </c>
      <c r="F112" s="8" t="str">
        <v xml:space="preserve">Irán </v>
      </c>
      <c r="G112" s="70">
        <f t="shared" si="3"/>
        <v>2.8384275181019832E-2</v>
      </c>
    </row>
    <row r="113" spans="1:7" x14ac:dyDescent="0.2">
      <c r="A113" s="25" t="s">
        <v>131</v>
      </c>
      <c r="B113" s="26">
        <v>787302811</v>
      </c>
      <c r="C113" s="26">
        <v>1746784488.76</v>
      </c>
      <c r="D113" s="70">
        <f t="shared" si="2"/>
        <v>4.3906040962786289E-2</v>
      </c>
      <c r="F113" s="8" t="str">
        <v xml:space="preserve">Israel </v>
      </c>
      <c r="G113" s="70">
        <f t="shared" si="3"/>
        <v>3.2716169860326524E-3</v>
      </c>
    </row>
    <row r="114" spans="1:7" x14ac:dyDescent="0.2">
      <c r="A114" s="25" t="s">
        <v>132</v>
      </c>
      <c r="B114" s="26">
        <v>5549802</v>
      </c>
      <c r="C114" s="26">
        <v>9900826.6600000001</v>
      </c>
      <c r="D114" s="70">
        <f t="shared" si="2"/>
        <v>3.0949950964591848E-4</v>
      </c>
      <c r="F114" s="8" t="str">
        <v xml:space="preserve">Japón </v>
      </c>
      <c r="G114" s="70">
        <f t="shared" si="3"/>
        <v>5.9745387825656587E-3</v>
      </c>
    </row>
    <row r="115" spans="1:7" x14ac:dyDescent="0.2">
      <c r="A115" s="25" t="s">
        <v>133</v>
      </c>
      <c r="B115" s="26">
        <v>508973689</v>
      </c>
      <c r="C115" s="26">
        <v>724620265.39999998</v>
      </c>
      <c r="D115" s="70">
        <f t="shared" si="2"/>
        <v>2.8384275181019832E-2</v>
      </c>
      <c r="F115" s="8" t="str">
        <v xml:space="preserve">Jordania </v>
      </c>
      <c r="G115" s="70">
        <f t="shared" si="3"/>
        <v>5.9941126202252924E-3</v>
      </c>
    </row>
    <row r="116" spans="1:7" x14ac:dyDescent="0.2">
      <c r="A116" s="25" t="s">
        <v>134</v>
      </c>
      <c r="B116" s="26">
        <v>58665122</v>
      </c>
      <c r="C116" s="26">
        <v>30851409.579999998</v>
      </c>
      <c r="D116" s="70">
        <f t="shared" si="2"/>
        <v>3.2716169860326524E-3</v>
      </c>
      <c r="F116" s="8" t="str">
        <v xml:space="preserve">Qatar </v>
      </c>
      <c r="G116" s="70">
        <f t="shared" si="3"/>
        <v>1.9965940126049856E-6</v>
      </c>
    </row>
    <row r="117" spans="1:7" x14ac:dyDescent="0.2">
      <c r="A117" s="25" t="s">
        <v>135</v>
      </c>
      <c r="B117" s="26">
        <v>107132665</v>
      </c>
      <c r="C117" s="26">
        <v>304313486.17000002</v>
      </c>
      <c r="D117" s="70">
        <f t="shared" si="2"/>
        <v>5.9745387825656587E-3</v>
      </c>
      <c r="F117" s="8" t="str">
        <v xml:space="preserve">Kuwait </v>
      </c>
      <c r="G117" s="70">
        <f t="shared" si="3"/>
        <v>1.7418813281954028E-4</v>
      </c>
    </row>
    <row r="118" spans="1:7" x14ac:dyDescent="0.2">
      <c r="A118" s="25" t="s">
        <v>136</v>
      </c>
      <c r="B118" s="26">
        <v>107483654</v>
      </c>
      <c r="C118" s="26">
        <v>246326564.11000001</v>
      </c>
      <c r="D118" s="70">
        <f t="shared" si="2"/>
        <v>5.9941126202252924E-3</v>
      </c>
      <c r="F118" s="8" t="str">
        <v xml:space="preserve">Líbano </v>
      </c>
      <c r="G118" s="70">
        <f t="shared" si="3"/>
        <v>1.3979252078398E-3</v>
      </c>
    </row>
    <row r="119" spans="1:7" x14ac:dyDescent="0.2">
      <c r="A119" s="25" t="s">
        <v>137</v>
      </c>
      <c r="B119" s="26">
        <v>35802</v>
      </c>
      <c r="C119" s="26">
        <v>8629.64</v>
      </c>
      <c r="D119" s="70">
        <f t="shared" si="2"/>
        <v>1.9965940126049856E-6</v>
      </c>
      <c r="F119" s="8" t="str">
        <v xml:space="preserve">Malasia </v>
      </c>
      <c r="G119" s="70">
        <f t="shared" si="3"/>
        <v>3.0142389975159126E-2</v>
      </c>
    </row>
    <row r="120" spans="1:7" x14ac:dyDescent="0.2">
      <c r="A120" s="25" t="s">
        <v>138</v>
      </c>
      <c r="B120" s="26">
        <v>3123461</v>
      </c>
      <c r="C120" s="26">
        <v>11045883.949999999</v>
      </c>
      <c r="D120" s="70">
        <f t="shared" si="2"/>
        <v>1.7418813281954028E-4</v>
      </c>
      <c r="F120" s="8" t="str">
        <v xml:space="preserve">Maldivas </v>
      </c>
      <c r="G120" s="70" t="e">
        <f t="shared" si="3"/>
        <v>#VALUE!</v>
      </c>
    </row>
    <row r="121" spans="1:7" x14ac:dyDescent="0.2">
      <c r="A121" s="25" t="s">
        <v>139</v>
      </c>
      <c r="B121" s="26">
        <v>25066948</v>
      </c>
      <c r="C121" s="26">
        <v>55271669.740000002</v>
      </c>
      <c r="D121" s="70">
        <f t="shared" si="2"/>
        <v>1.3979252078398E-3</v>
      </c>
      <c r="F121" s="8" t="str">
        <v xml:space="preserve">Omán </v>
      </c>
      <c r="G121" s="70">
        <f t="shared" si="3"/>
        <v>2.0434109690203224E-4</v>
      </c>
    </row>
    <row r="122" spans="1:7" x14ac:dyDescent="0.2">
      <c r="A122" s="25" t="s">
        <v>140</v>
      </c>
      <c r="B122" s="26">
        <v>540499390</v>
      </c>
      <c r="C122" s="26">
        <v>1238269702.05</v>
      </c>
      <c r="D122" s="70">
        <f t="shared" si="2"/>
        <v>3.0142389975159126E-2</v>
      </c>
      <c r="F122" s="8" t="str">
        <v xml:space="preserve">Mongolia </v>
      </c>
      <c r="G122" s="70">
        <f t="shared" si="3"/>
        <v>8.6583206696556688E-6</v>
      </c>
    </row>
    <row r="123" spans="1:7" x14ac:dyDescent="0.2">
      <c r="A123" s="25" t="s">
        <v>141</v>
      </c>
      <c r="B123" s="26" t="s">
        <v>30</v>
      </c>
      <c r="C123" s="26" t="s">
        <v>30</v>
      </c>
      <c r="D123" s="70" t="e">
        <f t="shared" si="2"/>
        <v>#VALUE!</v>
      </c>
      <c r="F123" s="8" t="str">
        <v xml:space="preserve">Nepal </v>
      </c>
      <c r="G123" s="70">
        <f t="shared" si="3"/>
        <v>5.1908544409047557E-7</v>
      </c>
    </row>
    <row r="124" spans="1:7" x14ac:dyDescent="0.2">
      <c r="A124" s="25" t="s">
        <v>142</v>
      </c>
      <c r="B124" s="26">
        <v>3664150</v>
      </c>
      <c r="C124" s="26">
        <v>13046643.48</v>
      </c>
      <c r="D124" s="70">
        <f t="shared" si="2"/>
        <v>2.0434109690203224E-4</v>
      </c>
      <c r="F124" s="8" t="str">
        <v xml:space="preserve">Emiratos Arabes Unidos </v>
      </c>
      <c r="G124" s="70">
        <f t="shared" si="3"/>
        <v>1.9407654473497834E-3</v>
      </c>
    </row>
    <row r="125" spans="1:7" x14ac:dyDescent="0.2">
      <c r="A125" s="25" t="s">
        <v>143</v>
      </c>
      <c r="B125" s="26">
        <v>155257</v>
      </c>
      <c r="C125" s="26">
        <v>42111.25</v>
      </c>
      <c r="D125" s="70">
        <f t="shared" si="2"/>
        <v>8.6583206696556688E-6</v>
      </c>
      <c r="F125" s="8" t="str">
        <v xml:space="preserve">Paquistán </v>
      </c>
      <c r="G125" s="70">
        <f t="shared" si="3"/>
        <v>1.0680506464629919E-3</v>
      </c>
    </row>
    <row r="126" spans="1:7" x14ac:dyDescent="0.2">
      <c r="A126" s="25" t="s">
        <v>144</v>
      </c>
      <c r="B126" s="26">
        <v>9308</v>
      </c>
      <c r="C126" s="26">
        <v>9354.7999999999993</v>
      </c>
      <c r="D126" s="70">
        <f t="shared" si="2"/>
        <v>5.1908544409047557E-7</v>
      </c>
      <c r="F126" s="8" t="str">
        <v xml:space="preserve">Singapur </v>
      </c>
      <c r="G126" s="70">
        <f t="shared" si="3"/>
        <v>1.2172916153756911E-4</v>
      </c>
    </row>
    <row r="127" spans="1:7" x14ac:dyDescent="0.2">
      <c r="A127" s="25" t="s">
        <v>145</v>
      </c>
      <c r="B127" s="26">
        <v>34800908</v>
      </c>
      <c r="C127" s="26">
        <v>98676539.040000007</v>
      </c>
      <c r="D127" s="70">
        <f t="shared" si="2"/>
        <v>1.9407654473497834E-3</v>
      </c>
      <c r="F127" s="8" t="str">
        <v xml:space="preserve">Siria </v>
      </c>
      <c r="G127" s="70">
        <f t="shared" si="3"/>
        <v>1.7900234916807783E-3</v>
      </c>
    </row>
    <row r="128" spans="1:7" x14ac:dyDescent="0.2">
      <c r="A128" s="25" t="s">
        <v>146</v>
      </c>
      <c r="B128" s="26">
        <v>19151790</v>
      </c>
      <c r="C128" s="26">
        <v>16120621.18</v>
      </c>
      <c r="D128" s="70">
        <f t="shared" si="2"/>
        <v>1.0680506464629919E-3</v>
      </c>
      <c r="F128" s="8" t="str">
        <v xml:space="preserve">Tailandia </v>
      </c>
      <c r="G128" s="70">
        <f t="shared" si="3"/>
        <v>2.2056347009928798E-2</v>
      </c>
    </row>
    <row r="129" spans="1:7" x14ac:dyDescent="0.2">
      <c r="A129" s="25" t="s">
        <v>147</v>
      </c>
      <c r="B129" s="26">
        <v>2182791</v>
      </c>
      <c r="C129" s="26">
        <v>639159.81000000006</v>
      </c>
      <c r="D129" s="70">
        <f t="shared" si="2"/>
        <v>1.2172916153756911E-4</v>
      </c>
      <c r="F129" s="8" t="str">
        <v xml:space="preserve">Vietnam </v>
      </c>
      <c r="G129" s="70">
        <f t="shared" si="3"/>
        <v>2.1171406263413736E-2</v>
      </c>
    </row>
    <row r="130" spans="1:7" x14ac:dyDescent="0.2">
      <c r="A130" s="25" t="s">
        <v>148</v>
      </c>
      <c r="B130" s="26">
        <v>32097873</v>
      </c>
      <c r="C130" s="26">
        <v>72606014.650000006</v>
      </c>
      <c r="D130" s="70">
        <f t="shared" si="2"/>
        <v>1.7900234916807783E-3</v>
      </c>
      <c r="F130" s="8" t="str">
        <v xml:space="preserve">Hong Kong </v>
      </c>
      <c r="G130" s="70">
        <f t="shared" si="3"/>
        <v>2.6940540682739047E-3</v>
      </c>
    </row>
    <row r="131" spans="1:7" x14ac:dyDescent="0.2">
      <c r="A131" s="25" t="s">
        <v>149</v>
      </c>
      <c r="B131" s="26">
        <v>395504209</v>
      </c>
      <c r="C131" s="26">
        <v>801558290.15999997</v>
      </c>
      <c r="D131" s="70">
        <f t="shared" si="2"/>
        <v>2.2056347009928798E-2</v>
      </c>
      <c r="F131" s="8" t="str">
        <v xml:space="preserve">Bangladesh </v>
      </c>
      <c r="G131" s="70">
        <f t="shared" si="3"/>
        <v>1.3627981861217215E-2</v>
      </c>
    </row>
    <row r="132" spans="1:7" x14ac:dyDescent="0.2">
      <c r="A132" s="25" t="s">
        <v>150</v>
      </c>
      <c r="B132" s="26">
        <v>379635861</v>
      </c>
      <c r="C132" s="26">
        <v>829634057.05999994</v>
      </c>
      <c r="D132" s="70">
        <f t="shared" si="2"/>
        <v>2.1171406263413736E-2</v>
      </c>
      <c r="F132" s="8" t="str">
        <v xml:space="preserve">República de Yemen </v>
      </c>
      <c r="G132" s="70">
        <f t="shared" si="3"/>
        <v>2.6576401797568242E-3</v>
      </c>
    </row>
    <row r="133" spans="1:7" x14ac:dyDescent="0.2">
      <c r="A133" s="25" t="s">
        <v>151</v>
      </c>
      <c r="B133" s="26">
        <v>48308531</v>
      </c>
      <c r="C133" s="26">
        <v>9159997.6400000006</v>
      </c>
      <c r="D133" s="70">
        <f t="shared" si="2"/>
        <v>2.6940540682739047E-3</v>
      </c>
      <c r="F133" s="8" t="str">
        <v xml:space="preserve">Armenia </v>
      </c>
      <c r="G133" s="70">
        <f t="shared" si="3"/>
        <v>1.4463344426822609E-6</v>
      </c>
    </row>
    <row r="134" spans="1:7" x14ac:dyDescent="0.2">
      <c r="A134" s="25" t="s">
        <v>153</v>
      </c>
      <c r="B134" s="26">
        <v>244370665</v>
      </c>
      <c r="C134" s="26">
        <v>223950832.84999999</v>
      </c>
      <c r="D134" s="70">
        <f t="shared" si="2"/>
        <v>1.3627981861217215E-2</v>
      </c>
      <c r="F134" s="8" t="str">
        <v xml:space="preserve">Azerbaiján </v>
      </c>
      <c r="G134" s="70">
        <f t="shared" si="3"/>
        <v>3.1775580120443877E-5</v>
      </c>
    </row>
    <row r="135" spans="1:7" x14ac:dyDescent="0.2">
      <c r="A135" s="25" t="s">
        <v>154</v>
      </c>
      <c r="B135" s="26">
        <v>47655574</v>
      </c>
      <c r="C135" s="26">
        <v>155781656.62</v>
      </c>
      <c r="D135" s="70">
        <f t="shared" si="2"/>
        <v>2.6576401797568242E-3</v>
      </c>
      <c r="F135" s="8" t="str">
        <v xml:space="preserve">Georgia </v>
      </c>
      <c r="G135" s="70">
        <f t="shared" si="3"/>
        <v>1.9739523398180569E-6</v>
      </c>
    </row>
    <row r="136" spans="1:7" x14ac:dyDescent="0.2">
      <c r="A136" s="25" t="s">
        <v>155</v>
      </c>
      <c r="B136" s="26">
        <v>25935</v>
      </c>
      <c r="C136" s="26">
        <v>1170</v>
      </c>
      <c r="D136" s="70">
        <f t="shared" si="2"/>
        <v>1.4463344426822609E-6</v>
      </c>
      <c r="F136" s="8" t="str">
        <v xml:space="preserve">Kazajstán </v>
      </c>
      <c r="G136" s="70">
        <f t="shared" si="3"/>
        <v>1.5145834711881016E-4</v>
      </c>
    </row>
    <row r="137" spans="1:7" x14ac:dyDescent="0.2">
      <c r="A137" s="25" t="s">
        <v>156</v>
      </c>
      <c r="B137" s="26">
        <v>569785</v>
      </c>
      <c r="C137" s="26">
        <v>151966.5</v>
      </c>
      <c r="D137" s="70">
        <f t="shared" si="2"/>
        <v>3.1775580120443877E-5</v>
      </c>
      <c r="F137" s="8" t="str">
        <v>Territorios Autónomos Palestinos (Gaza y Jericó)</v>
      </c>
      <c r="G137" s="70">
        <f t="shared" si="3"/>
        <v>8.9523835775509285E-7</v>
      </c>
    </row>
    <row r="138" spans="1:7" x14ac:dyDescent="0.2">
      <c r="A138" s="25" t="s">
        <v>157</v>
      </c>
      <c r="B138" s="26">
        <v>35396</v>
      </c>
      <c r="C138" s="26">
        <v>48662.95</v>
      </c>
      <c r="D138" s="70">
        <f t="shared" si="2"/>
        <v>1.9739523398180569E-6</v>
      </c>
      <c r="F138" s="8" t="str">
        <v>EUROPA</v>
      </c>
      <c r="G138" s="70">
        <f t="shared" si="3"/>
        <v>0.2565016203202225</v>
      </c>
    </row>
    <row r="139" spans="1:7" x14ac:dyDescent="0.2">
      <c r="A139" s="25" t="s">
        <v>158</v>
      </c>
      <c r="B139" s="26">
        <v>2715881</v>
      </c>
      <c r="C139" s="26">
        <v>425014.87</v>
      </c>
      <c r="D139" s="70">
        <f t="shared" ref="D139:D155" si="4">+B139/$B$8</f>
        <v>1.5145834711881016E-4</v>
      </c>
      <c r="F139" s="8" t="str">
        <v xml:space="preserve">Albania </v>
      </c>
      <c r="G139" s="70">
        <f t="shared" ref="G139:G151" si="5">+SUMIF(A139:A284,F139,D139:D284)</f>
        <v>2.1411438053727675E-6</v>
      </c>
    </row>
    <row r="140" spans="1:7" x14ac:dyDescent="0.2">
      <c r="A140" s="25" t="s">
        <v>159</v>
      </c>
      <c r="B140" s="26">
        <v>16053</v>
      </c>
      <c r="C140" s="26">
        <v>283.3</v>
      </c>
      <c r="D140" s="70">
        <f t="shared" si="4"/>
        <v>8.9523835775509285E-7</v>
      </c>
      <c r="F140" s="8" t="str">
        <v xml:space="preserve">Austria </v>
      </c>
      <c r="G140" s="70">
        <f t="shared" si="5"/>
        <v>2.5031819225290801E-4</v>
      </c>
    </row>
    <row r="141" spans="1:7" x14ac:dyDescent="0.2">
      <c r="A141" s="25"/>
      <c r="B141" s="26"/>
      <c r="C141" s="26"/>
      <c r="D141" s="70">
        <f t="shared" si="4"/>
        <v>0</v>
      </c>
      <c r="F141" s="8" t="str">
        <v xml:space="preserve">Bélgica </v>
      </c>
      <c r="G141" s="70">
        <f t="shared" si="5"/>
        <v>7.1865324138122091E-3</v>
      </c>
    </row>
    <row r="142" spans="1:7" x14ac:dyDescent="0.2">
      <c r="A142" s="25" t="s">
        <v>160</v>
      </c>
      <c r="B142" s="26">
        <v>4599468371</v>
      </c>
      <c r="C142" s="26">
        <v>8361674472.5299997</v>
      </c>
      <c r="D142" s="70">
        <f t="shared" si="4"/>
        <v>0.2565016203202225</v>
      </c>
      <c r="F142" s="8" t="str">
        <v xml:space="preserve">Bulgaria </v>
      </c>
      <c r="G142" s="70">
        <f t="shared" si="5"/>
        <v>2.5903412092253634E-5</v>
      </c>
    </row>
    <row r="143" spans="1:7" x14ac:dyDescent="0.2">
      <c r="A143" s="25" t="s">
        <v>161</v>
      </c>
      <c r="B143" s="26">
        <v>38394</v>
      </c>
      <c r="C143" s="26">
        <v>47359.57</v>
      </c>
      <c r="D143" s="70">
        <f t="shared" si="4"/>
        <v>2.1411438053727675E-6</v>
      </c>
      <c r="F143" s="8" t="str">
        <v xml:space="preserve">Dinamarca </v>
      </c>
      <c r="G143" s="70">
        <f t="shared" si="5"/>
        <v>1.656840108643903E-2</v>
      </c>
    </row>
    <row r="144" spans="1:7" x14ac:dyDescent="0.2">
      <c r="A144" s="25" t="s">
        <v>162</v>
      </c>
      <c r="B144" s="26">
        <v>4488590</v>
      </c>
      <c r="C144" s="26">
        <v>85431.9</v>
      </c>
      <c r="D144" s="70">
        <f t="shared" si="4"/>
        <v>2.5031819225290801E-4</v>
      </c>
      <c r="F144" s="8" t="str">
        <v xml:space="preserve">España </v>
      </c>
      <c r="G144" s="70">
        <f t="shared" si="5"/>
        <v>7.0522925680923887E-2</v>
      </c>
    </row>
    <row r="145" spans="1:7" x14ac:dyDescent="0.2">
      <c r="A145" s="25" t="s">
        <v>163</v>
      </c>
      <c r="B145" s="26">
        <v>128865574</v>
      </c>
      <c r="C145" s="26">
        <v>136565891.22999999</v>
      </c>
      <c r="D145" s="70">
        <f t="shared" si="4"/>
        <v>7.1865324138122091E-3</v>
      </c>
      <c r="F145" s="8" t="str">
        <v xml:space="preserve">Finlandia </v>
      </c>
      <c r="G145" s="70">
        <f t="shared" si="5"/>
        <v>5.3613863897105426E-5</v>
      </c>
    </row>
    <row r="146" spans="1:7" x14ac:dyDescent="0.2">
      <c r="A146" s="25" t="s">
        <v>164</v>
      </c>
      <c r="B146" s="26">
        <v>464488</v>
      </c>
      <c r="C146" s="26">
        <v>710237.68</v>
      </c>
      <c r="D146" s="70">
        <f t="shared" si="4"/>
        <v>2.5903412092253634E-5</v>
      </c>
      <c r="F146" s="8" t="str">
        <v xml:space="preserve">Francia </v>
      </c>
      <c r="G146" s="70">
        <f t="shared" si="5"/>
        <v>6.2686330876574187E-3</v>
      </c>
    </row>
    <row r="147" spans="1:7" x14ac:dyDescent="0.2">
      <c r="A147" s="25" t="s">
        <v>165</v>
      </c>
      <c r="B147" s="26">
        <v>297096902</v>
      </c>
      <c r="C147" s="26">
        <v>667372934.19000006</v>
      </c>
      <c r="D147" s="70">
        <f t="shared" si="4"/>
        <v>1.656840108643903E-2</v>
      </c>
      <c r="F147" s="8" t="str">
        <v xml:space="preserve">Grecia </v>
      </c>
      <c r="G147" s="70">
        <f t="shared" si="5"/>
        <v>3.8192487834880864E-3</v>
      </c>
    </row>
    <row r="148" spans="1:7" x14ac:dyDescent="0.2">
      <c r="A148" s="25" t="s">
        <v>166</v>
      </c>
      <c r="B148" s="26">
        <v>1264584472</v>
      </c>
      <c r="C148" s="26">
        <v>1901434934.6600001</v>
      </c>
      <c r="D148" s="70">
        <f t="shared" si="4"/>
        <v>7.0522925680923887E-2</v>
      </c>
      <c r="F148" s="8" t="str">
        <v xml:space="preserve">Hungría </v>
      </c>
      <c r="G148" s="70">
        <f t="shared" si="5"/>
        <v>1.4662992674549714E-5</v>
      </c>
    </row>
    <row r="149" spans="1:7" x14ac:dyDescent="0.2">
      <c r="A149" s="25" t="s">
        <v>167</v>
      </c>
      <c r="B149" s="26">
        <v>961379</v>
      </c>
      <c r="C149" s="26">
        <v>199441.19</v>
      </c>
      <c r="D149" s="70">
        <f t="shared" si="4"/>
        <v>5.3613863897105426E-5</v>
      </c>
      <c r="F149" s="8" t="str">
        <v xml:space="preserve">Irlanda </v>
      </c>
      <c r="G149" s="70">
        <f t="shared" si="5"/>
        <v>6.1420774018472128E-3</v>
      </c>
    </row>
    <row r="150" spans="1:7" x14ac:dyDescent="0.2">
      <c r="A150" s="25" t="s">
        <v>168</v>
      </c>
      <c r="B150" s="26">
        <v>112406228</v>
      </c>
      <c r="C150" s="26">
        <v>192827401.5</v>
      </c>
      <c r="D150" s="70">
        <f t="shared" si="4"/>
        <v>6.2686330876574187E-3</v>
      </c>
      <c r="F150" s="8" t="str">
        <v xml:space="preserve">Italia </v>
      </c>
      <c r="G150" s="70">
        <f t="shared" si="5"/>
        <v>2.7081343892104929E-2</v>
      </c>
    </row>
    <row r="151" spans="1:7" x14ac:dyDescent="0.2">
      <c r="A151" s="25" t="s">
        <v>169</v>
      </c>
      <c r="B151" s="26">
        <v>68485002</v>
      </c>
      <c r="C151" s="26">
        <v>166319392.31</v>
      </c>
      <c r="D151" s="70">
        <f t="shared" si="4"/>
        <v>3.8192487834880864E-3</v>
      </c>
      <c r="F151" s="8" t="str">
        <v xml:space="preserve">Luxemburgo </v>
      </c>
      <c r="G151" s="70">
        <f t="shared" si="5"/>
        <v>2.116957368210967E-5</v>
      </c>
    </row>
    <row r="152" spans="1:7" x14ac:dyDescent="0.2">
      <c r="A152" s="25" t="s">
        <v>170</v>
      </c>
      <c r="B152" s="26">
        <v>262930</v>
      </c>
      <c r="C152" s="26">
        <v>266091.19</v>
      </c>
      <c r="D152" s="70">
        <f t="shared" si="4"/>
        <v>1.4662992674549714E-5</v>
      </c>
    </row>
    <row r="153" spans="1:7" x14ac:dyDescent="0.2">
      <c r="A153" s="25" t="s">
        <v>171</v>
      </c>
      <c r="B153" s="26">
        <v>110136890</v>
      </c>
      <c r="C153" s="26">
        <v>323414196.81</v>
      </c>
      <c r="D153" s="70">
        <f t="shared" si="4"/>
        <v>6.1420774018472128E-3</v>
      </c>
    </row>
    <row r="154" spans="1:7" x14ac:dyDescent="0.2">
      <c r="A154" s="25" t="s">
        <v>173</v>
      </c>
      <c r="B154" s="26">
        <v>485610128</v>
      </c>
      <c r="C154" s="26">
        <v>961285355.03999996</v>
      </c>
      <c r="D154" s="70">
        <f t="shared" si="4"/>
        <v>2.7081343892104929E-2</v>
      </c>
    </row>
    <row r="155" spans="1:7" x14ac:dyDescent="0.2">
      <c r="A155" s="25" t="s">
        <v>174</v>
      </c>
      <c r="B155" s="26">
        <v>379603</v>
      </c>
      <c r="C155" s="26">
        <v>22993.87</v>
      </c>
      <c r="D155" s="70">
        <f t="shared" si="4"/>
        <v>2.116957368210967E-5</v>
      </c>
    </row>
    <row r="156" spans="1:7" x14ac:dyDescent="0.2">
      <c r="A156" s="25" t="s">
        <v>175</v>
      </c>
      <c r="B156" s="26">
        <v>346451</v>
      </c>
      <c r="C156" s="26">
        <v>52162.78</v>
      </c>
    </row>
    <row r="157" spans="1:7" x14ac:dyDescent="0.2">
      <c r="A157" s="25" t="s">
        <v>176</v>
      </c>
      <c r="B157" s="26">
        <v>167443</v>
      </c>
      <c r="C157" s="26">
        <v>225861.11</v>
      </c>
    </row>
    <row r="158" spans="1:7" x14ac:dyDescent="0.2">
      <c r="A158" s="25" t="s">
        <v>177</v>
      </c>
      <c r="B158" s="26">
        <v>865471762</v>
      </c>
      <c r="C158" s="26">
        <v>1563066970.26</v>
      </c>
    </row>
    <row r="159" spans="1:7" x14ac:dyDescent="0.2">
      <c r="A159" s="25" t="s">
        <v>178</v>
      </c>
      <c r="B159" s="26">
        <v>447224561</v>
      </c>
      <c r="C159" s="26">
        <v>1028159306.9400001</v>
      </c>
    </row>
    <row r="160" spans="1:7" x14ac:dyDescent="0.2">
      <c r="A160" s="25" t="s">
        <v>179</v>
      </c>
      <c r="B160" s="26">
        <v>14860151</v>
      </c>
      <c r="C160" s="26">
        <v>39458361.280000001</v>
      </c>
    </row>
    <row r="161" spans="1:3" x14ac:dyDescent="0.2">
      <c r="A161" s="25" t="s">
        <v>180</v>
      </c>
      <c r="B161" s="26">
        <v>322784411</v>
      </c>
      <c r="C161" s="26">
        <v>765672843.07000005</v>
      </c>
    </row>
    <row r="162" spans="1:3" x14ac:dyDescent="0.2">
      <c r="A162" s="25" t="s">
        <v>181</v>
      </c>
      <c r="B162" s="26">
        <v>37598690</v>
      </c>
      <c r="C162" s="26">
        <v>65019159.759999998</v>
      </c>
    </row>
    <row r="163" spans="1:3" x14ac:dyDescent="0.2">
      <c r="A163" s="25" t="s">
        <v>182</v>
      </c>
      <c r="B163" s="26">
        <v>3521239</v>
      </c>
      <c r="C163" s="26">
        <v>238950.39999999999</v>
      </c>
    </row>
    <row r="164" spans="1:3" x14ac:dyDescent="0.2">
      <c r="A164" s="25" t="s">
        <v>183</v>
      </c>
      <c r="B164" s="26">
        <v>3221196</v>
      </c>
      <c r="C164" s="26">
        <v>226473.9</v>
      </c>
    </row>
    <row r="165" spans="1:3" x14ac:dyDescent="0.2">
      <c r="A165" s="25" t="s">
        <v>184</v>
      </c>
      <c r="B165" s="26">
        <v>7676939</v>
      </c>
      <c r="C165" s="26">
        <v>21860435.690000001</v>
      </c>
    </row>
    <row r="166" spans="1:3" x14ac:dyDescent="0.2">
      <c r="A166" s="25" t="s">
        <v>185</v>
      </c>
      <c r="B166" s="26">
        <v>82323603</v>
      </c>
      <c r="C166" s="26">
        <v>179109681.33000001</v>
      </c>
    </row>
    <row r="167" spans="1:3" x14ac:dyDescent="0.2">
      <c r="A167" s="25" t="s">
        <v>186</v>
      </c>
      <c r="B167" s="26">
        <v>163461836</v>
      </c>
      <c r="C167" s="26">
        <v>111843419.72</v>
      </c>
    </row>
    <row r="168" spans="1:3" x14ac:dyDescent="0.2">
      <c r="A168" s="25" t="s">
        <v>187</v>
      </c>
      <c r="B168" s="26">
        <v>288422</v>
      </c>
      <c r="C168" s="26">
        <v>71605.89</v>
      </c>
    </row>
    <row r="169" spans="1:3" x14ac:dyDescent="0.2">
      <c r="A169" s="25" t="s">
        <v>188</v>
      </c>
      <c r="B169" s="26">
        <v>711760</v>
      </c>
      <c r="C169" s="26">
        <v>130484.5</v>
      </c>
    </row>
    <row r="170" spans="1:3" x14ac:dyDescent="0.2">
      <c r="A170" s="25" t="s">
        <v>189</v>
      </c>
      <c r="B170" s="26">
        <v>21596506</v>
      </c>
      <c r="C170" s="26">
        <v>43431554.600000001</v>
      </c>
    </row>
    <row r="171" spans="1:3" x14ac:dyDescent="0.2">
      <c r="A171" s="25" t="s">
        <v>190</v>
      </c>
      <c r="B171" s="26">
        <v>57890842</v>
      </c>
      <c r="C171" s="26">
        <v>118177325.37</v>
      </c>
    </row>
    <row r="172" spans="1:3" x14ac:dyDescent="0.2">
      <c r="A172" s="25" t="s">
        <v>209</v>
      </c>
      <c r="B172" s="26">
        <v>492210</v>
      </c>
      <c r="C172" s="26">
        <v>31672.95</v>
      </c>
    </row>
    <row r="173" spans="1:3" x14ac:dyDescent="0.2">
      <c r="A173" s="25" t="s">
        <v>191</v>
      </c>
      <c r="B173" s="26">
        <v>82435803</v>
      </c>
      <c r="C173" s="26">
        <v>54215414.460000001</v>
      </c>
    </row>
    <row r="174" spans="1:3" x14ac:dyDescent="0.2">
      <c r="A174" s="25" t="s">
        <v>192</v>
      </c>
      <c r="B174" s="26">
        <v>3994582</v>
      </c>
      <c r="C174" s="26">
        <v>555617.39</v>
      </c>
    </row>
    <row r="175" spans="1:3" x14ac:dyDescent="0.2">
      <c r="A175" s="25" t="s">
        <v>193</v>
      </c>
      <c r="B175" s="26">
        <v>36663</v>
      </c>
      <c r="C175" s="26">
        <v>41736.800000000003</v>
      </c>
    </row>
    <row r="176" spans="1:3" x14ac:dyDescent="0.2">
      <c r="A176" s="25" t="s">
        <v>194</v>
      </c>
      <c r="B176" s="26">
        <v>5055202</v>
      </c>
      <c r="C176" s="26">
        <v>13736912.07</v>
      </c>
    </row>
    <row r="177" spans="1:3" x14ac:dyDescent="0.2">
      <c r="A177" s="25" t="s">
        <v>195</v>
      </c>
      <c r="B177" s="26" t="s">
        <v>30</v>
      </c>
      <c r="C177" s="26" t="s">
        <v>30</v>
      </c>
    </row>
    <row r="178" spans="1:3" x14ac:dyDescent="0.2">
      <c r="A178" s="25" t="s">
        <v>196</v>
      </c>
      <c r="B178" s="26">
        <v>1640000</v>
      </c>
      <c r="C178" s="26">
        <v>5000000</v>
      </c>
    </row>
    <row r="179" spans="1:3" x14ac:dyDescent="0.2">
      <c r="A179" s="25" t="s">
        <v>198</v>
      </c>
      <c r="B179" s="26">
        <v>2844872</v>
      </c>
      <c r="C179" s="26">
        <v>755542.15</v>
      </c>
    </row>
    <row r="180" spans="1:3" x14ac:dyDescent="0.2">
      <c r="A180" s="25" t="s">
        <v>199</v>
      </c>
      <c r="B180" s="26">
        <v>11645</v>
      </c>
      <c r="C180" s="26">
        <v>13758.75</v>
      </c>
    </row>
    <row r="181" spans="1:3" x14ac:dyDescent="0.2">
      <c r="A181" s="25" t="s">
        <v>200</v>
      </c>
      <c r="B181" s="26">
        <v>30988</v>
      </c>
      <c r="C181" s="26">
        <v>27560.22</v>
      </c>
    </row>
    <row r="182" spans="1:3" x14ac:dyDescent="0.2">
      <c r="A182" s="25"/>
      <c r="B182" s="26"/>
      <c r="C182" s="26"/>
    </row>
    <row r="183" spans="1:3" x14ac:dyDescent="0.2">
      <c r="A183" s="25" t="s">
        <v>201</v>
      </c>
      <c r="B183" s="26">
        <v>336459570</v>
      </c>
      <c r="C183" s="26">
        <v>660403720.54999995</v>
      </c>
    </row>
    <row r="184" spans="1:3" x14ac:dyDescent="0.2">
      <c r="A184" s="25" t="s">
        <v>202</v>
      </c>
      <c r="B184" s="31">
        <v>299060926</v>
      </c>
      <c r="C184" s="31">
        <v>583710110.82000005</v>
      </c>
    </row>
    <row r="185" spans="1:3" x14ac:dyDescent="0.2">
      <c r="A185" s="25" t="s">
        <v>203</v>
      </c>
      <c r="B185" s="31">
        <v>37385524</v>
      </c>
      <c r="C185" s="31">
        <v>76670672.480000004</v>
      </c>
    </row>
    <row r="186" spans="1:3" x14ac:dyDescent="0.2">
      <c r="A186" s="25" t="s">
        <v>210</v>
      </c>
      <c r="B186" s="31" t="s">
        <v>30</v>
      </c>
      <c r="C186" s="31" t="s">
        <v>30</v>
      </c>
    </row>
    <row r="187" spans="1:3" x14ac:dyDescent="0.2">
      <c r="A187" s="25" t="s">
        <v>211</v>
      </c>
      <c r="B187" s="31" t="s">
        <v>30</v>
      </c>
      <c r="C187" s="31" t="s">
        <v>30</v>
      </c>
    </row>
    <row r="188" spans="1:3" x14ac:dyDescent="0.2">
      <c r="A188" s="25" t="s">
        <v>204</v>
      </c>
      <c r="B188" s="31">
        <v>13120</v>
      </c>
      <c r="C188" s="31">
        <v>22937.25</v>
      </c>
    </row>
    <row r="189" spans="1:3" x14ac:dyDescent="0.2">
      <c r="A189" s="25"/>
      <c r="B189" s="31"/>
      <c r="C189" s="31"/>
    </row>
    <row r="190" spans="1:3" x14ac:dyDescent="0.2">
      <c r="A190" s="27" t="s">
        <v>17</v>
      </c>
      <c r="B190" s="32" t="s">
        <v>30</v>
      </c>
      <c r="C190" s="32" t="s">
        <v>30</v>
      </c>
    </row>
    <row r="191" spans="1:3" x14ac:dyDescent="0.2">
      <c r="B191" s="29"/>
      <c r="C191" s="29"/>
    </row>
    <row r="192" spans="1:3" x14ac:dyDescent="0.2">
      <c r="A192" s="30" t="s">
        <v>16</v>
      </c>
      <c r="B192" s="29"/>
      <c r="C192" s="29"/>
    </row>
    <row r="193" spans="2:3" x14ac:dyDescent="0.2">
      <c r="B193" s="29"/>
      <c r="C193" s="29"/>
    </row>
    <row r="194" spans="2:3" x14ac:dyDescent="0.2">
      <c r="B194" s="29"/>
      <c r="C194" s="29"/>
    </row>
    <row r="195" spans="2:3" x14ac:dyDescent="0.2">
      <c r="B195" s="29"/>
      <c r="C195" s="29"/>
    </row>
    <row r="196" spans="2:3" x14ac:dyDescent="0.2">
      <c r="B196" s="29"/>
      <c r="C196" s="29"/>
    </row>
    <row r="197" spans="2:3" x14ac:dyDescent="0.2">
      <c r="B197" s="29"/>
      <c r="C197" s="29"/>
    </row>
    <row r="198" spans="2:3" x14ac:dyDescent="0.2">
      <c r="B198" s="29"/>
      <c r="C198" s="29"/>
    </row>
    <row r="199" spans="2:3" x14ac:dyDescent="0.2">
      <c r="B199" s="29"/>
      <c r="C199" s="29"/>
    </row>
  </sheetData>
  <mergeCells count="2">
    <mergeCell ref="A1:C2"/>
    <mergeCell ref="B4:C4"/>
  </mergeCells>
  <pageMargins left="0.75" right="0.75" top="1" bottom="1" header="0" footer="0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28"/>
  <sheetViews>
    <sheetView showGridLines="0" workbookViewId="0">
      <selection activeCell="D1" sqref="D1:G1048576"/>
    </sheetView>
  </sheetViews>
  <sheetFormatPr baseColWidth="10" defaultRowHeight="15" x14ac:dyDescent="0.2"/>
  <cols>
    <col min="1" max="1" width="46.25" style="17" customWidth="1"/>
    <col min="2" max="2" width="15.125" style="17" customWidth="1"/>
    <col min="3" max="3" width="14.375" style="17" bestFit="1" customWidth="1"/>
    <col min="4" max="7" width="11" style="8"/>
    <col min="8" max="16384" width="11" style="17"/>
  </cols>
  <sheetData>
    <row r="1" spans="1:7" x14ac:dyDescent="0.2">
      <c r="A1" s="63" t="s">
        <v>248</v>
      </c>
      <c r="B1" s="63"/>
      <c r="C1" s="63"/>
    </row>
    <row r="2" spans="1:7" x14ac:dyDescent="0.2">
      <c r="A2" s="63"/>
      <c r="B2" s="63"/>
      <c r="C2" s="63"/>
    </row>
    <row r="3" spans="1:7" s="18" customFormat="1" x14ac:dyDescent="0.2">
      <c r="D3" s="8"/>
      <c r="E3" s="8"/>
      <c r="F3" s="8"/>
      <c r="G3" s="8"/>
    </row>
    <row r="4" spans="1:7" x14ac:dyDescent="0.2">
      <c r="A4" s="19"/>
      <c r="B4" s="65" t="s">
        <v>206</v>
      </c>
      <c r="C4" s="65"/>
    </row>
    <row r="5" spans="1:7" x14ac:dyDescent="0.2">
      <c r="A5" s="17" t="s">
        <v>465</v>
      </c>
      <c r="B5" s="20" t="s">
        <v>10</v>
      </c>
      <c r="C5" s="20" t="s">
        <v>12</v>
      </c>
    </row>
    <row r="6" spans="1:7" x14ac:dyDescent="0.2">
      <c r="A6" s="21"/>
      <c r="B6" s="22" t="s">
        <v>15</v>
      </c>
      <c r="C6" s="22" t="s">
        <v>14</v>
      </c>
    </row>
    <row r="8" spans="1:7" s="18" customFormat="1" x14ac:dyDescent="0.2">
      <c r="A8" s="23" t="s">
        <v>0</v>
      </c>
      <c r="B8" s="24">
        <v>18852657175</v>
      </c>
      <c r="C8" s="24">
        <v>30838193290.16</v>
      </c>
      <c r="D8" s="8"/>
      <c r="E8" s="8"/>
      <c r="F8" s="8"/>
      <c r="G8" s="8"/>
    </row>
    <row r="9" spans="1:7" x14ac:dyDescent="0.2">
      <c r="A9" s="25"/>
      <c r="B9" s="26"/>
      <c r="C9" s="26"/>
    </row>
    <row r="10" spans="1:7" x14ac:dyDescent="0.2">
      <c r="A10" s="25" t="s">
        <v>26</v>
      </c>
      <c r="B10" s="26">
        <v>2052467955</v>
      </c>
      <c r="C10" s="26">
        <v>3827455540.1100001</v>
      </c>
      <c r="D10" s="70">
        <f>+B10/$B$8</f>
        <v>0.10886889502885155</v>
      </c>
      <c r="F10" s="8" t="str" cm="1">
        <f t="array" ref="F10:F152">+_xlfn.UNIQUE(A10:A155)</f>
        <v>AFRICA</v>
      </c>
      <c r="G10" s="70">
        <f>+SUMIF(A10:A155,F10,D10:D155)</f>
        <v>0.10886889502885155</v>
      </c>
    </row>
    <row r="11" spans="1:7" x14ac:dyDescent="0.2">
      <c r="A11" s="25" t="s">
        <v>27</v>
      </c>
      <c r="B11" s="26">
        <v>1161725</v>
      </c>
      <c r="C11" s="26">
        <v>319660.79999999999</v>
      </c>
      <c r="D11" s="70">
        <f t="shared" ref="D11:D74" si="0">+B11/$B$8</f>
        <v>6.1621287079920611E-5</v>
      </c>
      <c r="F11" s="8" t="str">
        <v xml:space="preserve">Burkina Faso </v>
      </c>
      <c r="G11" s="70">
        <f t="shared" ref="G11:G74" si="1">+SUMIF(A11:A156,F11,D11:D156)</f>
        <v>6.1621287079920611E-5</v>
      </c>
    </row>
    <row r="12" spans="1:7" x14ac:dyDescent="0.2">
      <c r="A12" s="25" t="s">
        <v>28</v>
      </c>
      <c r="B12" s="26">
        <v>757269769</v>
      </c>
      <c r="C12" s="26">
        <v>1494083426.8399999</v>
      </c>
      <c r="D12" s="70">
        <f t="shared" si="0"/>
        <v>4.0167800324942791E-2</v>
      </c>
      <c r="F12" s="8" t="str">
        <v xml:space="preserve">Argelia </v>
      </c>
      <c r="G12" s="70">
        <f t="shared" si="1"/>
        <v>4.0167800324942791E-2</v>
      </c>
    </row>
    <row r="13" spans="1:7" x14ac:dyDescent="0.2">
      <c r="A13" s="25" t="s">
        <v>207</v>
      </c>
      <c r="B13" s="26">
        <v>75275</v>
      </c>
      <c r="C13" s="26">
        <v>345300</v>
      </c>
      <c r="D13" s="70">
        <f t="shared" si="0"/>
        <v>3.9928058576177874E-6</v>
      </c>
      <c r="F13" s="8" t="str">
        <v xml:space="preserve">Burundi </v>
      </c>
      <c r="G13" s="70">
        <f t="shared" si="1"/>
        <v>3.9928058576177874E-6</v>
      </c>
    </row>
    <row r="14" spans="1:7" x14ac:dyDescent="0.2">
      <c r="A14" s="25" t="s">
        <v>31</v>
      </c>
      <c r="B14" s="26">
        <v>9871032</v>
      </c>
      <c r="C14" s="26">
        <v>19977766.800000001</v>
      </c>
      <c r="D14" s="70">
        <f t="shared" si="0"/>
        <v>5.235883678556309E-4</v>
      </c>
      <c r="F14" s="8" t="str">
        <v xml:space="preserve">Camerún </v>
      </c>
      <c r="G14" s="70">
        <f t="shared" si="1"/>
        <v>5.235883678556309E-4</v>
      </c>
    </row>
    <row r="15" spans="1:7" x14ac:dyDescent="0.2">
      <c r="A15" s="25" t="s">
        <v>33</v>
      </c>
      <c r="B15" s="26">
        <v>4459039</v>
      </c>
      <c r="C15" s="26">
        <v>10354135.470000001</v>
      </c>
      <c r="D15" s="70">
        <f t="shared" si="0"/>
        <v>2.3652045218925486E-4</v>
      </c>
      <c r="F15" s="8" t="str">
        <v xml:space="preserve">Congo </v>
      </c>
      <c r="G15" s="70">
        <f t="shared" si="1"/>
        <v>2.3652045218925486E-4</v>
      </c>
    </row>
    <row r="16" spans="1:7" x14ac:dyDescent="0.2">
      <c r="A16" s="25" t="s">
        <v>34</v>
      </c>
      <c r="B16" s="26">
        <v>4944851</v>
      </c>
      <c r="C16" s="26">
        <v>5466600.1600000001</v>
      </c>
      <c r="D16" s="70">
        <f t="shared" si="0"/>
        <v>2.6228933959278875E-4</v>
      </c>
      <c r="F16" s="8" t="str">
        <v>Rep Democrática del Congo (ex Zaire)</v>
      </c>
      <c r="G16" s="70">
        <f t="shared" si="1"/>
        <v>2.6228933959278875E-4</v>
      </c>
    </row>
    <row r="17" spans="1:7" x14ac:dyDescent="0.2">
      <c r="A17" s="25" t="s">
        <v>35</v>
      </c>
      <c r="B17" s="26">
        <v>7607577</v>
      </c>
      <c r="C17" s="26">
        <v>13886079.460000001</v>
      </c>
      <c r="D17" s="70">
        <f t="shared" si="0"/>
        <v>4.0352810372472071E-4</v>
      </c>
      <c r="F17" s="8" t="str">
        <v xml:space="preserve">Costa de Marfil </v>
      </c>
      <c r="G17" s="70">
        <f t="shared" si="1"/>
        <v>4.0352810372472071E-4</v>
      </c>
    </row>
    <row r="18" spans="1:7" x14ac:dyDescent="0.2">
      <c r="A18" s="25" t="s">
        <v>36</v>
      </c>
      <c r="B18" s="26">
        <v>431250</v>
      </c>
      <c r="C18" s="26">
        <v>100000</v>
      </c>
      <c r="D18" s="70">
        <f t="shared" si="0"/>
        <v>2.2874759562904959E-5</v>
      </c>
      <c r="F18" s="8" t="str">
        <v xml:space="preserve">Chad </v>
      </c>
      <c r="G18" s="70">
        <f t="shared" si="1"/>
        <v>2.2874759562904959E-5</v>
      </c>
    </row>
    <row r="19" spans="1:7" x14ac:dyDescent="0.2">
      <c r="A19" s="25" t="s">
        <v>37</v>
      </c>
      <c r="B19" s="26">
        <v>395557</v>
      </c>
      <c r="C19" s="26">
        <v>259166.4</v>
      </c>
      <c r="D19" s="70">
        <f t="shared" si="0"/>
        <v>2.0981498593446946E-5</v>
      </c>
      <c r="F19" s="8" t="str">
        <v xml:space="preserve">Benin </v>
      </c>
      <c r="G19" s="70">
        <f t="shared" si="1"/>
        <v>2.0981498593446946E-5</v>
      </c>
    </row>
    <row r="20" spans="1:7" x14ac:dyDescent="0.2">
      <c r="A20" s="25" t="s">
        <v>38</v>
      </c>
      <c r="B20" s="26">
        <v>606887768</v>
      </c>
      <c r="C20" s="26">
        <v>1073135476.24</v>
      </c>
      <c r="D20" s="70">
        <f t="shared" si="0"/>
        <v>3.2191099767346194E-2</v>
      </c>
      <c r="F20" s="8" t="str">
        <v xml:space="preserve">Egipto </v>
      </c>
      <c r="G20" s="70">
        <f t="shared" si="1"/>
        <v>3.2191099767346194E-2</v>
      </c>
    </row>
    <row r="21" spans="1:7" x14ac:dyDescent="0.2">
      <c r="A21" s="25" t="s">
        <v>39</v>
      </c>
      <c r="B21" s="26">
        <v>1407376</v>
      </c>
      <c r="C21" s="26">
        <v>548684.06000000006</v>
      </c>
      <c r="D21" s="70">
        <f t="shared" si="0"/>
        <v>7.4651333599079256E-5</v>
      </c>
      <c r="F21" s="8" t="str">
        <v xml:space="preserve">Gabón </v>
      </c>
      <c r="G21" s="70">
        <f t="shared" si="1"/>
        <v>7.4651333599079256E-5</v>
      </c>
    </row>
    <row r="22" spans="1:7" x14ac:dyDescent="0.2">
      <c r="A22" s="25" t="s">
        <v>40</v>
      </c>
      <c r="B22" s="26">
        <v>358794</v>
      </c>
      <c r="C22" s="26">
        <v>159493.5</v>
      </c>
      <c r="D22" s="70">
        <f t="shared" si="0"/>
        <v>1.903148169881257E-5</v>
      </c>
      <c r="F22" s="8" t="str">
        <v xml:space="preserve">Gambia </v>
      </c>
      <c r="G22" s="70">
        <f t="shared" si="1"/>
        <v>1.903148169881257E-5</v>
      </c>
    </row>
    <row r="23" spans="1:7" x14ac:dyDescent="0.2">
      <c r="A23" s="25" t="s">
        <v>41</v>
      </c>
      <c r="B23" s="26">
        <v>3408807</v>
      </c>
      <c r="C23" s="26">
        <v>1505874.81</v>
      </c>
      <c r="D23" s="70">
        <f t="shared" si="0"/>
        <v>1.8081307946979098E-4</v>
      </c>
      <c r="F23" s="8" t="str">
        <v xml:space="preserve">Ghana </v>
      </c>
      <c r="G23" s="70">
        <f t="shared" si="1"/>
        <v>1.8081307946979098E-4</v>
      </c>
    </row>
    <row r="24" spans="1:7" x14ac:dyDescent="0.2">
      <c r="A24" s="25" t="s">
        <v>42</v>
      </c>
      <c r="B24" s="26">
        <v>674884</v>
      </c>
      <c r="C24" s="26">
        <v>205499.79</v>
      </c>
      <c r="D24" s="70">
        <f t="shared" si="0"/>
        <v>3.579781851096011E-5</v>
      </c>
      <c r="F24" s="8" t="str">
        <v xml:space="preserve">Guinea </v>
      </c>
      <c r="G24" s="70">
        <f t="shared" si="1"/>
        <v>3.579781851096011E-5</v>
      </c>
    </row>
    <row r="25" spans="1:7" x14ac:dyDescent="0.2">
      <c r="A25" s="25" t="s">
        <v>43</v>
      </c>
      <c r="B25" s="26">
        <v>26600</v>
      </c>
      <c r="C25" s="26">
        <v>28000</v>
      </c>
      <c r="D25" s="70">
        <f t="shared" si="0"/>
        <v>1.4109416913003406E-6</v>
      </c>
      <c r="F25" s="8" t="str">
        <v xml:space="preserve">Guinea Ecuatorial </v>
      </c>
      <c r="G25" s="70">
        <f t="shared" si="1"/>
        <v>1.4109416913003406E-6</v>
      </c>
    </row>
    <row r="26" spans="1:7" x14ac:dyDescent="0.2">
      <c r="A26" s="25" t="s">
        <v>44</v>
      </c>
      <c r="B26" s="26">
        <v>4589840</v>
      </c>
      <c r="C26" s="26">
        <v>13853605.98</v>
      </c>
      <c r="D26" s="70">
        <f t="shared" si="0"/>
        <v>2.4345851926308102E-4</v>
      </c>
      <c r="F26" s="8" t="str">
        <v xml:space="preserve">Kenya </v>
      </c>
      <c r="G26" s="70">
        <f t="shared" si="1"/>
        <v>2.4345851926308102E-4</v>
      </c>
    </row>
    <row r="27" spans="1:7" x14ac:dyDescent="0.2">
      <c r="A27" s="25" t="s">
        <v>45</v>
      </c>
      <c r="B27" s="26">
        <v>251011</v>
      </c>
      <c r="C27" s="26">
        <v>194542.74</v>
      </c>
      <c r="D27" s="70">
        <f t="shared" si="0"/>
        <v>1.3314356574247735E-5</v>
      </c>
      <c r="F27" s="8" t="str">
        <v xml:space="preserve">Liberia </v>
      </c>
      <c r="G27" s="70">
        <f t="shared" si="1"/>
        <v>1.3314356574247735E-5</v>
      </c>
    </row>
    <row r="28" spans="1:7" x14ac:dyDescent="0.2">
      <c r="A28" s="25" t="s">
        <v>46</v>
      </c>
      <c r="B28" s="26">
        <v>22937420</v>
      </c>
      <c r="C28" s="26">
        <v>61203875.039999999</v>
      </c>
      <c r="D28" s="70">
        <f t="shared" si="0"/>
        <v>1.2166677507092578E-3</v>
      </c>
      <c r="F28" s="8" t="str">
        <v xml:space="preserve">Libia </v>
      </c>
      <c r="G28" s="70">
        <f t="shared" si="1"/>
        <v>1.2166677507092578E-3</v>
      </c>
    </row>
    <row r="29" spans="1:7" x14ac:dyDescent="0.2">
      <c r="A29" s="25" t="s">
        <v>47</v>
      </c>
      <c r="B29" s="26">
        <v>2872143</v>
      </c>
      <c r="C29" s="26">
        <v>2406000</v>
      </c>
      <c r="D29" s="70">
        <f t="shared" si="0"/>
        <v>1.5234685346152008E-4</v>
      </c>
      <c r="F29" s="8" t="str">
        <v xml:space="preserve">Madagascar </v>
      </c>
      <c r="G29" s="70">
        <f t="shared" si="1"/>
        <v>1.5234685346152008E-4</v>
      </c>
    </row>
    <row r="30" spans="1:7" x14ac:dyDescent="0.2">
      <c r="A30" s="25" t="s">
        <v>48</v>
      </c>
      <c r="B30" s="26">
        <v>158250</v>
      </c>
      <c r="C30" s="26">
        <v>50000</v>
      </c>
      <c r="D30" s="70">
        <f t="shared" si="0"/>
        <v>8.3940422048225154E-6</v>
      </c>
      <c r="F30" s="8" t="str">
        <v xml:space="preserve">Malawi </v>
      </c>
      <c r="G30" s="70">
        <f t="shared" si="1"/>
        <v>8.3940422048225154E-6</v>
      </c>
    </row>
    <row r="31" spans="1:7" x14ac:dyDescent="0.2">
      <c r="A31" s="25" t="s">
        <v>49</v>
      </c>
      <c r="B31" s="26">
        <v>2901252</v>
      </c>
      <c r="C31" s="26">
        <v>3330259.6</v>
      </c>
      <c r="D31" s="70">
        <f t="shared" si="0"/>
        <v>1.5389087984092088E-4</v>
      </c>
      <c r="F31" s="8" t="str">
        <v xml:space="preserve">Mali </v>
      </c>
      <c r="G31" s="70">
        <f t="shared" si="1"/>
        <v>1.5389087984092088E-4</v>
      </c>
    </row>
    <row r="32" spans="1:7" x14ac:dyDescent="0.2">
      <c r="A32" s="25" t="s">
        <v>50</v>
      </c>
      <c r="B32" s="26">
        <v>102985016</v>
      </c>
      <c r="C32" s="26">
        <v>208216637.97</v>
      </c>
      <c r="D32" s="70">
        <f t="shared" si="0"/>
        <v>5.462626039610249E-3</v>
      </c>
      <c r="F32" s="8" t="str">
        <v xml:space="preserve">Marruecos </v>
      </c>
      <c r="G32" s="70">
        <f t="shared" si="1"/>
        <v>5.462626039610249E-3</v>
      </c>
    </row>
    <row r="33" spans="1:7" x14ac:dyDescent="0.2">
      <c r="A33" s="25" t="s">
        <v>51</v>
      </c>
      <c r="B33" s="26">
        <v>24546650</v>
      </c>
      <c r="C33" s="26">
        <v>45478268.719999999</v>
      </c>
      <c r="D33" s="70">
        <f t="shared" si="0"/>
        <v>1.3020260100284776E-3</v>
      </c>
      <c r="F33" s="8" t="str">
        <v xml:space="preserve">Mauricio </v>
      </c>
      <c r="G33" s="70">
        <f t="shared" si="1"/>
        <v>1.3020260100284776E-3</v>
      </c>
    </row>
    <row r="34" spans="1:7" x14ac:dyDescent="0.2">
      <c r="A34" s="25" t="s">
        <v>52</v>
      </c>
      <c r="B34" s="26">
        <v>3224342</v>
      </c>
      <c r="C34" s="26">
        <v>5245837.91</v>
      </c>
      <c r="D34" s="70">
        <f t="shared" si="0"/>
        <v>1.7102851709814747E-4</v>
      </c>
      <c r="F34" s="8" t="str">
        <v xml:space="preserve">Mauritania </v>
      </c>
      <c r="G34" s="70">
        <f t="shared" si="1"/>
        <v>1.7102851709814747E-4</v>
      </c>
    </row>
    <row r="35" spans="1:7" x14ac:dyDescent="0.2">
      <c r="A35" s="25" t="s">
        <v>53</v>
      </c>
      <c r="B35" s="26">
        <v>17469734</v>
      </c>
      <c r="C35" s="26">
        <v>3876264</v>
      </c>
      <c r="D35" s="70">
        <f t="shared" si="0"/>
        <v>9.2664571565891215E-4</v>
      </c>
      <c r="F35" s="8" t="str">
        <v xml:space="preserve">Níger </v>
      </c>
      <c r="G35" s="70">
        <f t="shared" si="1"/>
        <v>9.2664571565891215E-4</v>
      </c>
    </row>
    <row r="36" spans="1:7" x14ac:dyDescent="0.2">
      <c r="A36" s="25" t="s">
        <v>54</v>
      </c>
      <c r="B36" s="26">
        <v>20614522</v>
      </c>
      <c r="C36" s="26">
        <v>18078966.280000001</v>
      </c>
      <c r="D36" s="70">
        <f t="shared" si="0"/>
        <v>1.0934544562416571E-3</v>
      </c>
      <c r="F36" s="8" t="str">
        <v xml:space="preserve">Nigeria </v>
      </c>
      <c r="G36" s="70">
        <f t="shared" si="1"/>
        <v>1.0934544562416571E-3</v>
      </c>
    </row>
    <row r="37" spans="1:7" x14ac:dyDescent="0.2">
      <c r="A37" s="25" t="s">
        <v>55</v>
      </c>
      <c r="B37" s="26">
        <v>1633101</v>
      </c>
      <c r="C37" s="26">
        <v>1521542.47</v>
      </c>
      <c r="D37" s="70">
        <f t="shared" si="0"/>
        <v>8.6624446879860051E-5</v>
      </c>
      <c r="F37" s="8" t="str">
        <v xml:space="preserve">Zimbabwe </v>
      </c>
      <c r="G37" s="70">
        <f t="shared" si="1"/>
        <v>8.6624446879860051E-5</v>
      </c>
    </row>
    <row r="38" spans="1:7" x14ac:dyDescent="0.2">
      <c r="A38" s="25" t="s">
        <v>56</v>
      </c>
      <c r="B38" s="26">
        <v>175410</v>
      </c>
      <c r="C38" s="26">
        <v>698657</v>
      </c>
      <c r="D38" s="70">
        <f t="shared" si="0"/>
        <v>9.3042587244734107E-6</v>
      </c>
      <c r="F38" s="8" t="str">
        <v xml:space="preserve">Rwanda </v>
      </c>
      <c r="G38" s="70">
        <f t="shared" si="1"/>
        <v>9.3042587244734107E-6</v>
      </c>
    </row>
    <row r="39" spans="1:7" x14ac:dyDescent="0.2">
      <c r="A39" s="25" t="s">
        <v>57</v>
      </c>
      <c r="B39" s="26">
        <v>30496639</v>
      </c>
      <c r="C39" s="26">
        <v>41451139.409999996</v>
      </c>
      <c r="D39" s="70">
        <f t="shared" si="0"/>
        <v>1.617630804873531E-3</v>
      </c>
      <c r="F39" s="8" t="str">
        <v xml:space="preserve">Senegal </v>
      </c>
      <c r="G39" s="70">
        <f t="shared" si="1"/>
        <v>1.617630804873531E-3</v>
      </c>
    </row>
    <row r="40" spans="1:7" x14ac:dyDescent="0.2">
      <c r="A40" s="25" t="s">
        <v>58</v>
      </c>
      <c r="B40" s="26">
        <v>284868</v>
      </c>
      <c r="C40" s="26">
        <v>90541.57</v>
      </c>
      <c r="D40" s="70">
        <f t="shared" si="0"/>
        <v>1.5110230741253587E-5</v>
      </c>
      <c r="F40" s="8" t="str">
        <v xml:space="preserve">Sierra Leona </v>
      </c>
      <c r="G40" s="70">
        <f t="shared" si="1"/>
        <v>1.5110230741253587E-5</v>
      </c>
    </row>
    <row r="41" spans="1:7" x14ac:dyDescent="0.2">
      <c r="A41" s="25" t="s">
        <v>59</v>
      </c>
      <c r="B41" s="26">
        <v>3571826</v>
      </c>
      <c r="C41" s="26">
        <v>932800</v>
      </c>
      <c r="D41" s="70">
        <f t="shared" si="0"/>
        <v>1.8946008336355376E-4</v>
      </c>
      <c r="F41" s="8" t="str">
        <v xml:space="preserve">Sudán </v>
      </c>
      <c r="G41" s="70">
        <f t="shared" si="1"/>
        <v>1.8946008336355376E-4</v>
      </c>
    </row>
    <row r="42" spans="1:7" x14ac:dyDescent="0.2">
      <c r="A42" s="25" t="s">
        <v>60</v>
      </c>
      <c r="B42" s="26">
        <v>12562259</v>
      </c>
      <c r="C42" s="26">
        <v>19255471.399999999</v>
      </c>
      <c r="D42" s="70">
        <f t="shared" si="0"/>
        <v>6.6633890827116253E-4</v>
      </c>
      <c r="F42" s="8" t="str">
        <v xml:space="preserve">Tanzania </v>
      </c>
      <c r="G42" s="70">
        <f t="shared" si="1"/>
        <v>6.6633890827116253E-4</v>
      </c>
    </row>
    <row r="43" spans="1:7" x14ac:dyDescent="0.2">
      <c r="A43" s="25" t="s">
        <v>61</v>
      </c>
      <c r="B43" s="26">
        <v>1345249</v>
      </c>
      <c r="C43" s="26">
        <v>498824.66</v>
      </c>
      <c r="D43" s="70">
        <f t="shared" si="0"/>
        <v>7.1355936063161347E-5</v>
      </c>
      <c r="F43" s="8" t="str">
        <v xml:space="preserve">Togo </v>
      </c>
      <c r="G43" s="70">
        <f t="shared" si="1"/>
        <v>7.1355936063161347E-5</v>
      </c>
    </row>
    <row r="44" spans="1:7" x14ac:dyDescent="0.2">
      <c r="A44" s="25" t="s">
        <v>62</v>
      </c>
      <c r="B44" s="26">
        <v>77481585</v>
      </c>
      <c r="C44" s="26">
        <v>109815842.5</v>
      </c>
      <c r="D44" s="70">
        <f t="shared" si="0"/>
        <v>4.1098495708470333E-3</v>
      </c>
      <c r="F44" s="8" t="str">
        <v xml:space="preserve">Túnez </v>
      </c>
      <c r="G44" s="70">
        <f t="shared" si="1"/>
        <v>4.1098495708470333E-3</v>
      </c>
    </row>
    <row r="45" spans="1:7" x14ac:dyDescent="0.2">
      <c r="A45" s="25" t="s">
        <v>63</v>
      </c>
      <c r="B45" s="26">
        <v>933223</v>
      </c>
      <c r="C45" s="26">
        <v>3096088.94</v>
      </c>
      <c r="D45" s="70">
        <f t="shared" si="0"/>
        <v>4.9500873608284878E-5</v>
      </c>
      <c r="F45" s="8" t="str">
        <v xml:space="preserve">Uganda </v>
      </c>
      <c r="G45" s="70">
        <f t="shared" si="1"/>
        <v>4.9500873608284878E-5</v>
      </c>
    </row>
    <row r="46" spans="1:7" x14ac:dyDescent="0.2">
      <c r="A46" s="25" t="s">
        <v>64</v>
      </c>
      <c r="B46" s="26">
        <v>96250</v>
      </c>
      <c r="C46" s="26">
        <v>25000</v>
      </c>
      <c r="D46" s="70">
        <f t="shared" si="0"/>
        <v>5.1053811198367585E-6</v>
      </c>
      <c r="F46" s="8" t="str">
        <v xml:space="preserve">Zambia </v>
      </c>
      <c r="G46" s="70">
        <f t="shared" si="1"/>
        <v>5.1053811198367585E-6</v>
      </c>
    </row>
    <row r="47" spans="1:7" x14ac:dyDescent="0.2">
      <c r="A47" s="25" t="s">
        <v>66</v>
      </c>
      <c r="B47" s="26">
        <v>3568708</v>
      </c>
      <c r="C47" s="26">
        <v>9420443.8399999999</v>
      </c>
      <c r="D47" s="70">
        <f t="shared" si="0"/>
        <v>1.8929469553673141E-4</v>
      </c>
      <c r="F47" s="8" t="str">
        <v>Territorios vinculados a Francia</v>
      </c>
      <c r="G47" s="70">
        <f t="shared" si="1"/>
        <v>1.9670123768640585E-4</v>
      </c>
    </row>
    <row r="48" spans="1:7" x14ac:dyDescent="0.2">
      <c r="A48" s="25" t="s">
        <v>67</v>
      </c>
      <c r="B48" s="26">
        <v>32260006</v>
      </c>
      <c r="C48" s="26">
        <v>28727922.059999999</v>
      </c>
      <c r="D48" s="70">
        <f t="shared" si="0"/>
        <v>1.7111649408646291E-3</v>
      </c>
      <c r="F48" s="8" t="str">
        <v xml:space="preserve">Angola </v>
      </c>
      <c r="G48" s="70"/>
    </row>
    <row r="49" spans="1:7" x14ac:dyDescent="0.2">
      <c r="A49" s="25" t="s">
        <v>68</v>
      </c>
      <c r="B49" s="26">
        <v>922276</v>
      </c>
      <c r="C49" s="26">
        <v>3318004.8</v>
      </c>
      <c r="D49" s="70">
        <f t="shared" si="0"/>
        <v>4.8920212755101987E-5</v>
      </c>
      <c r="F49" s="8" t="str">
        <v xml:space="preserve">Cabo Verde </v>
      </c>
      <c r="G49" s="70">
        <f t="shared" si="1"/>
        <v>4.8920212755101987E-5</v>
      </c>
    </row>
    <row r="50" spans="1:7" x14ac:dyDescent="0.2">
      <c r="A50" s="25" t="s">
        <v>69</v>
      </c>
      <c r="B50" s="26">
        <v>40665760</v>
      </c>
      <c r="C50" s="26">
        <v>44477772.57</v>
      </c>
      <c r="D50" s="70">
        <f t="shared" si="0"/>
        <v>2.1570306839253286E-3</v>
      </c>
      <c r="F50" s="8" t="str">
        <v xml:space="preserve">Mozambique </v>
      </c>
      <c r="G50" s="70">
        <f t="shared" si="1"/>
        <v>2.1570306839253286E-3</v>
      </c>
    </row>
    <row r="51" spans="1:7" x14ac:dyDescent="0.2">
      <c r="A51" s="25" t="s">
        <v>70</v>
      </c>
      <c r="B51" s="26" t="s">
        <v>30</v>
      </c>
      <c r="C51" s="26" t="s">
        <v>30</v>
      </c>
      <c r="D51" s="70" t="e">
        <f t="shared" si="0"/>
        <v>#VALUE!</v>
      </c>
      <c r="F51" s="8" t="str">
        <v xml:space="preserve">Seychelles </v>
      </c>
      <c r="G51" s="70" t="e">
        <f t="shared" si="1"/>
        <v>#VALUE!</v>
      </c>
    </row>
    <row r="52" spans="1:7" x14ac:dyDescent="0.2">
      <c r="A52" s="25" t="s">
        <v>71</v>
      </c>
      <c r="B52" s="26">
        <v>1214051</v>
      </c>
      <c r="C52" s="26">
        <v>5374241.5999999996</v>
      </c>
      <c r="D52" s="70">
        <f t="shared" si="0"/>
        <v>6.4396810949807128E-5</v>
      </c>
      <c r="F52" s="8" t="str">
        <v xml:space="preserve">Djibouti </v>
      </c>
      <c r="G52" s="70">
        <f t="shared" si="1"/>
        <v>6.4396810949807128E-5</v>
      </c>
    </row>
    <row r="53" spans="1:7" x14ac:dyDescent="0.2">
      <c r="A53" s="25" t="s">
        <v>73</v>
      </c>
      <c r="B53" s="26">
        <v>15132</v>
      </c>
      <c r="C53" s="26">
        <v>38358.6</v>
      </c>
      <c r="D53" s="70">
        <f t="shared" si="0"/>
        <v>8.0264547641942684E-7</v>
      </c>
      <c r="F53" s="8" t="str">
        <v xml:space="preserve">Guinea Bissau </v>
      </c>
      <c r="G53" s="70">
        <f t="shared" si="1"/>
        <v>8.0264547641942684E-7</v>
      </c>
    </row>
    <row r="54" spans="1:7" x14ac:dyDescent="0.2">
      <c r="A54" s="25" t="s">
        <v>75</v>
      </c>
      <c r="B54" s="26">
        <v>330454</v>
      </c>
      <c r="C54" s="26">
        <v>992393</v>
      </c>
      <c r="D54" s="70">
        <f t="shared" si="0"/>
        <v>1.7528245325449726E-5</v>
      </c>
      <c r="F54" s="8" t="str">
        <v xml:space="preserve">Namibia </v>
      </c>
      <c r="G54" s="70">
        <f t="shared" si="1"/>
        <v>1.7528245325449726E-5</v>
      </c>
    </row>
    <row r="55" spans="1:7" x14ac:dyDescent="0.2">
      <c r="A55" s="25" t="s">
        <v>76</v>
      </c>
      <c r="B55" s="26">
        <v>243332224</v>
      </c>
      <c r="C55" s="26">
        <v>575328129.12</v>
      </c>
      <c r="D55" s="70">
        <f t="shared" si="0"/>
        <v>1.2907051867610275E-2</v>
      </c>
      <c r="F55" s="8" t="str">
        <v xml:space="preserve">Sudáfrica </v>
      </c>
      <c r="G55" s="70">
        <f t="shared" si="1"/>
        <v>1.2907051867610275E-2</v>
      </c>
    </row>
    <row r="56" spans="1:7" x14ac:dyDescent="0.2">
      <c r="A56" s="25" t="s">
        <v>77</v>
      </c>
      <c r="B56" s="26">
        <v>48430</v>
      </c>
      <c r="C56" s="26">
        <v>82944</v>
      </c>
      <c r="D56" s="70">
        <f t="shared" si="0"/>
        <v>2.5688686507396801E-6</v>
      </c>
      <c r="F56" s="8" t="str">
        <v xml:space="preserve">Etiopía </v>
      </c>
      <c r="G56" s="70">
        <f t="shared" si="1"/>
        <v>2.5688686507396801E-6</v>
      </c>
    </row>
    <row r="57" spans="1:7" x14ac:dyDescent="0.2">
      <c r="A57" s="25"/>
      <c r="B57" s="26"/>
      <c r="C57" s="26"/>
      <c r="D57" s="70">
        <f t="shared" si="0"/>
        <v>0</v>
      </c>
      <c r="F57" s="8">
        <v>0</v>
      </c>
      <c r="G57" s="70">
        <f t="shared" si="1"/>
        <v>0</v>
      </c>
    </row>
    <row r="58" spans="1:7" x14ac:dyDescent="0.2">
      <c r="A58" s="25" t="s">
        <v>78</v>
      </c>
      <c r="B58" s="26">
        <v>5357222496</v>
      </c>
      <c r="C58" s="26">
        <v>4962972933.9799995</v>
      </c>
      <c r="D58" s="70">
        <f t="shared" si="0"/>
        <v>0.28416272816460419</v>
      </c>
      <c r="F58" s="8" t="str">
        <v>AMERICA</v>
      </c>
      <c r="G58" s="70">
        <f t="shared" si="1"/>
        <v>0.28416272816460419</v>
      </c>
    </row>
    <row r="59" spans="1:7" x14ac:dyDescent="0.2">
      <c r="A59" s="25" t="s">
        <v>79</v>
      </c>
      <c r="B59" s="26">
        <v>1627215</v>
      </c>
      <c r="C59" s="26">
        <v>719658.99</v>
      </c>
      <c r="D59" s="70">
        <f t="shared" si="0"/>
        <v>8.6312236248469311E-5</v>
      </c>
      <c r="F59" s="8" t="str">
        <v xml:space="preserve">Barbados </v>
      </c>
      <c r="G59" s="70">
        <f t="shared" si="1"/>
        <v>8.6312236248469311E-5</v>
      </c>
    </row>
    <row r="60" spans="1:7" x14ac:dyDescent="0.2">
      <c r="A60" s="25" t="s">
        <v>80</v>
      </c>
      <c r="B60" s="26">
        <v>112235922</v>
      </c>
      <c r="C60" s="26">
        <v>91085455.719999999</v>
      </c>
      <c r="D60" s="70">
        <f t="shared" si="0"/>
        <v>5.9533211132080108E-3</v>
      </c>
      <c r="F60" s="8" t="str">
        <v xml:space="preserve">Bolivia </v>
      </c>
      <c r="G60" s="70">
        <f t="shared" si="1"/>
        <v>5.9533211132080108E-3</v>
      </c>
    </row>
    <row r="61" spans="1:7" x14ac:dyDescent="0.2">
      <c r="A61" s="25" t="s">
        <v>81</v>
      </c>
      <c r="B61" s="26">
        <v>1979589230</v>
      </c>
      <c r="C61" s="26">
        <v>1026317007.0599999</v>
      </c>
      <c r="D61" s="70">
        <f t="shared" si="0"/>
        <v>0.10500319459609544</v>
      </c>
      <c r="F61" s="8" t="str">
        <v xml:space="preserve">Brasil </v>
      </c>
      <c r="G61" s="70">
        <f t="shared" si="1"/>
        <v>0.10500319459609544</v>
      </c>
    </row>
    <row r="62" spans="1:7" x14ac:dyDescent="0.2">
      <c r="A62" s="25" t="s">
        <v>82</v>
      </c>
      <c r="B62" s="26">
        <v>6242977</v>
      </c>
      <c r="C62" s="26">
        <v>1508420.68</v>
      </c>
      <c r="D62" s="70">
        <f t="shared" si="0"/>
        <v>3.3114573410259873E-4</v>
      </c>
      <c r="F62" s="8" t="str">
        <v xml:space="preserve">Canadá </v>
      </c>
      <c r="G62" s="70">
        <f t="shared" si="1"/>
        <v>3.3114573410259873E-4</v>
      </c>
    </row>
    <row r="63" spans="1:7" x14ac:dyDescent="0.2">
      <c r="A63" s="25" t="s">
        <v>83</v>
      </c>
      <c r="B63" s="26">
        <v>464256954</v>
      </c>
      <c r="C63" s="26">
        <v>1128109785.5799999</v>
      </c>
      <c r="D63" s="70">
        <f t="shared" si="0"/>
        <v>2.4625544807319714E-2</v>
      </c>
      <c r="F63" s="8" t="str">
        <v xml:space="preserve">Colombia </v>
      </c>
      <c r="G63" s="70">
        <f t="shared" si="1"/>
        <v>2.4625544807319714E-2</v>
      </c>
    </row>
    <row r="64" spans="1:7" x14ac:dyDescent="0.2">
      <c r="A64" s="25" t="s">
        <v>84</v>
      </c>
      <c r="B64" s="26">
        <v>17072514</v>
      </c>
      <c r="C64" s="26">
        <v>6965280.6600000001</v>
      </c>
      <c r="D64" s="70">
        <f t="shared" si="0"/>
        <v>9.0557600668829852E-4</v>
      </c>
      <c r="F64" s="8" t="str">
        <v xml:space="preserve">Costa Rica </v>
      </c>
      <c r="G64" s="70">
        <f t="shared" si="1"/>
        <v>9.0557600668829852E-4</v>
      </c>
    </row>
    <row r="65" spans="1:7" x14ac:dyDescent="0.2">
      <c r="A65" s="25" t="s">
        <v>85</v>
      </c>
      <c r="B65" s="26">
        <v>18159015</v>
      </c>
      <c r="C65" s="26">
        <v>28612779.539999999</v>
      </c>
      <c r="D65" s="70">
        <f t="shared" si="0"/>
        <v>9.6320719309955837E-4</v>
      </c>
      <c r="F65" s="8" t="str">
        <v xml:space="preserve">Cuba </v>
      </c>
      <c r="G65" s="70">
        <f t="shared" si="1"/>
        <v>9.6320719309955837E-4</v>
      </c>
    </row>
    <row r="66" spans="1:7" x14ac:dyDescent="0.2">
      <c r="A66" s="25" t="s">
        <v>86</v>
      </c>
      <c r="B66" s="26">
        <v>365095958</v>
      </c>
      <c r="C66" s="26">
        <v>474976605.20999998</v>
      </c>
      <c r="D66" s="70">
        <f t="shared" si="0"/>
        <v>1.9365755957422483E-2</v>
      </c>
      <c r="F66" s="8" t="str">
        <v xml:space="preserve">Chile </v>
      </c>
      <c r="G66" s="70">
        <f t="shared" si="1"/>
        <v>1.9365755957422483E-2</v>
      </c>
    </row>
    <row r="67" spans="1:7" x14ac:dyDescent="0.2">
      <c r="A67" s="25" t="s">
        <v>87</v>
      </c>
      <c r="B67" s="26">
        <v>124941112</v>
      </c>
      <c r="C67" s="26">
        <v>126961536.59999999</v>
      </c>
      <c r="D67" s="70">
        <f t="shared" si="0"/>
        <v>6.6272414991814009E-3</v>
      </c>
      <c r="F67" s="8" t="str">
        <v xml:space="preserve">República Dominicana </v>
      </c>
      <c r="G67" s="70">
        <f t="shared" si="1"/>
        <v>6.6272414991814009E-3</v>
      </c>
    </row>
    <row r="68" spans="1:7" x14ac:dyDescent="0.2">
      <c r="A68" s="25" t="s">
        <v>88</v>
      </c>
      <c r="B68" s="26">
        <v>75921925</v>
      </c>
      <c r="C68" s="26">
        <v>135819958.34999999</v>
      </c>
      <c r="D68" s="70">
        <f t="shared" si="0"/>
        <v>4.0271206491081808E-3</v>
      </c>
      <c r="F68" s="8" t="str">
        <v xml:space="preserve">Ecuador </v>
      </c>
      <c r="G68" s="70">
        <f t="shared" si="1"/>
        <v>4.0271206491081808E-3</v>
      </c>
    </row>
    <row r="69" spans="1:7" x14ac:dyDescent="0.2">
      <c r="A69" s="25" t="s">
        <v>89</v>
      </c>
      <c r="B69" s="26">
        <v>435760</v>
      </c>
      <c r="C69" s="26">
        <v>166603.76</v>
      </c>
      <c r="D69" s="70">
        <f t="shared" si="0"/>
        <v>2.3113983135377308E-5</v>
      </c>
      <c r="F69" s="8" t="str">
        <v xml:space="preserve">El Salvador </v>
      </c>
      <c r="G69" s="70">
        <f t="shared" si="1"/>
        <v>2.3113983135377308E-5</v>
      </c>
    </row>
    <row r="70" spans="1:7" x14ac:dyDescent="0.2">
      <c r="A70" s="25" t="s">
        <v>90</v>
      </c>
      <c r="B70" s="26">
        <v>242012894</v>
      </c>
      <c r="C70" s="26">
        <v>137697899.66999999</v>
      </c>
      <c r="D70" s="70">
        <f t="shared" si="0"/>
        <v>1.28370707510094E-2</v>
      </c>
      <c r="F70" s="8" t="str">
        <v xml:space="preserve">Estados Unidos </v>
      </c>
      <c r="G70" s="70">
        <f t="shared" si="1"/>
        <v>1.28370707510094E-2</v>
      </c>
    </row>
    <row r="71" spans="1:7" x14ac:dyDescent="0.2">
      <c r="A71" s="25" t="s">
        <v>91</v>
      </c>
      <c r="B71" s="26">
        <v>42209983</v>
      </c>
      <c r="C71" s="26">
        <v>35322894.189999998</v>
      </c>
      <c r="D71" s="70">
        <f t="shared" si="0"/>
        <v>2.2389407820969406E-3</v>
      </c>
      <c r="F71" s="8" t="str">
        <v xml:space="preserve">Guatemala </v>
      </c>
      <c r="G71" s="70">
        <f t="shared" si="1"/>
        <v>2.2389407820969406E-3</v>
      </c>
    </row>
    <row r="72" spans="1:7" x14ac:dyDescent="0.2">
      <c r="A72" s="25" t="s">
        <v>92</v>
      </c>
      <c r="B72" s="26">
        <v>1093319</v>
      </c>
      <c r="C72" s="26">
        <v>319544.71999999997</v>
      </c>
      <c r="D72" s="70">
        <f t="shared" si="0"/>
        <v>5.7992833044766804E-5</v>
      </c>
      <c r="F72" s="8" t="str">
        <v xml:space="preserve">Guyana </v>
      </c>
      <c r="G72" s="70">
        <f t="shared" si="1"/>
        <v>5.7992833044766804E-5</v>
      </c>
    </row>
    <row r="73" spans="1:7" x14ac:dyDescent="0.2">
      <c r="A73" s="25" t="s">
        <v>93</v>
      </c>
      <c r="B73" s="26">
        <v>8042467</v>
      </c>
      <c r="C73" s="26">
        <v>7905064</v>
      </c>
      <c r="D73" s="70">
        <f t="shared" si="0"/>
        <v>4.2659593951906676E-4</v>
      </c>
      <c r="F73" s="8" t="str">
        <v xml:space="preserve">Haití </v>
      </c>
      <c r="G73" s="70">
        <f t="shared" si="1"/>
        <v>4.2659593951906676E-4</v>
      </c>
    </row>
    <row r="74" spans="1:7" x14ac:dyDescent="0.2">
      <c r="A74" s="25" t="s">
        <v>94</v>
      </c>
      <c r="B74" s="26">
        <v>1356413</v>
      </c>
      <c r="C74" s="26">
        <v>594620.4</v>
      </c>
      <c r="D74" s="70">
        <f t="shared" si="0"/>
        <v>7.1948107230141687E-5</v>
      </c>
      <c r="F74" s="8" t="str">
        <v xml:space="preserve">Honduras </v>
      </c>
      <c r="G74" s="70">
        <f t="shared" si="1"/>
        <v>7.1948107230141687E-5</v>
      </c>
    </row>
    <row r="75" spans="1:7" x14ac:dyDescent="0.2">
      <c r="A75" s="25" t="s">
        <v>95</v>
      </c>
      <c r="B75" s="26">
        <v>1811410</v>
      </c>
      <c r="C75" s="26">
        <v>649906.62</v>
      </c>
      <c r="D75" s="70">
        <f t="shared" ref="D75:D138" si="2">+B75/$B$8</f>
        <v>9.6082477031516914E-5</v>
      </c>
      <c r="F75" s="8" t="str">
        <v xml:space="preserve">Jamaica </v>
      </c>
      <c r="G75" s="70">
        <f t="shared" ref="G75:G138" si="3">+SUMIF(A75:A220,F75,D75:D220)</f>
        <v>9.6082477031516914E-5</v>
      </c>
    </row>
    <row r="76" spans="1:7" x14ac:dyDescent="0.2">
      <c r="A76" s="25" t="s">
        <v>96</v>
      </c>
      <c r="B76" s="26">
        <v>70859245</v>
      </c>
      <c r="C76" s="26">
        <v>18036478.859999999</v>
      </c>
      <c r="D76" s="70">
        <f t="shared" si="2"/>
        <v>3.7585813152092181E-3</v>
      </c>
      <c r="F76" s="8" t="str">
        <v xml:space="preserve">México </v>
      </c>
      <c r="G76" s="70">
        <f t="shared" si="3"/>
        <v>3.7585813152092181E-3</v>
      </c>
    </row>
    <row r="77" spans="1:7" x14ac:dyDescent="0.2">
      <c r="A77" s="25" t="s">
        <v>97</v>
      </c>
      <c r="B77" s="26">
        <v>18247438</v>
      </c>
      <c r="C77" s="26">
        <v>12673679.4</v>
      </c>
      <c r="D77" s="70">
        <f t="shared" si="2"/>
        <v>9.678974072788761E-4</v>
      </c>
      <c r="F77" s="8" t="str">
        <v xml:space="preserve">Nicaragua </v>
      </c>
      <c r="G77" s="70">
        <f t="shared" si="3"/>
        <v>9.678974072788761E-4</v>
      </c>
    </row>
    <row r="78" spans="1:7" x14ac:dyDescent="0.2">
      <c r="A78" s="25" t="s">
        <v>98</v>
      </c>
      <c r="B78" s="26">
        <v>51083314</v>
      </c>
      <c r="C78" s="26">
        <v>111124208.31999999</v>
      </c>
      <c r="D78" s="70">
        <f t="shared" si="2"/>
        <v>2.7096081749017429E-3</v>
      </c>
      <c r="F78" s="8" t="str">
        <v xml:space="preserve">Panamá </v>
      </c>
      <c r="G78" s="70">
        <f t="shared" si="3"/>
        <v>2.7096081749017429E-3</v>
      </c>
    </row>
    <row r="79" spans="1:7" x14ac:dyDescent="0.2">
      <c r="A79" s="25" t="s">
        <v>99</v>
      </c>
      <c r="B79" s="26">
        <v>287975844</v>
      </c>
      <c r="C79" s="26">
        <v>199001373.13999999</v>
      </c>
      <c r="D79" s="70">
        <f t="shared" si="2"/>
        <v>1.5275079864173046E-2</v>
      </c>
      <c r="F79" s="8" t="str">
        <v xml:space="preserve">Paraguay </v>
      </c>
      <c r="G79" s="70">
        <f t="shared" si="3"/>
        <v>1.5275079864173046E-2</v>
      </c>
    </row>
    <row r="80" spans="1:7" x14ac:dyDescent="0.2">
      <c r="A80" s="25" t="s">
        <v>100</v>
      </c>
      <c r="B80" s="26">
        <v>677598803</v>
      </c>
      <c r="C80" s="26">
        <v>840052258.28999996</v>
      </c>
      <c r="D80" s="70">
        <f t="shared" si="2"/>
        <v>3.5941819591274668E-2</v>
      </c>
      <c r="F80" s="8" t="str">
        <v xml:space="preserve">Perú </v>
      </c>
      <c r="G80" s="70">
        <f t="shared" si="3"/>
        <v>3.5941819591274668E-2</v>
      </c>
    </row>
    <row r="81" spans="1:7" x14ac:dyDescent="0.2">
      <c r="A81" s="25" t="s">
        <v>101</v>
      </c>
      <c r="B81" s="26">
        <v>4141298</v>
      </c>
      <c r="C81" s="26">
        <v>2942837.92</v>
      </c>
      <c r="D81" s="70">
        <f t="shared" si="2"/>
        <v>2.1966654151498938E-4</v>
      </c>
      <c r="F81" s="8" t="str">
        <v xml:space="preserve">Puerto Rico(Estado Asociado) </v>
      </c>
      <c r="G81" s="70">
        <f t="shared" si="3"/>
        <v>2.1966654151498938E-4</v>
      </c>
    </row>
    <row r="82" spans="1:7" x14ac:dyDescent="0.2">
      <c r="A82" s="25" t="s">
        <v>102</v>
      </c>
      <c r="B82" s="26">
        <v>7373487</v>
      </c>
      <c r="C82" s="26">
        <v>3019837.76</v>
      </c>
      <c r="D82" s="70">
        <f t="shared" si="2"/>
        <v>3.9111128641207047E-4</v>
      </c>
      <c r="F82" s="8" t="str">
        <v xml:space="preserve">Trinidad y Tobago </v>
      </c>
      <c r="G82" s="70">
        <f t="shared" si="3"/>
        <v>3.9111128641207047E-4</v>
      </c>
    </row>
    <row r="83" spans="1:7" x14ac:dyDescent="0.2">
      <c r="A83" s="25" t="s">
        <v>103</v>
      </c>
      <c r="B83" s="26">
        <v>228690381</v>
      </c>
      <c r="C83" s="26">
        <v>197272317.80000001</v>
      </c>
      <c r="D83" s="70">
        <f t="shared" si="2"/>
        <v>1.2130405750084935E-2</v>
      </c>
      <c r="F83" s="8" t="str">
        <v xml:space="preserve">Uruguay </v>
      </c>
      <c r="G83" s="70">
        <f t="shared" si="3"/>
        <v>1.2130405750084935E-2</v>
      </c>
    </row>
    <row r="84" spans="1:7" x14ac:dyDescent="0.2">
      <c r="A84" s="25" t="s">
        <v>104</v>
      </c>
      <c r="B84" s="26">
        <v>540256625</v>
      </c>
      <c r="C84" s="26">
        <v>368116979.25</v>
      </c>
      <c r="D84" s="70">
        <f t="shared" si="2"/>
        <v>2.8656789331342625E-2</v>
      </c>
      <c r="F84" s="8" t="str">
        <v xml:space="preserve">Venezuela </v>
      </c>
      <c r="G84" s="70">
        <f t="shared" si="3"/>
        <v>2.8656789331342625E-2</v>
      </c>
    </row>
    <row r="85" spans="1:7" x14ac:dyDescent="0.2">
      <c r="A85" s="25" t="s">
        <v>66</v>
      </c>
      <c r="B85" s="26">
        <v>139633</v>
      </c>
      <c r="C85" s="26">
        <v>78734.12</v>
      </c>
      <c r="D85" s="70">
        <f t="shared" si="2"/>
        <v>7.406542149674453E-6</v>
      </c>
      <c r="F85" s="8" t="str">
        <v xml:space="preserve">Suriname </v>
      </c>
      <c r="G85" s="70">
        <f t="shared" si="3"/>
        <v>4.3362057263951704E-6</v>
      </c>
    </row>
    <row r="86" spans="1:7" x14ac:dyDescent="0.2">
      <c r="A86" s="25" t="s">
        <v>105</v>
      </c>
      <c r="B86" s="26">
        <v>81749</v>
      </c>
      <c r="C86" s="26">
        <v>78139.100000000006</v>
      </c>
      <c r="D86" s="70">
        <f t="shared" si="2"/>
        <v>4.3362057263951704E-6</v>
      </c>
      <c r="F86" s="8" t="str">
        <v xml:space="preserve">Dominica </v>
      </c>
      <c r="G86" s="70">
        <f t="shared" si="3"/>
        <v>1.60773092719223E-7</v>
      </c>
    </row>
    <row r="87" spans="1:7" x14ac:dyDescent="0.2">
      <c r="A87" s="25" t="s">
        <v>106</v>
      </c>
      <c r="B87" s="26">
        <v>3031</v>
      </c>
      <c r="C87" s="26">
        <v>7873.54</v>
      </c>
      <c r="D87" s="70">
        <f t="shared" si="2"/>
        <v>1.60773092719223E-7</v>
      </c>
      <c r="F87" s="8" t="str">
        <v xml:space="preserve">Santa Lucía </v>
      </c>
      <c r="G87" s="70">
        <f t="shared" si="3"/>
        <v>3.8101260386389008E-6</v>
      </c>
    </row>
    <row r="88" spans="1:7" x14ac:dyDescent="0.2">
      <c r="A88" s="25" t="s">
        <v>107</v>
      </c>
      <c r="B88" s="26">
        <v>71831</v>
      </c>
      <c r="C88" s="26">
        <v>90240</v>
      </c>
      <c r="D88" s="70">
        <f t="shared" si="2"/>
        <v>3.8101260386389008E-6</v>
      </c>
      <c r="F88" s="8" t="str">
        <v xml:space="preserve">San Vicente y las Granadinas </v>
      </c>
      <c r="G88" s="70">
        <f t="shared" si="3"/>
        <v>1.7737552690632853E-5</v>
      </c>
    </row>
    <row r="89" spans="1:7" x14ac:dyDescent="0.2">
      <c r="A89" s="25" t="s">
        <v>108</v>
      </c>
      <c r="B89" s="26">
        <v>334400</v>
      </c>
      <c r="C89" s="26">
        <v>82000</v>
      </c>
      <c r="D89" s="70">
        <f t="shared" si="2"/>
        <v>1.7737552690632853E-5</v>
      </c>
      <c r="F89" s="8" t="str">
        <v xml:space="preserve">Belice </v>
      </c>
      <c r="G89" s="70">
        <f t="shared" si="3"/>
        <v>8.5717359892531962E-8</v>
      </c>
    </row>
    <row r="90" spans="1:7" x14ac:dyDescent="0.2">
      <c r="A90" s="25" t="s">
        <v>109</v>
      </c>
      <c r="B90" s="26">
        <v>1616</v>
      </c>
      <c r="C90" s="26">
        <v>523.22</v>
      </c>
      <c r="D90" s="70">
        <f t="shared" si="2"/>
        <v>8.5717359892531962E-8</v>
      </c>
      <c r="F90" s="8" t="str">
        <v xml:space="preserve">Antigua y Barbuda </v>
      </c>
      <c r="G90" s="70" t="e">
        <f t="shared" si="3"/>
        <v>#VALUE!</v>
      </c>
    </row>
    <row r="91" spans="1:7" x14ac:dyDescent="0.2">
      <c r="A91" s="25" t="s">
        <v>110</v>
      </c>
      <c r="B91" s="26" t="s">
        <v>30</v>
      </c>
      <c r="C91" s="26" t="s">
        <v>30</v>
      </c>
      <c r="D91" s="70" t="e">
        <f t="shared" si="2"/>
        <v>#VALUE!</v>
      </c>
      <c r="F91" s="8" t="str">
        <v xml:space="preserve">San Cristóbal y Nevis </v>
      </c>
      <c r="G91" s="70">
        <f t="shared" si="3"/>
        <v>1.3337642416446265E-5</v>
      </c>
    </row>
    <row r="92" spans="1:7" x14ac:dyDescent="0.2">
      <c r="A92" s="25" t="s">
        <v>111</v>
      </c>
      <c r="B92" s="26">
        <v>251450</v>
      </c>
      <c r="C92" s="26">
        <v>48946.18</v>
      </c>
      <c r="D92" s="70">
        <f t="shared" si="2"/>
        <v>1.3337642416446265E-5</v>
      </c>
      <c r="F92" s="8" t="str">
        <v xml:space="preserve">Grenada </v>
      </c>
      <c r="G92" s="70" t="e">
        <f t="shared" si="3"/>
        <v>#VALUE!</v>
      </c>
    </row>
    <row r="93" spans="1:7" x14ac:dyDescent="0.2">
      <c r="A93" s="25" t="s">
        <v>113</v>
      </c>
      <c r="B93" s="26" t="s">
        <v>30</v>
      </c>
      <c r="C93" s="26" t="s">
        <v>30</v>
      </c>
      <c r="D93" s="70" t="e">
        <f t="shared" si="2"/>
        <v>#VALUE!</v>
      </c>
      <c r="F93" s="8" t="str">
        <v xml:space="preserve">Antillas Holandesas </v>
      </c>
      <c r="G93" s="70">
        <f t="shared" si="3"/>
        <v>3.0602359903147183E-4</v>
      </c>
    </row>
    <row r="94" spans="1:7" x14ac:dyDescent="0.2">
      <c r="A94" s="25" t="s">
        <v>114</v>
      </c>
      <c r="B94" s="26">
        <v>5769358</v>
      </c>
      <c r="C94" s="26">
        <v>6065667.7999999998</v>
      </c>
      <c r="D94" s="70">
        <f t="shared" si="2"/>
        <v>3.0602359903147183E-4</v>
      </c>
      <c r="F94" s="8" t="str">
        <v xml:space="preserve">Aruba </v>
      </c>
      <c r="G94" s="70">
        <f t="shared" si="3"/>
        <v>4.0309861519560569E-5</v>
      </c>
    </row>
    <row r="95" spans="1:7" x14ac:dyDescent="0.2">
      <c r="A95" s="25" t="s">
        <v>115</v>
      </c>
      <c r="B95" s="26">
        <v>759948</v>
      </c>
      <c r="C95" s="26">
        <v>194242.94</v>
      </c>
      <c r="D95" s="70">
        <f t="shared" si="2"/>
        <v>4.0309861519560569E-5</v>
      </c>
      <c r="F95" s="8" t="str">
        <v xml:space="preserve">Iquique (Chile) </v>
      </c>
      <c r="G95" s="70" t="e">
        <f t="shared" si="3"/>
        <v>#VALUE!</v>
      </c>
    </row>
    <row r="96" spans="1:7" x14ac:dyDescent="0.2">
      <c r="A96" s="25" t="s">
        <v>116</v>
      </c>
      <c r="B96" s="26" t="s">
        <v>30</v>
      </c>
      <c r="C96" s="26" t="s">
        <v>30</v>
      </c>
      <c r="D96" s="70" t="e">
        <f t="shared" si="2"/>
        <v>#VALUE!</v>
      </c>
      <c r="F96" s="8" t="str">
        <v xml:space="preserve">Punta Arenas (Chile) </v>
      </c>
      <c r="G96" s="70">
        <f t="shared" si="3"/>
        <v>7.402818536639517E-5</v>
      </c>
    </row>
    <row r="97" spans="1:7" x14ac:dyDescent="0.2">
      <c r="A97" s="25" t="s">
        <v>117</v>
      </c>
      <c r="B97" s="26">
        <v>1395628</v>
      </c>
      <c r="C97" s="26">
        <v>215324.59</v>
      </c>
      <c r="D97" s="70">
        <f t="shared" si="2"/>
        <v>7.402818536639517E-5</v>
      </c>
      <c r="F97" s="8" t="str">
        <v xml:space="preserve">Colonia (Uruguay) </v>
      </c>
      <c r="G97" s="70">
        <f t="shared" si="3"/>
        <v>3.5883535870852646E-6</v>
      </c>
    </row>
    <row r="98" spans="1:7" x14ac:dyDescent="0.2">
      <c r="A98" s="25" t="s">
        <v>118</v>
      </c>
      <c r="B98" s="26">
        <v>67650</v>
      </c>
      <c r="C98" s="26">
        <v>137500</v>
      </c>
      <c r="D98" s="70">
        <f t="shared" si="2"/>
        <v>3.5883535870852646E-6</v>
      </c>
      <c r="F98" s="8" t="str">
        <v xml:space="preserve">Nueva Palmira (Uruguay) </v>
      </c>
      <c r="G98" s="70">
        <f t="shared" si="3"/>
        <v>7.7893529085509403E-7</v>
      </c>
    </row>
    <row r="99" spans="1:7" x14ac:dyDescent="0.2">
      <c r="A99" s="25" t="s">
        <v>208</v>
      </c>
      <c r="B99" s="26">
        <v>14685</v>
      </c>
      <c r="C99" s="26">
        <v>750</v>
      </c>
      <c r="D99" s="70">
        <f t="shared" si="2"/>
        <v>7.7893529085509403E-7</v>
      </c>
      <c r="F99" s="8" t="str">
        <v>ASIA</v>
      </c>
      <c r="G99" s="70">
        <f t="shared" si="3"/>
        <v>0.30251628197869673</v>
      </c>
    </row>
    <row r="100" spans="1:7" x14ac:dyDescent="0.2">
      <c r="A100" s="25"/>
      <c r="B100" s="26"/>
      <c r="C100" s="26"/>
      <c r="D100" s="70">
        <f t="shared" si="2"/>
        <v>0</v>
      </c>
      <c r="F100" s="8" t="str">
        <v xml:space="preserve">Afganistán </v>
      </c>
      <c r="G100" s="70">
        <f t="shared" si="3"/>
        <v>4.1030290468855357E-6</v>
      </c>
    </row>
    <row r="101" spans="1:7" x14ac:dyDescent="0.2">
      <c r="A101" s="25" t="s">
        <v>119</v>
      </c>
      <c r="B101" s="26">
        <v>5703235754</v>
      </c>
      <c r="C101" s="26">
        <v>10854487093.459999</v>
      </c>
      <c r="D101" s="70">
        <f t="shared" si="2"/>
        <v>0.30251628197869673</v>
      </c>
      <c r="F101" s="8" t="str">
        <v xml:space="preserve">Arabia Saudita </v>
      </c>
      <c r="G101" s="70">
        <f t="shared" si="3"/>
        <v>6.3807832966654475E-3</v>
      </c>
    </row>
    <row r="102" spans="1:7" x14ac:dyDescent="0.2">
      <c r="A102" s="25" t="s">
        <v>120</v>
      </c>
      <c r="B102" s="26">
        <v>77353</v>
      </c>
      <c r="C102" s="26">
        <v>15767.89</v>
      </c>
      <c r="D102" s="70">
        <f t="shared" si="2"/>
        <v>4.1030290468855357E-6</v>
      </c>
      <c r="F102" s="8" t="str">
        <v xml:space="preserve">Bahrein </v>
      </c>
      <c r="G102" s="70">
        <f t="shared" si="3"/>
        <v>7.9131603898165089E-5</v>
      </c>
    </row>
    <row r="103" spans="1:7" x14ac:dyDescent="0.2">
      <c r="A103" s="25" t="s">
        <v>121</v>
      </c>
      <c r="B103" s="26">
        <v>120294720</v>
      </c>
      <c r="C103" s="26">
        <v>360654792.25999999</v>
      </c>
      <c r="D103" s="70">
        <f t="shared" si="2"/>
        <v>6.3807832966654475E-3</v>
      </c>
      <c r="F103" s="8" t="str">
        <v xml:space="preserve">Myanmar (ex Birmania) Unión de </v>
      </c>
      <c r="G103" s="70">
        <f t="shared" si="3"/>
        <v>7.1109339524708145E-7</v>
      </c>
    </row>
    <row r="104" spans="1:7" x14ac:dyDescent="0.2">
      <c r="A104" s="25" t="s">
        <v>122</v>
      </c>
      <c r="B104" s="26">
        <v>1491841</v>
      </c>
      <c r="C104" s="26">
        <v>4709157.88</v>
      </c>
      <c r="D104" s="70">
        <f t="shared" si="2"/>
        <v>7.9131603898165089E-5</v>
      </c>
      <c r="F104" s="8" t="str">
        <v xml:space="preserve">Camboya (ex Kampuchea) </v>
      </c>
      <c r="G104" s="70">
        <f t="shared" si="3"/>
        <v>3.1941805041601514E-4</v>
      </c>
    </row>
    <row r="105" spans="1:7" x14ac:dyDescent="0.2">
      <c r="A105" s="25" t="s">
        <v>123</v>
      </c>
      <c r="B105" s="26">
        <v>13406</v>
      </c>
      <c r="C105" s="26">
        <v>18048</v>
      </c>
      <c r="D105" s="70">
        <f t="shared" si="2"/>
        <v>7.1109339524708145E-7</v>
      </c>
      <c r="F105" s="8" t="str">
        <v xml:space="preserve">Sri Lanka </v>
      </c>
      <c r="G105" s="70">
        <f t="shared" si="3"/>
        <v>7.0806623576127271E-5</v>
      </c>
    </row>
    <row r="106" spans="1:7" x14ac:dyDescent="0.2">
      <c r="A106" s="25" t="s">
        <v>124</v>
      </c>
      <c r="B106" s="26">
        <v>6021879</v>
      </c>
      <c r="C106" s="26">
        <v>281925.45</v>
      </c>
      <c r="D106" s="70">
        <f t="shared" si="2"/>
        <v>3.1941805041601514E-4</v>
      </c>
      <c r="F106" s="8" t="str">
        <v xml:space="preserve">Corea Republicana </v>
      </c>
      <c r="G106" s="70">
        <f t="shared" si="3"/>
        <v>1.5699041373991356E-2</v>
      </c>
    </row>
    <row r="107" spans="1:7" x14ac:dyDescent="0.2">
      <c r="A107" s="25" t="s">
        <v>125</v>
      </c>
      <c r="B107" s="26">
        <v>1334893</v>
      </c>
      <c r="C107" s="26">
        <v>467868</v>
      </c>
      <c r="D107" s="70">
        <f t="shared" si="2"/>
        <v>7.0806623576127271E-5</v>
      </c>
      <c r="F107" s="8" t="str">
        <v xml:space="preserve">China </v>
      </c>
      <c r="G107" s="70">
        <f t="shared" si="3"/>
        <v>6.7711718944998001E-2</v>
      </c>
    </row>
    <row r="108" spans="1:7" x14ac:dyDescent="0.2">
      <c r="A108" s="25" t="s">
        <v>126</v>
      </c>
      <c r="B108" s="26">
        <v>295968645</v>
      </c>
      <c r="C108" s="26">
        <v>557266737.05999994</v>
      </c>
      <c r="D108" s="70">
        <f t="shared" si="2"/>
        <v>1.5699041373991356E-2</v>
      </c>
      <c r="F108" s="8" t="str">
        <v xml:space="preserve">Filipinas </v>
      </c>
      <c r="G108" s="70">
        <f t="shared" si="3"/>
        <v>1.500636776948128E-2</v>
      </c>
    </row>
    <row r="109" spans="1:7" x14ac:dyDescent="0.2">
      <c r="A109" s="25" t="s">
        <v>127</v>
      </c>
      <c r="B109" s="26">
        <v>1276545824</v>
      </c>
      <c r="C109" s="26">
        <v>2030489233.1199999</v>
      </c>
      <c r="D109" s="70">
        <f t="shared" si="2"/>
        <v>6.7711718944998001E-2</v>
      </c>
      <c r="F109" s="8" t="str">
        <v xml:space="preserve">Taiwan </v>
      </c>
      <c r="G109" s="70">
        <f t="shared" si="3"/>
        <v>1.8409692956186691E-3</v>
      </c>
    </row>
    <row r="110" spans="1:7" x14ac:dyDescent="0.2">
      <c r="A110" s="25" t="s">
        <v>128</v>
      </c>
      <c r="B110" s="26">
        <v>282909907</v>
      </c>
      <c r="C110" s="26">
        <v>755776430.63999999</v>
      </c>
      <c r="D110" s="70">
        <f t="shared" si="2"/>
        <v>1.500636776948128E-2</v>
      </c>
      <c r="F110" s="8" t="str">
        <v xml:space="preserve">India </v>
      </c>
      <c r="G110" s="70">
        <f t="shared" si="3"/>
        <v>3.5865558670246177E-2</v>
      </c>
    </row>
    <row r="111" spans="1:7" x14ac:dyDescent="0.2">
      <c r="A111" s="25" t="s">
        <v>129</v>
      </c>
      <c r="B111" s="26">
        <v>34707163</v>
      </c>
      <c r="C111" s="26">
        <v>36456756.560000002</v>
      </c>
      <c r="D111" s="70">
        <f t="shared" si="2"/>
        <v>1.8409692956186691E-3</v>
      </c>
      <c r="F111" s="8" t="str">
        <v xml:space="preserve">Indonesia </v>
      </c>
      <c r="G111" s="70">
        <f t="shared" si="3"/>
        <v>3.2457515315742223E-2</v>
      </c>
    </row>
    <row r="112" spans="1:7" x14ac:dyDescent="0.2">
      <c r="A112" s="25" t="s">
        <v>130</v>
      </c>
      <c r="B112" s="26">
        <v>676161082</v>
      </c>
      <c r="C112" s="26">
        <v>570145758.58000004</v>
      </c>
      <c r="D112" s="70">
        <f t="shared" si="2"/>
        <v>3.5865558670246177E-2</v>
      </c>
      <c r="F112" s="8" t="str">
        <v xml:space="preserve">Iraq </v>
      </c>
      <c r="G112" s="70">
        <f t="shared" si="3"/>
        <v>2.5842553411837557E-4</v>
      </c>
    </row>
    <row r="113" spans="1:7" x14ac:dyDescent="0.2">
      <c r="A113" s="25" t="s">
        <v>131</v>
      </c>
      <c r="B113" s="26">
        <v>611910409</v>
      </c>
      <c r="C113" s="26">
        <v>1659450845.4000001</v>
      </c>
      <c r="D113" s="70">
        <f t="shared" si="2"/>
        <v>3.2457515315742223E-2</v>
      </c>
      <c r="F113" s="8" t="str">
        <v xml:space="preserve">Irán </v>
      </c>
      <c r="G113" s="70">
        <f t="shared" si="3"/>
        <v>2.5606063088027271E-2</v>
      </c>
    </row>
    <row r="114" spans="1:7" x14ac:dyDescent="0.2">
      <c r="A114" s="25" t="s">
        <v>132</v>
      </c>
      <c r="B114" s="26">
        <v>4872008</v>
      </c>
      <c r="C114" s="26">
        <v>9111332.7699999996</v>
      </c>
      <c r="D114" s="70">
        <f t="shared" si="2"/>
        <v>2.5842553411837557E-4</v>
      </c>
      <c r="F114" s="8" t="str">
        <v xml:space="preserve">Israel </v>
      </c>
      <c r="G114" s="70">
        <f t="shared" si="3"/>
        <v>2.7315317157672763E-3</v>
      </c>
    </row>
    <row r="115" spans="1:7" x14ac:dyDescent="0.2">
      <c r="A115" s="25" t="s">
        <v>133</v>
      </c>
      <c r="B115" s="26">
        <v>482742329</v>
      </c>
      <c r="C115" s="26">
        <v>923915466.16999996</v>
      </c>
      <c r="D115" s="70">
        <f t="shared" si="2"/>
        <v>2.5606063088027271E-2</v>
      </c>
      <c r="F115" s="8" t="str">
        <v xml:space="preserve">Japón </v>
      </c>
      <c r="G115" s="70">
        <f t="shared" si="3"/>
        <v>4.0364552483833091E-3</v>
      </c>
    </row>
    <row r="116" spans="1:7" x14ac:dyDescent="0.2">
      <c r="A116" s="25" t="s">
        <v>134</v>
      </c>
      <c r="B116" s="26">
        <v>51496631</v>
      </c>
      <c r="C116" s="26">
        <v>23658003.039999999</v>
      </c>
      <c r="D116" s="70">
        <f t="shared" si="2"/>
        <v>2.7315317157672763E-3</v>
      </c>
      <c r="F116" s="8" t="str">
        <v xml:space="preserve">Jordania </v>
      </c>
      <c r="G116" s="70">
        <f t="shared" si="3"/>
        <v>3.0730125447157291E-3</v>
      </c>
    </row>
    <row r="117" spans="1:7" x14ac:dyDescent="0.2">
      <c r="A117" s="25" t="s">
        <v>135</v>
      </c>
      <c r="B117" s="26">
        <v>76097907</v>
      </c>
      <c r="C117" s="26">
        <v>186732448.33000001</v>
      </c>
      <c r="D117" s="70">
        <f t="shared" si="2"/>
        <v>4.0364552483833091E-3</v>
      </c>
      <c r="F117" s="8" t="str">
        <v xml:space="preserve">Qatar </v>
      </c>
      <c r="G117" s="70">
        <f t="shared" si="3"/>
        <v>3.9925406430141588E-7</v>
      </c>
    </row>
    <row r="118" spans="1:7" x14ac:dyDescent="0.2">
      <c r="A118" s="25" t="s">
        <v>136</v>
      </c>
      <c r="B118" s="26">
        <v>57934452</v>
      </c>
      <c r="C118" s="26">
        <v>159719066.86000001</v>
      </c>
      <c r="D118" s="70">
        <f t="shared" si="2"/>
        <v>3.0730125447157291E-3</v>
      </c>
      <c r="F118" s="8" t="str">
        <v xml:space="preserve">Kuwait </v>
      </c>
      <c r="G118" s="70">
        <f t="shared" si="3"/>
        <v>2.5069596058148236E-4</v>
      </c>
    </row>
    <row r="119" spans="1:7" x14ac:dyDescent="0.2">
      <c r="A119" s="25" t="s">
        <v>137</v>
      </c>
      <c r="B119" s="26">
        <v>7527</v>
      </c>
      <c r="C119" s="26">
        <v>11351.4</v>
      </c>
      <c r="D119" s="70">
        <f t="shared" si="2"/>
        <v>3.9925406430141588E-7</v>
      </c>
      <c r="F119" s="8" t="str">
        <v xml:space="preserve">Líbano </v>
      </c>
      <c r="G119" s="70">
        <f t="shared" si="3"/>
        <v>1.4022174569140013E-3</v>
      </c>
    </row>
    <row r="120" spans="1:7" x14ac:dyDescent="0.2">
      <c r="A120" s="25" t="s">
        <v>138</v>
      </c>
      <c r="B120" s="26">
        <v>4726285</v>
      </c>
      <c r="C120" s="26">
        <v>10798806.560000001</v>
      </c>
      <c r="D120" s="70">
        <f t="shared" si="2"/>
        <v>2.5069596058148236E-4</v>
      </c>
      <c r="F120" s="8" t="str">
        <v xml:space="preserve">Malasia </v>
      </c>
      <c r="G120" s="70">
        <f t="shared" si="3"/>
        <v>2.1983039481011515E-2</v>
      </c>
    </row>
    <row r="121" spans="1:7" x14ac:dyDescent="0.2">
      <c r="A121" s="25" t="s">
        <v>139</v>
      </c>
      <c r="B121" s="26">
        <v>26435525</v>
      </c>
      <c r="C121" s="26">
        <v>61886657.450000003</v>
      </c>
      <c r="D121" s="70">
        <f t="shared" si="2"/>
        <v>1.4022174569140013E-3</v>
      </c>
      <c r="F121" s="8" t="str">
        <v xml:space="preserve">Maldivas </v>
      </c>
      <c r="G121" s="70">
        <f t="shared" si="3"/>
        <v>7.3395489407980495E-7</v>
      </c>
    </row>
    <row r="122" spans="1:7" x14ac:dyDescent="0.2">
      <c r="A122" s="25" t="s">
        <v>140</v>
      </c>
      <c r="B122" s="26">
        <v>414438707</v>
      </c>
      <c r="C122" s="26">
        <v>1129331384.29</v>
      </c>
      <c r="D122" s="70">
        <f t="shared" si="2"/>
        <v>2.1983039481011515E-2</v>
      </c>
      <c r="F122" s="8" t="str">
        <v xml:space="preserve">Omán </v>
      </c>
      <c r="G122" s="70">
        <f t="shared" si="3"/>
        <v>7.1680134394636074E-4</v>
      </c>
    </row>
    <row r="123" spans="1:7" x14ac:dyDescent="0.2">
      <c r="A123" s="25" t="s">
        <v>141</v>
      </c>
      <c r="B123" s="26">
        <v>13837</v>
      </c>
      <c r="C123" s="26">
        <v>17740.8</v>
      </c>
      <c r="D123" s="70">
        <f t="shared" si="2"/>
        <v>7.3395489407980495E-7</v>
      </c>
      <c r="F123" s="8" t="str">
        <v xml:space="preserve">Mongolia </v>
      </c>
      <c r="G123" s="70">
        <f t="shared" si="3"/>
        <v>3.5072509612958578E-6</v>
      </c>
    </row>
    <row r="124" spans="1:7" x14ac:dyDescent="0.2">
      <c r="A124" s="25" t="s">
        <v>142</v>
      </c>
      <c r="B124" s="26">
        <v>13513610</v>
      </c>
      <c r="C124" s="26">
        <v>18969741.73</v>
      </c>
      <c r="D124" s="70">
        <f t="shared" si="2"/>
        <v>7.1680134394636074E-4</v>
      </c>
      <c r="F124" s="8" t="str">
        <v xml:space="preserve">Nepal </v>
      </c>
      <c r="G124" s="70">
        <f t="shared" si="3"/>
        <v>1.0882232573138592E-5</v>
      </c>
    </row>
    <row r="125" spans="1:7" x14ac:dyDescent="0.2">
      <c r="A125" s="25" t="s">
        <v>143</v>
      </c>
      <c r="B125" s="26">
        <v>66121</v>
      </c>
      <c r="C125" s="26">
        <v>23827.72</v>
      </c>
      <c r="D125" s="70">
        <f t="shared" si="2"/>
        <v>3.5072509612958578E-6</v>
      </c>
      <c r="F125" s="8" t="str">
        <v xml:space="preserve">Emiratos Arabes Unidos </v>
      </c>
      <c r="G125" s="70">
        <f t="shared" si="3"/>
        <v>5.061663940218549E-3</v>
      </c>
    </row>
    <row r="126" spans="1:7" x14ac:dyDescent="0.2">
      <c r="A126" s="25" t="s">
        <v>144</v>
      </c>
      <c r="B126" s="26">
        <v>205159</v>
      </c>
      <c r="C126" s="26">
        <v>357120</v>
      </c>
      <c r="D126" s="70">
        <f t="shared" si="2"/>
        <v>1.0882232573138592E-5</v>
      </c>
      <c r="F126" s="8" t="str">
        <v xml:space="preserve">Paquistán </v>
      </c>
      <c r="G126" s="70">
        <f t="shared" si="3"/>
        <v>8.1316399368515011E-4</v>
      </c>
    </row>
    <row r="127" spans="1:7" x14ac:dyDescent="0.2">
      <c r="A127" s="25" t="s">
        <v>145</v>
      </c>
      <c r="B127" s="26">
        <v>95425815</v>
      </c>
      <c r="C127" s="26">
        <v>128299500.77</v>
      </c>
      <c r="D127" s="70">
        <f t="shared" si="2"/>
        <v>5.061663940218549E-3</v>
      </c>
      <c r="F127" s="8" t="str">
        <v xml:space="preserve">Singapur </v>
      </c>
      <c r="G127" s="70">
        <f t="shared" si="3"/>
        <v>1.3226485671773746E-4</v>
      </c>
    </row>
    <row r="128" spans="1:7" x14ac:dyDescent="0.2">
      <c r="A128" s="25" t="s">
        <v>146</v>
      </c>
      <c r="B128" s="26">
        <v>15330302</v>
      </c>
      <c r="C128" s="26">
        <v>12107686.67</v>
      </c>
      <c r="D128" s="70">
        <f t="shared" si="2"/>
        <v>8.1316399368515011E-4</v>
      </c>
      <c r="F128" s="8" t="str">
        <v xml:space="preserve">Siria </v>
      </c>
      <c r="G128" s="70">
        <f t="shared" si="3"/>
        <v>8.2106116693865996E-3</v>
      </c>
    </row>
    <row r="129" spans="1:7" x14ac:dyDescent="0.2">
      <c r="A129" s="25" t="s">
        <v>147</v>
      </c>
      <c r="B129" s="26">
        <v>2493544</v>
      </c>
      <c r="C129" s="26">
        <v>778178.5</v>
      </c>
      <c r="D129" s="70">
        <f t="shared" si="2"/>
        <v>1.3226485671773746E-4</v>
      </c>
      <c r="F129" s="8" t="str">
        <v xml:space="preserve">Tailandia </v>
      </c>
      <c r="G129" s="70">
        <f t="shared" si="3"/>
        <v>1.2892005235330972E-2</v>
      </c>
    </row>
    <row r="130" spans="1:7" x14ac:dyDescent="0.2">
      <c r="A130" s="25" t="s">
        <v>148</v>
      </c>
      <c r="B130" s="26">
        <v>154791847</v>
      </c>
      <c r="C130" s="26">
        <v>410853598.23000002</v>
      </c>
      <c r="D130" s="70">
        <f t="shared" si="2"/>
        <v>8.2106116693865996E-3</v>
      </c>
      <c r="F130" s="8" t="str">
        <v xml:space="preserve">Vietnam </v>
      </c>
      <c r="G130" s="70">
        <f t="shared" si="3"/>
        <v>1.770577552551289E-2</v>
      </c>
    </row>
    <row r="131" spans="1:7" x14ac:dyDescent="0.2">
      <c r="A131" s="25" t="s">
        <v>149</v>
      </c>
      <c r="B131" s="26">
        <v>243048555</v>
      </c>
      <c r="C131" s="26">
        <v>540756224.65999997</v>
      </c>
      <c r="D131" s="70">
        <f t="shared" si="2"/>
        <v>1.2892005235330972E-2</v>
      </c>
      <c r="F131" s="8" t="str">
        <v xml:space="preserve">Hong Kong </v>
      </c>
      <c r="G131" s="70">
        <f t="shared" si="3"/>
        <v>3.4501941236302143E-3</v>
      </c>
    </row>
    <row r="132" spans="1:7" x14ac:dyDescent="0.2">
      <c r="A132" s="25" t="s">
        <v>150</v>
      </c>
      <c r="B132" s="26">
        <v>333800916</v>
      </c>
      <c r="C132" s="26">
        <v>857387497.5</v>
      </c>
      <c r="D132" s="70">
        <f t="shared" si="2"/>
        <v>1.770577552551289E-2</v>
      </c>
      <c r="F132" s="8" t="str">
        <v xml:space="preserve">Macao </v>
      </c>
      <c r="G132" s="70" t="e">
        <f t="shared" si="3"/>
        <v>#VALUE!</v>
      </c>
    </row>
    <row r="133" spans="1:7" x14ac:dyDescent="0.2">
      <c r="A133" s="25" t="s">
        <v>151</v>
      </c>
      <c r="B133" s="26">
        <v>65045327</v>
      </c>
      <c r="C133" s="26">
        <v>14273328.699999999</v>
      </c>
      <c r="D133" s="70">
        <f t="shared" si="2"/>
        <v>3.4501941236302143E-3</v>
      </c>
      <c r="F133" s="8" t="str">
        <v xml:space="preserve">Bangladesh </v>
      </c>
      <c r="G133" s="70">
        <f t="shared" si="3"/>
        <v>1.6773462438989056E-2</v>
      </c>
    </row>
    <row r="134" spans="1:7" x14ac:dyDescent="0.2">
      <c r="A134" s="25" t="s">
        <v>152</v>
      </c>
      <c r="B134" s="26" t="s">
        <v>30</v>
      </c>
      <c r="C134" s="26" t="s">
        <v>30</v>
      </c>
      <c r="D134" s="70" t="e">
        <f t="shared" si="2"/>
        <v>#VALUE!</v>
      </c>
      <c r="F134" s="8" t="str">
        <v xml:space="preserve">República de Yemen </v>
      </c>
      <c r="G134" s="70">
        <f t="shared" si="3"/>
        <v>1.6491404215013526E-3</v>
      </c>
    </row>
    <row r="135" spans="1:7" x14ac:dyDescent="0.2">
      <c r="A135" s="25" t="s">
        <v>153</v>
      </c>
      <c r="B135" s="26">
        <v>316224337</v>
      </c>
      <c r="C135" s="26">
        <v>289463463.5</v>
      </c>
      <c r="D135" s="70">
        <f t="shared" si="2"/>
        <v>1.6773462438989056E-2</v>
      </c>
      <c r="F135" s="8" t="str">
        <v xml:space="preserve">Armenia </v>
      </c>
      <c r="G135" s="70">
        <f t="shared" si="3"/>
        <v>3.7352824774951122E-7</v>
      </c>
    </row>
    <row r="136" spans="1:7" x14ac:dyDescent="0.2">
      <c r="A136" s="25" t="s">
        <v>154</v>
      </c>
      <c r="B136" s="26">
        <v>31090679</v>
      </c>
      <c r="C136" s="26">
        <v>99129928.709999993</v>
      </c>
      <c r="D136" s="70">
        <f t="shared" si="2"/>
        <v>1.6491404215013526E-3</v>
      </c>
      <c r="F136" s="8" t="str">
        <v xml:space="preserve">Azerbaiján </v>
      </c>
      <c r="G136" s="70">
        <f t="shared" si="3"/>
        <v>1.221564673150643E-4</v>
      </c>
    </row>
    <row r="137" spans="1:7" x14ac:dyDescent="0.2">
      <c r="A137" s="25" t="s">
        <v>155</v>
      </c>
      <c r="B137" s="26">
        <v>7042</v>
      </c>
      <c r="C137" s="26">
        <v>11874.2</v>
      </c>
      <c r="D137" s="70">
        <f t="shared" si="2"/>
        <v>3.7352824774951122E-7</v>
      </c>
      <c r="F137" s="8" t="str">
        <v xml:space="preserve">Georgia </v>
      </c>
      <c r="G137" s="70">
        <f t="shared" si="3"/>
        <v>2.3422639891079438E-5</v>
      </c>
    </row>
    <row r="138" spans="1:7" x14ac:dyDescent="0.2">
      <c r="A138" s="25" t="s">
        <v>156</v>
      </c>
      <c r="B138" s="26">
        <v>2302974</v>
      </c>
      <c r="C138" s="26">
        <v>466080</v>
      </c>
      <c r="D138" s="70">
        <f t="shared" si="2"/>
        <v>1.221564673150643E-4</v>
      </c>
      <c r="F138" s="8" t="str">
        <v xml:space="preserve">Kazajstán </v>
      </c>
      <c r="G138" s="70">
        <f t="shared" si="3"/>
        <v>1.6957095067952934E-4</v>
      </c>
    </row>
    <row r="139" spans="1:7" x14ac:dyDescent="0.2">
      <c r="A139" s="25" t="s">
        <v>157</v>
      </c>
      <c r="B139" s="26">
        <v>441579</v>
      </c>
      <c r="C139" s="26">
        <v>151963.94</v>
      </c>
      <c r="D139" s="70">
        <f t="shared" ref="D139:D155" si="4">+B139/$B$8</f>
        <v>2.3422639891079438E-5</v>
      </c>
      <c r="F139" s="8" t="str">
        <v>Territorios Autónomos Palestinos (Gaza y Jericó)</v>
      </c>
      <c r="G139" s="70">
        <f t="shared" ref="G139:G151" si="5">+SUMIF(A139:A284,F139,D139:D284)</f>
        <v>2.585152827402432E-6</v>
      </c>
    </row>
    <row r="140" spans="1:7" x14ac:dyDescent="0.2">
      <c r="A140" s="25" t="s">
        <v>158</v>
      </c>
      <c r="B140" s="26">
        <v>3196863</v>
      </c>
      <c r="C140" s="26">
        <v>426370.82</v>
      </c>
      <c r="D140" s="70">
        <f t="shared" si="4"/>
        <v>1.6957095067952934E-4</v>
      </c>
      <c r="F140" s="8" t="str">
        <v>EUROPA</v>
      </c>
      <c r="G140" s="70">
        <f t="shared" si="5"/>
        <v>0.28782319158678488</v>
      </c>
    </row>
    <row r="141" spans="1:7" x14ac:dyDescent="0.2">
      <c r="A141" s="25" t="s">
        <v>159</v>
      </c>
      <c r="B141" s="26">
        <v>48737</v>
      </c>
      <c r="C141" s="26">
        <v>115129.3</v>
      </c>
      <c r="D141" s="70">
        <f t="shared" si="4"/>
        <v>2.585152827402432E-6</v>
      </c>
      <c r="F141" s="8" t="str">
        <v xml:space="preserve">Albania </v>
      </c>
      <c r="G141" s="70">
        <f t="shared" si="5"/>
        <v>1.2073152229269241E-5</v>
      </c>
    </row>
    <row r="142" spans="1:7" x14ac:dyDescent="0.2">
      <c r="A142" s="25"/>
      <c r="B142" s="26"/>
      <c r="C142" s="26"/>
      <c r="D142" s="70">
        <f t="shared" si="4"/>
        <v>0</v>
      </c>
      <c r="F142" s="8" t="str">
        <v xml:space="preserve">Austria </v>
      </c>
      <c r="G142" s="70">
        <f t="shared" si="5"/>
        <v>1.5018737007294039E-4</v>
      </c>
    </row>
    <row r="143" spans="1:7" x14ac:dyDescent="0.2">
      <c r="A143" s="25" t="s">
        <v>160</v>
      </c>
      <c r="B143" s="26">
        <v>5426231958</v>
      </c>
      <c r="C143" s="26">
        <v>10432977241.73</v>
      </c>
      <c r="D143" s="70">
        <f t="shared" si="4"/>
        <v>0.28782319158678488</v>
      </c>
      <c r="F143" s="8" t="str">
        <v xml:space="preserve">Bélgica </v>
      </c>
      <c r="G143" s="70">
        <f t="shared" si="5"/>
        <v>6.165854495786746E-3</v>
      </c>
    </row>
    <row r="144" spans="1:7" x14ac:dyDescent="0.2">
      <c r="A144" s="25" t="s">
        <v>161</v>
      </c>
      <c r="B144" s="26">
        <v>227611</v>
      </c>
      <c r="C144" s="26">
        <v>70549.960000000006</v>
      </c>
      <c r="D144" s="70">
        <f t="shared" si="4"/>
        <v>1.2073152229269241E-5</v>
      </c>
      <c r="F144" s="8" t="str">
        <v xml:space="preserve">Bulgaria </v>
      </c>
      <c r="G144" s="70">
        <f t="shared" si="5"/>
        <v>1.252608572934494E-5</v>
      </c>
    </row>
    <row r="145" spans="1:7" x14ac:dyDescent="0.2">
      <c r="A145" s="25" t="s">
        <v>162</v>
      </c>
      <c r="B145" s="26">
        <v>2831431</v>
      </c>
      <c r="C145" s="26">
        <v>103606.21</v>
      </c>
      <c r="D145" s="70">
        <f t="shared" si="4"/>
        <v>1.5018737007294039E-4</v>
      </c>
      <c r="F145" s="8" t="str">
        <v xml:space="preserve">Dinamarca </v>
      </c>
      <c r="G145" s="70">
        <f t="shared" si="5"/>
        <v>1.3177843987395374E-2</v>
      </c>
    </row>
    <row r="146" spans="1:7" x14ac:dyDescent="0.2">
      <c r="A146" s="25" t="s">
        <v>163</v>
      </c>
      <c r="B146" s="26">
        <v>116242741</v>
      </c>
      <c r="C146" s="26">
        <v>189909025.24000001</v>
      </c>
      <c r="D146" s="70">
        <f t="shared" si="4"/>
        <v>6.165854495786746E-3</v>
      </c>
      <c r="F146" s="8" t="str">
        <v xml:space="preserve">España </v>
      </c>
      <c r="G146" s="70">
        <f t="shared" si="5"/>
        <v>7.5352881708570088E-2</v>
      </c>
    </row>
    <row r="147" spans="1:7" x14ac:dyDescent="0.2">
      <c r="A147" s="25" t="s">
        <v>164</v>
      </c>
      <c r="B147" s="26">
        <v>236150</v>
      </c>
      <c r="C147" s="26">
        <v>275982.11</v>
      </c>
      <c r="D147" s="70">
        <f t="shared" si="4"/>
        <v>1.252608572934494E-5</v>
      </c>
      <c r="F147" s="8" t="str">
        <v xml:space="preserve">Finlandia </v>
      </c>
      <c r="G147" s="70">
        <f t="shared" si="5"/>
        <v>1.4505726564775345E-3</v>
      </c>
    </row>
    <row r="148" spans="1:7" x14ac:dyDescent="0.2">
      <c r="A148" s="25" t="s">
        <v>165</v>
      </c>
      <c r="B148" s="26">
        <v>248437375</v>
      </c>
      <c r="C148" s="26">
        <v>661133462.09000003</v>
      </c>
      <c r="D148" s="70">
        <f t="shared" si="4"/>
        <v>1.3177843987395374E-2</v>
      </c>
      <c r="F148" s="8" t="str">
        <v xml:space="preserve">Francia </v>
      </c>
      <c r="G148" s="70">
        <f t="shared" si="5"/>
        <v>1.0531246081495671E-2</v>
      </c>
    </row>
    <row r="149" spans="1:7" x14ac:dyDescent="0.2">
      <c r="A149" s="25" t="s">
        <v>166</v>
      </c>
      <c r="B149" s="26">
        <v>1420602046</v>
      </c>
      <c r="C149" s="26">
        <v>2048869966.74</v>
      </c>
      <c r="D149" s="70">
        <f t="shared" si="4"/>
        <v>7.5352881708570088E-2</v>
      </c>
      <c r="F149" s="8" t="str">
        <v xml:space="preserve">Grecia </v>
      </c>
      <c r="G149" s="70">
        <f t="shared" si="5"/>
        <v>3.0011084100668691E-3</v>
      </c>
    </row>
    <row r="150" spans="1:7" x14ac:dyDescent="0.2">
      <c r="A150" s="25" t="s">
        <v>167</v>
      </c>
      <c r="B150" s="26">
        <v>27347149</v>
      </c>
      <c r="C150" s="26">
        <v>24201491.719999999</v>
      </c>
      <c r="D150" s="70">
        <f t="shared" si="4"/>
        <v>1.4505726564775345E-3</v>
      </c>
      <c r="F150" s="8" t="str">
        <v xml:space="preserve">Hungría </v>
      </c>
      <c r="G150" s="70">
        <f t="shared" si="5"/>
        <v>7.244761241461444E-6</v>
      </c>
    </row>
    <row r="151" spans="1:7" x14ac:dyDescent="0.2">
      <c r="A151" s="25" t="s">
        <v>168</v>
      </c>
      <c r="B151" s="26">
        <v>198541972</v>
      </c>
      <c r="C151" s="26">
        <v>207773882.83000001</v>
      </c>
      <c r="D151" s="70">
        <f t="shared" si="4"/>
        <v>1.0531246081495671E-2</v>
      </c>
      <c r="F151" s="8" t="str">
        <v xml:space="preserve">Irlanda </v>
      </c>
      <c r="G151" s="70">
        <f t="shared" si="5"/>
        <v>4.1589717180013381E-3</v>
      </c>
    </row>
    <row r="152" spans="1:7" x14ac:dyDescent="0.2">
      <c r="A152" s="25" t="s">
        <v>169</v>
      </c>
      <c r="B152" s="26">
        <v>56578868</v>
      </c>
      <c r="C152" s="26">
        <v>155312399</v>
      </c>
      <c r="D152" s="70">
        <f t="shared" si="4"/>
        <v>3.0011084100668691E-3</v>
      </c>
      <c r="F152" s="8" t="str">
        <v xml:space="preserve">Italia </v>
      </c>
    </row>
    <row r="153" spans="1:7" x14ac:dyDescent="0.2">
      <c r="A153" s="25" t="s">
        <v>170</v>
      </c>
      <c r="B153" s="26">
        <v>136583</v>
      </c>
      <c r="C153" s="26">
        <v>134834.12</v>
      </c>
      <c r="D153" s="70">
        <f t="shared" si="4"/>
        <v>7.244761241461444E-6</v>
      </c>
    </row>
    <row r="154" spans="1:7" x14ac:dyDescent="0.2">
      <c r="A154" s="25" t="s">
        <v>171</v>
      </c>
      <c r="B154" s="26">
        <v>78407668</v>
      </c>
      <c r="C154" s="26">
        <v>285618488.79000002</v>
      </c>
      <c r="D154" s="70">
        <f t="shared" si="4"/>
        <v>4.1589717180013381E-3</v>
      </c>
    </row>
    <row r="155" spans="1:7" x14ac:dyDescent="0.2">
      <c r="A155" s="25" t="s">
        <v>173</v>
      </c>
      <c r="B155" s="26">
        <v>1026131307</v>
      </c>
      <c r="C155" s="26">
        <v>1902595190.8699999</v>
      </c>
      <c r="D155" s="70">
        <f t="shared" si="4"/>
        <v>5.4429001571233419E-2</v>
      </c>
    </row>
    <row r="156" spans="1:7" x14ac:dyDescent="0.2">
      <c r="A156" s="25" t="s">
        <v>174</v>
      </c>
      <c r="B156" s="26">
        <v>414373</v>
      </c>
      <c r="C156" s="26">
        <v>24940.34</v>
      </c>
    </row>
    <row r="157" spans="1:7" x14ac:dyDescent="0.2">
      <c r="A157" s="25" t="s">
        <v>175</v>
      </c>
      <c r="B157" s="26">
        <v>223176</v>
      </c>
      <c r="C157" s="26">
        <v>33127.82</v>
      </c>
    </row>
    <row r="158" spans="1:7" x14ac:dyDescent="0.2">
      <c r="A158" s="25" t="s">
        <v>176</v>
      </c>
      <c r="B158" s="26">
        <v>399588</v>
      </c>
      <c r="C158" s="26">
        <v>326114.38</v>
      </c>
    </row>
    <row r="159" spans="1:7" x14ac:dyDescent="0.2">
      <c r="A159" s="25" t="s">
        <v>177</v>
      </c>
      <c r="B159" s="26">
        <v>1051703985</v>
      </c>
      <c r="C159" s="26">
        <v>2414870827.6799998</v>
      </c>
    </row>
    <row r="160" spans="1:7" x14ac:dyDescent="0.2">
      <c r="A160" s="25" t="s">
        <v>178</v>
      </c>
      <c r="B160" s="26">
        <v>364513050</v>
      </c>
      <c r="C160" s="26">
        <v>986238076.33000004</v>
      </c>
    </row>
    <row r="161" spans="1:3" x14ac:dyDescent="0.2">
      <c r="A161" s="25" t="s">
        <v>179</v>
      </c>
      <c r="B161" s="26">
        <v>35493058</v>
      </c>
      <c r="C161" s="26">
        <v>65654514.009999998</v>
      </c>
    </row>
    <row r="162" spans="1:3" x14ac:dyDescent="0.2">
      <c r="A162" s="25" t="s">
        <v>180</v>
      </c>
      <c r="B162" s="26">
        <v>327631195</v>
      </c>
      <c r="C162" s="26">
        <v>840179883.04999995</v>
      </c>
    </row>
    <row r="163" spans="1:3" x14ac:dyDescent="0.2">
      <c r="A163" s="25" t="s">
        <v>181</v>
      </c>
      <c r="B163" s="26">
        <v>9899527</v>
      </c>
      <c r="C163" s="26">
        <v>25450799.710000001</v>
      </c>
    </row>
    <row r="164" spans="1:3" x14ac:dyDescent="0.2">
      <c r="A164" s="25" t="s">
        <v>182</v>
      </c>
      <c r="B164" s="26">
        <v>7321093</v>
      </c>
      <c r="C164" s="26">
        <v>509187.72</v>
      </c>
    </row>
    <row r="165" spans="1:3" x14ac:dyDescent="0.2">
      <c r="A165" s="25" t="s">
        <v>183</v>
      </c>
      <c r="B165" s="26">
        <v>4438320</v>
      </c>
      <c r="C165" s="26">
        <v>450101.36</v>
      </c>
    </row>
    <row r="166" spans="1:3" x14ac:dyDescent="0.2">
      <c r="A166" s="25" t="s">
        <v>184</v>
      </c>
      <c r="B166" s="26">
        <v>12498440</v>
      </c>
      <c r="C166" s="26">
        <v>32740007.050000001</v>
      </c>
    </row>
    <row r="167" spans="1:3" x14ac:dyDescent="0.2">
      <c r="A167" s="25" t="s">
        <v>185</v>
      </c>
      <c r="B167" s="26">
        <v>98387883</v>
      </c>
      <c r="C167" s="26">
        <v>241637074.43000001</v>
      </c>
    </row>
    <row r="168" spans="1:3" x14ac:dyDescent="0.2">
      <c r="A168" s="25" t="s">
        <v>186</v>
      </c>
      <c r="B168" s="26">
        <v>185491170</v>
      </c>
      <c r="C168" s="26">
        <v>148085162.15000001</v>
      </c>
    </row>
    <row r="169" spans="1:3" x14ac:dyDescent="0.2">
      <c r="A169" s="25" t="s">
        <v>187</v>
      </c>
      <c r="B169" s="26">
        <v>828845</v>
      </c>
      <c r="C169" s="26">
        <v>177933.6</v>
      </c>
    </row>
    <row r="170" spans="1:3" x14ac:dyDescent="0.2">
      <c r="A170" s="25" t="s">
        <v>188</v>
      </c>
      <c r="B170" s="26">
        <v>1412009</v>
      </c>
      <c r="C170" s="26">
        <v>66614.509999999995</v>
      </c>
    </row>
    <row r="171" spans="1:3" x14ac:dyDescent="0.2">
      <c r="A171" s="25" t="s">
        <v>189</v>
      </c>
      <c r="B171" s="26">
        <v>27954660</v>
      </c>
      <c r="C171" s="26">
        <v>72357946.689999998</v>
      </c>
    </row>
    <row r="172" spans="1:3" x14ac:dyDescent="0.2">
      <c r="A172" s="25" t="s">
        <v>190</v>
      </c>
      <c r="B172" s="26">
        <v>11216574</v>
      </c>
      <c r="C172" s="26">
        <v>24567192.09</v>
      </c>
    </row>
    <row r="173" spans="1:3" x14ac:dyDescent="0.2">
      <c r="A173" s="25" t="s">
        <v>209</v>
      </c>
      <c r="B173" s="26">
        <v>236116</v>
      </c>
      <c r="C173" s="26">
        <v>18290.36</v>
      </c>
    </row>
    <row r="174" spans="1:3" x14ac:dyDescent="0.2">
      <c r="A174" s="25" t="s">
        <v>191</v>
      </c>
      <c r="B174" s="26">
        <v>87773657</v>
      </c>
      <c r="C174" s="26">
        <v>66716563.420000002</v>
      </c>
    </row>
    <row r="175" spans="1:3" x14ac:dyDescent="0.2">
      <c r="A175" s="25" t="s">
        <v>192</v>
      </c>
      <c r="B175" s="26">
        <v>6908616</v>
      </c>
      <c r="C175" s="26">
        <v>961753.28</v>
      </c>
    </row>
    <row r="176" spans="1:3" x14ac:dyDescent="0.2">
      <c r="A176" s="25" t="s">
        <v>193</v>
      </c>
      <c r="B176" s="26">
        <v>107990</v>
      </c>
      <c r="C176" s="26">
        <v>15575.56</v>
      </c>
    </row>
    <row r="177" spans="1:3" x14ac:dyDescent="0.2">
      <c r="A177" s="25" t="s">
        <v>194</v>
      </c>
      <c r="B177" s="26">
        <v>3024751</v>
      </c>
      <c r="C177" s="26">
        <v>8213545.1600000001</v>
      </c>
    </row>
    <row r="178" spans="1:3" x14ac:dyDescent="0.2">
      <c r="A178" s="25" t="s">
        <v>195</v>
      </c>
      <c r="B178" s="26">
        <v>2206</v>
      </c>
      <c r="C178" s="26">
        <v>3832.01</v>
      </c>
    </row>
    <row r="179" spans="1:3" x14ac:dyDescent="0.2">
      <c r="A179" s="25" t="s">
        <v>196</v>
      </c>
      <c r="B179" s="26">
        <v>10637481</v>
      </c>
      <c r="C179" s="26">
        <v>27142982.850000001</v>
      </c>
    </row>
    <row r="180" spans="1:3" x14ac:dyDescent="0.2">
      <c r="A180" s="25" t="s">
        <v>197</v>
      </c>
      <c r="B180" s="26" t="s">
        <v>30</v>
      </c>
      <c r="C180" s="26" t="s">
        <v>30</v>
      </c>
    </row>
    <row r="181" spans="1:3" x14ac:dyDescent="0.2">
      <c r="A181" s="25" t="s">
        <v>198</v>
      </c>
      <c r="B181" s="26">
        <v>1976221</v>
      </c>
      <c r="C181" s="26">
        <v>516185.2</v>
      </c>
    </row>
    <row r="182" spans="1:3" x14ac:dyDescent="0.2">
      <c r="A182" s="25" t="s">
        <v>199</v>
      </c>
      <c r="B182" s="26">
        <v>4521</v>
      </c>
      <c r="C182" s="26">
        <v>7833.6</v>
      </c>
    </row>
    <row r="183" spans="1:3" x14ac:dyDescent="0.2">
      <c r="A183" s="25" t="s">
        <v>200</v>
      </c>
      <c r="B183" s="26">
        <v>12534</v>
      </c>
      <c r="C183" s="26">
        <v>12297.69</v>
      </c>
    </row>
    <row r="184" spans="1:3" x14ac:dyDescent="0.2">
      <c r="A184" s="25"/>
      <c r="B184" s="26"/>
      <c r="C184" s="26"/>
    </row>
    <row r="185" spans="1:3" x14ac:dyDescent="0.2">
      <c r="A185" s="25" t="s">
        <v>201</v>
      </c>
      <c r="B185" s="26">
        <v>313499010</v>
      </c>
      <c r="C185" s="26">
        <v>760300480.88</v>
      </c>
    </row>
    <row r="186" spans="1:3" x14ac:dyDescent="0.2">
      <c r="A186" s="25" t="s">
        <v>202</v>
      </c>
      <c r="B186" s="26">
        <v>270670122</v>
      </c>
      <c r="C186" s="26">
        <v>646939930.20000005</v>
      </c>
    </row>
    <row r="187" spans="1:3" x14ac:dyDescent="0.2">
      <c r="A187" s="25" t="s">
        <v>203</v>
      </c>
      <c r="B187" s="26">
        <v>41936102</v>
      </c>
      <c r="C187" s="26">
        <v>113319277.98999999</v>
      </c>
    </row>
    <row r="188" spans="1:3" x14ac:dyDescent="0.2">
      <c r="A188" s="25" t="s">
        <v>210</v>
      </c>
      <c r="B188" s="26">
        <v>329187</v>
      </c>
      <c r="C188" s="26">
        <v>16363.48</v>
      </c>
    </row>
    <row r="189" spans="1:3" x14ac:dyDescent="0.2">
      <c r="A189" s="25" t="s">
        <v>211</v>
      </c>
      <c r="B189" s="26">
        <v>557292</v>
      </c>
      <c r="C189" s="26">
        <v>9587</v>
      </c>
    </row>
    <row r="190" spans="1:3" x14ac:dyDescent="0.2">
      <c r="A190" s="25" t="s">
        <v>204</v>
      </c>
      <c r="B190" s="26">
        <v>6305</v>
      </c>
      <c r="C190" s="26">
        <v>15322.21</v>
      </c>
    </row>
    <row r="191" spans="1:3" x14ac:dyDescent="0.2">
      <c r="A191" s="25"/>
      <c r="B191" s="26"/>
      <c r="C191" s="26"/>
    </row>
    <row r="192" spans="1:3" x14ac:dyDescent="0.2">
      <c r="A192" s="27" t="s">
        <v>17</v>
      </c>
      <c r="B192" s="28" t="s">
        <v>30</v>
      </c>
      <c r="C192" s="28" t="s">
        <v>30</v>
      </c>
    </row>
    <row r="193" spans="1:3" x14ac:dyDescent="0.2">
      <c r="B193" s="29"/>
      <c r="C193" s="29"/>
    </row>
    <row r="194" spans="1:3" x14ac:dyDescent="0.2">
      <c r="A194" s="30" t="s">
        <v>16</v>
      </c>
      <c r="B194" s="29"/>
      <c r="C194" s="29"/>
    </row>
    <row r="195" spans="1:3" x14ac:dyDescent="0.2">
      <c r="B195" s="29"/>
      <c r="C195" s="29"/>
    </row>
    <row r="196" spans="1:3" x14ac:dyDescent="0.2">
      <c r="B196" s="29"/>
      <c r="C196" s="29"/>
    </row>
    <row r="197" spans="1:3" x14ac:dyDescent="0.2">
      <c r="B197" s="29"/>
      <c r="C197" s="29"/>
    </row>
    <row r="198" spans="1:3" x14ac:dyDescent="0.2">
      <c r="B198" s="29"/>
      <c r="C198" s="29"/>
    </row>
    <row r="199" spans="1:3" x14ac:dyDescent="0.2">
      <c r="B199" s="29"/>
      <c r="C199" s="29"/>
    </row>
    <row r="200" spans="1:3" x14ac:dyDescent="0.2">
      <c r="B200" s="29"/>
      <c r="C200" s="29"/>
    </row>
    <row r="201" spans="1:3" x14ac:dyDescent="0.2">
      <c r="B201" s="29"/>
      <c r="C201" s="29"/>
    </row>
    <row r="202" spans="1:3" x14ac:dyDescent="0.2">
      <c r="B202" s="29"/>
      <c r="C202" s="29"/>
    </row>
    <row r="203" spans="1:3" x14ac:dyDescent="0.2">
      <c r="B203" s="29"/>
      <c r="C203" s="29"/>
    </row>
    <row r="204" spans="1:3" x14ac:dyDescent="0.2">
      <c r="B204" s="29"/>
      <c r="C204" s="29"/>
    </row>
    <row r="205" spans="1:3" x14ac:dyDescent="0.2">
      <c r="B205" s="29"/>
      <c r="C205" s="29"/>
    </row>
    <row r="206" spans="1:3" x14ac:dyDescent="0.2">
      <c r="B206" s="29"/>
      <c r="C206" s="29"/>
    </row>
    <row r="207" spans="1:3" x14ac:dyDescent="0.2">
      <c r="B207" s="29"/>
      <c r="C207" s="29"/>
    </row>
    <row r="208" spans="1:3" x14ac:dyDescent="0.2">
      <c r="B208" s="29"/>
      <c r="C208" s="29"/>
    </row>
    <row r="209" spans="2:3" x14ac:dyDescent="0.2">
      <c r="B209" s="29"/>
      <c r="C209" s="29"/>
    </row>
    <row r="210" spans="2:3" x14ac:dyDescent="0.2">
      <c r="B210" s="29"/>
      <c r="C210" s="29"/>
    </row>
    <row r="211" spans="2:3" x14ac:dyDescent="0.2">
      <c r="B211" s="29"/>
      <c r="C211" s="29"/>
    </row>
    <row r="212" spans="2:3" x14ac:dyDescent="0.2">
      <c r="B212" s="29"/>
      <c r="C212" s="29"/>
    </row>
    <row r="213" spans="2:3" x14ac:dyDescent="0.2">
      <c r="B213" s="29"/>
      <c r="C213" s="29"/>
    </row>
    <row r="214" spans="2:3" x14ac:dyDescent="0.2">
      <c r="B214" s="29"/>
      <c r="C214" s="29"/>
    </row>
    <row r="215" spans="2:3" x14ac:dyDescent="0.2">
      <c r="B215" s="29"/>
      <c r="C215" s="29"/>
    </row>
    <row r="216" spans="2:3" x14ac:dyDescent="0.2">
      <c r="B216" s="29"/>
      <c r="C216" s="29"/>
    </row>
    <row r="217" spans="2:3" x14ac:dyDescent="0.2">
      <c r="B217" s="29"/>
      <c r="C217" s="29"/>
    </row>
    <row r="218" spans="2:3" x14ac:dyDescent="0.2">
      <c r="B218" s="29"/>
      <c r="C218" s="29"/>
    </row>
    <row r="219" spans="2:3" x14ac:dyDescent="0.2">
      <c r="B219" s="29"/>
      <c r="C219" s="29"/>
    </row>
    <row r="220" spans="2:3" x14ac:dyDescent="0.2">
      <c r="B220" s="29"/>
      <c r="C220" s="29"/>
    </row>
    <row r="221" spans="2:3" x14ac:dyDescent="0.2">
      <c r="B221" s="29"/>
      <c r="C221" s="29"/>
    </row>
    <row r="222" spans="2:3" x14ac:dyDescent="0.2">
      <c r="B222" s="29"/>
      <c r="C222" s="29"/>
    </row>
    <row r="223" spans="2:3" x14ac:dyDescent="0.2">
      <c r="B223" s="29"/>
      <c r="C223" s="29"/>
    </row>
    <row r="224" spans="2:3" x14ac:dyDescent="0.2">
      <c r="B224" s="29"/>
      <c r="C224" s="29"/>
    </row>
    <row r="225" spans="2:3" x14ac:dyDescent="0.2">
      <c r="B225" s="29"/>
      <c r="C225" s="29"/>
    </row>
    <row r="226" spans="2:3" x14ac:dyDescent="0.2">
      <c r="B226" s="29"/>
      <c r="C226" s="29"/>
    </row>
    <row r="227" spans="2:3" x14ac:dyDescent="0.2">
      <c r="B227" s="29"/>
      <c r="C227" s="29"/>
    </row>
    <row r="228" spans="2:3" x14ac:dyDescent="0.2">
      <c r="B228" s="29"/>
      <c r="C228" s="29"/>
    </row>
    <row r="229" spans="2:3" x14ac:dyDescent="0.2">
      <c r="B229" s="29"/>
      <c r="C229" s="29"/>
    </row>
    <row r="230" spans="2:3" x14ac:dyDescent="0.2">
      <c r="B230" s="29"/>
      <c r="C230" s="29"/>
    </row>
    <row r="231" spans="2:3" x14ac:dyDescent="0.2">
      <c r="B231" s="29"/>
      <c r="C231" s="29"/>
    </row>
    <row r="232" spans="2:3" x14ac:dyDescent="0.2">
      <c r="B232" s="29"/>
      <c r="C232" s="29"/>
    </row>
    <row r="233" spans="2:3" x14ac:dyDescent="0.2">
      <c r="B233" s="29"/>
      <c r="C233" s="29"/>
    </row>
    <row r="234" spans="2:3" x14ac:dyDescent="0.2">
      <c r="B234" s="29"/>
      <c r="C234" s="29"/>
    </row>
    <row r="235" spans="2:3" x14ac:dyDescent="0.2">
      <c r="B235" s="29"/>
      <c r="C235" s="29"/>
    </row>
    <row r="236" spans="2:3" x14ac:dyDescent="0.2">
      <c r="B236" s="29"/>
      <c r="C236" s="29"/>
    </row>
    <row r="237" spans="2:3" x14ac:dyDescent="0.2">
      <c r="B237" s="29"/>
      <c r="C237" s="29"/>
    </row>
    <row r="238" spans="2:3" x14ac:dyDescent="0.2">
      <c r="B238" s="29"/>
      <c r="C238" s="29"/>
    </row>
    <row r="239" spans="2:3" x14ac:dyDescent="0.2">
      <c r="B239" s="29"/>
      <c r="C239" s="29"/>
    </row>
    <row r="240" spans="2:3" x14ac:dyDescent="0.2">
      <c r="B240" s="29"/>
      <c r="C240" s="29"/>
    </row>
    <row r="241" spans="2:3" x14ac:dyDescent="0.2">
      <c r="B241" s="29"/>
      <c r="C241" s="29"/>
    </row>
    <row r="242" spans="2:3" x14ac:dyDescent="0.2">
      <c r="B242" s="29"/>
      <c r="C242" s="29"/>
    </row>
    <row r="243" spans="2:3" x14ac:dyDescent="0.2">
      <c r="B243" s="29"/>
      <c r="C243" s="29"/>
    </row>
    <row r="244" spans="2:3" x14ac:dyDescent="0.2">
      <c r="B244" s="29"/>
      <c r="C244" s="29"/>
    </row>
    <row r="245" spans="2:3" x14ac:dyDescent="0.2">
      <c r="B245" s="29"/>
      <c r="C245" s="29"/>
    </row>
    <row r="246" spans="2:3" x14ac:dyDescent="0.2">
      <c r="B246" s="29"/>
      <c r="C246" s="29"/>
    </row>
    <row r="247" spans="2:3" x14ac:dyDescent="0.2">
      <c r="B247" s="29"/>
      <c r="C247" s="29"/>
    </row>
    <row r="248" spans="2:3" x14ac:dyDescent="0.2">
      <c r="B248" s="29"/>
      <c r="C248" s="29"/>
    </row>
    <row r="249" spans="2:3" x14ac:dyDescent="0.2">
      <c r="B249" s="29"/>
      <c r="C249" s="29"/>
    </row>
    <row r="250" spans="2:3" x14ac:dyDescent="0.2">
      <c r="B250" s="29"/>
      <c r="C250" s="29"/>
    </row>
    <row r="251" spans="2:3" x14ac:dyDescent="0.2">
      <c r="B251" s="29"/>
      <c r="C251" s="29"/>
    </row>
    <row r="252" spans="2:3" x14ac:dyDescent="0.2">
      <c r="B252" s="29"/>
      <c r="C252" s="29"/>
    </row>
    <row r="253" spans="2:3" x14ac:dyDescent="0.2">
      <c r="B253" s="29"/>
      <c r="C253" s="29"/>
    </row>
    <row r="254" spans="2:3" x14ac:dyDescent="0.2">
      <c r="B254" s="29"/>
      <c r="C254" s="29"/>
    </row>
    <row r="255" spans="2:3" x14ac:dyDescent="0.2">
      <c r="B255" s="29"/>
      <c r="C255" s="29"/>
    </row>
    <row r="256" spans="2:3" x14ac:dyDescent="0.2">
      <c r="B256" s="29"/>
      <c r="C256" s="29"/>
    </row>
    <row r="257" spans="2:3" x14ac:dyDescent="0.2">
      <c r="B257" s="29"/>
      <c r="C257" s="29"/>
    </row>
    <row r="258" spans="2:3" x14ac:dyDescent="0.2">
      <c r="B258" s="29"/>
      <c r="C258" s="29"/>
    </row>
    <row r="259" spans="2:3" x14ac:dyDescent="0.2">
      <c r="B259" s="29"/>
      <c r="C259" s="29"/>
    </row>
    <row r="260" spans="2:3" x14ac:dyDescent="0.2">
      <c r="B260" s="29"/>
      <c r="C260" s="29"/>
    </row>
    <row r="261" spans="2:3" x14ac:dyDescent="0.2">
      <c r="B261" s="29"/>
      <c r="C261" s="29"/>
    </row>
    <row r="262" spans="2:3" x14ac:dyDescent="0.2">
      <c r="B262" s="29"/>
      <c r="C262" s="29"/>
    </row>
    <row r="263" spans="2:3" x14ac:dyDescent="0.2">
      <c r="B263" s="29"/>
      <c r="C263" s="29"/>
    </row>
    <row r="264" spans="2:3" x14ac:dyDescent="0.2">
      <c r="B264" s="29"/>
      <c r="C264" s="29"/>
    </row>
    <row r="265" spans="2:3" x14ac:dyDescent="0.2">
      <c r="B265" s="29"/>
      <c r="C265" s="29"/>
    </row>
    <row r="266" spans="2:3" x14ac:dyDescent="0.2">
      <c r="B266" s="29"/>
      <c r="C266" s="29"/>
    </row>
    <row r="267" spans="2:3" x14ac:dyDescent="0.2">
      <c r="B267" s="29"/>
      <c r="C267" s="29"/>
    </row>
    <row r="268" spans="2:3" x14ac:dyDescent="0.2">
      <c r="B268" s="29"/>
      <c r="C268" s="29"/>
    </row>
    <row r="269" spans="2:3" x14ac:dyDescent="0.2">
      <c r="B269" s="29"/>
      <c r="C269" s="29"/>
    </row>
    <row r="270" spans="2:3" x14ac:dyDescent="0.2">
      <c r="B270" s="29"/>
      <c r="C270" s="29"/>
    </row>
    <row r="271" spans="2:3" x14ac:dyDescent="0.2">
      <c r="B271" s="29"/>
      <c r="C271" s="29"/>
    </row>
    <row r="272" spans="2:3" x14ac:dyDescent="0.2">
      <c r="B272" s="29"/>
      <c r="C272" s="29"/>
    </row>
    <row r="273" spans="2:3" x14ac:dyDescent="0.2">
      <c r="B273" s="29"/>
      <c r="C273" s="29"/>
    </row>
    <row r="274" spans="2:3" x14ac:dyDescent="0.2">
      <c r="B274" s="29"/>
      <c r="C274" s="29"/>
    </row>
    <row r="275" spans="2:3" x14ac:dyDescent="0.2">
      <c r="B275" s="29"/>
      <c r="C275" s="29"/>
    </row>
    <row r="276" spans="2:3" x14ac:dyDescent="0.2">
      <c r="B276" s="29"/>
      <c r="C276" s="29"/>
    </row>
    <row r="277" spans="2:3" x14ac:dyDescent="0.2">
      <c r="B277" s="29"/>
      <c r="C277" s="29"/>
    </row>
    <row r="278" spans="2:3" x14ac:dyDescent="0.2">
      <c r="B278" s="29"/>
      <c r="C278" s="29"/>
    </row>
    <row r="279" spans="2:3" x14ac:dyDescent="0.2">
      <c r="B279" s="29"/>
      <c r="C279" s="29"/>
    </row>
    <row r="280" spans="2:3" x14ac:dyDescent="0.2">
      <c r="B280" s="29"/>
      <c r="C280" s="29"/>
    </row>
    <row r="281" spans="2:3" x14ac:dyDescent="0.2">
      <c r="B281" s="29"/>
      <c r="C281" s="29"/>
    </row>
    <row r="282" spans="2:3" x14ac:dyDescent="0.2">
      <c r="B282" s="29"/>
      <c r="C282" s="29"/>
    </row>
    <row r="283" spans="2:3" x14ac:dyDescent="0.2">
      <c r="B283" s="29"/>
      <c r="C283" s="29"/>
    </row>
    <row r="284" spans="2:3" x14ac:dyDescent="0.2">
      <c r="B284" s="29"/>
      <c r="C284" s="29"/>
    </row>
    <row r="285" spans="2:3" x14ac:dyDescent="0.2">
      <c r="B285" s="29"/>
      <c r="C285" s="29"/>
    </row>
    <row r="286" spans="2:3" x14ac:dyDescent="0.2">
      <c r="B286" s="29"/>
      <c r="C286" s="29"/>
    </row>
    <row r="287" spans="2:3" x14ac:dyDescent="0.2">
      <c r="B287" s="29"/>
      <c r="C287" s="29"/>
    </row>
    <row r="288" spans="2:3" x14ac:dyDescent="0.2">
      <c r="B288" s="29"/>
      <c r="C288" s="29"/>
    </row>
    <row r="289" spans="2:3" x14ac:dyDescent="0.2">
      <c r="B289" s="29"/>
      <c r="C289" s="29"/>
    </row>
    <row r="290" spans="2:3" x14ac:dyDescent="0.2">
      <c r="B290" s="29"/>
      <c r="C290" s="29"/>
    </row>
    <row r="291" spans="2:3" x14ac:dyDescent="0.2">
      <c r="B291" s="29"/>
      <c r="C291" s="29"/>
    </row>
    <row r="292" spans="2:3" x14ac:dyDescent="0.2">
      <c r="B292" s="29"/>
      <c r="C292" s="29"/>
    </row>
    <row r="293" spans="2:3" x14ac:dyDescent="0.2">
      <c r="B293" s="29"/>
      <c r="C293" s="29"/>
    </row>
    <row r="294" spans="2:3" x14ac:dyDescent="0.2">
      <c r="B294" s="29"/>
      <c r="C294" s="29"/>
    </row>
    <row r="295" spans="2:3" x14ac:dyDescent="0.2">
      <c r="B295" s="29"/>
      <c r="C295" s="29"/>
    </row>
    <row r="296" spans="2:3" x14ac:dyDescent="0.2">
      <c r="B296" s="29"/>
      <c r="C296" s="29"/>
    </row>
    <row r="297" spans="2:3" x14ac:dyDescent="0.2">
      <c r="B297" s="29"/>
      <c r="C297" s="29"/>
    </row>
    <row r="298" spans="2:3" x14ac:dyDescent="0.2">
      <c r="B298" s="29"/>
      <c r="C298" s="29"/>
    </row>
    <row r="299" spans="2:3" x14ac:dyDescent="0.2">
      <c r="B299" s="29"/>
      <c r="C299" s="29"/>
    </row>
    <row r="300" spans="2:3" x14ac:dyDescent="0.2">
      <c r="B300" s="29"/>
      <c r="C300" s="29"/>
    </row>
    <row r="301" spans="2:3" x14ac:dyDescent="0.2">
      <c r="B301" s="29"/>
      <c r="C301" s="29"/>
    </row>
    <row r="302" spans="2:3" x14ac:dyDescent="0.2">
      <c r="B302" s="29"/>
      <c r="C302" s="29"/>
    </row>
    <row r="303" spans="2:3" x14ac:dyDescent="0.2">
      <c r="B303" s="29"/>
      <c r="C303" s="29"/>
    </row>
    <row r="304" spans="2:3" x14ac:dyDescent="0.2">
      <c r="B304" s="29"/>
      <c r="C304" s="29"/>
    </row>
    <row r="305" spans="2:3" x14ac:dyDescent="0.2">
      <c r="B305" s="29"/>
      <c r="C305" s="29"/>
    </row>
    <row r="306" spans="2:3" x14ac:dyDescent="0.2">
      <c r="B306" s="29"/>
      <c r="C306" s="29"/>
    </row>
    <row r="307" spans="2:3" x14ac:dyDescent="0.2">
      <c r="B307" s="29"/>
      <c r="C307" s="29"/>
    </row>
    <row r="308" spans="2:3" x14ac:dyDescent="0.2">
      <c r="B308" s="29"/>
      <c r="C308" s="29"/>
    </row>
    <row r="309" spans="2:3" x14ac:dyDescent="0.2">
      <c r="B309" s="29"/>
      <c r="C309" s="29"/>
    </row>
    <row r="310" spans="2:3" x14ac:dyDescent="0.2">
      <c r="B310" s="29"/>
      <c r="C310" s="29"/>
    </row>
    <row r="311" spans="2:3" x14ac:dyDescent="0.2">
      <c r="B311" s="29"/>
      <c r="C311" s="29"/>
    </row>
    <row r="312" spans="2:3" x14ac:dyDescent="0.2">
      <c r="B312" s="29"/>
      <c r="C312" s="29"/>
    </row>
    <row r="313" spans="2:3" x14ac:dyDescent="0.2">
      <c r="B313" s="29"/>
      <c r="C313" s="29"/>
    </row>
    <row r="314" spans="2:3" x14ac:dyDescent="0.2">
      <c r="B314" s="29"/>
      <c r="C314" s="29"/>
    </row>
    <row r="315" spans="2:3" x14ac:dyDescent="0.2">
      <c r="B315" s="29"/>
      <c r="C315" s="29"/>
    </row>
    <row r="316" spans="2:3" x14ac:dyDescent="0.2">
      <c r="B316" s="29"/>
      <c r="C316" s="29"/>
    </row>
    <row r="317" spans="2:3" x14ac:dyDescent="0.2">
      <c r="B317" s="29"/>
      <c r="C317" s="29"/>
    </row>
    <row r="318" spans="2:3" x14ac:dyDescent="0.2">
      <c r="B318" s="29"/>
      <c r="C318" s="29"/>
    </row>
    <row r="319" spans="2:3" x14ac:dyDescent="0.2">
      <c r="B319" s="29"/>
      <c r="C319" s="29"/>
    </row>
    <row r="320" spans="2:3" x14ac:dyDescent="0.2">
      <c r="B320" s="29"/>
      <c r="C320" s="29"/>
    </row>
    <row r="321" spans="2:3" x14ac:dyDescent="0.2">
      <c r="B321" s="29"/>
      <c r="C321" s="29"/>
    </row>
    <row r="322" spans="2:3" x14ac:dyDescent="0.2">
      <c r="B322" s="29"/>
      <c r="C322" s="29"/>
    </row>
    <row r="323" spans="2:3" x14ac:dyDescent="0.2">
      <c r="B323" s="29"/>
      <c r="C323" s="29"/>
    </row>
    <row r="324" spans="2:3" x14ac:dyDescent="0.2">
      <c r="B324" s="29"/>
      <c r="C324" s="29"/>
    </row>
    <row r="325" spans="2:3" x14ac:dyDescent="0.2">
      <c r="B325" s="29"/>
      <c r="C325" s="29"/>
    </row>
    <row r="326" spans="2:3" x14ac:dyDescent="0.2">
      <c r="B326" s="29"/>
      <c r="C326" s="29"/>
    </row>
    <row r="327" spans="2:3" x14ac:dyDescent="0.2">
      <c r="B327" s="29"/>
      <c r="C327" s="29"/>
    </row>
    <row r="328" spans="2:3" x14ac:dyDescent="0.2">
      <c r="B328" s="29"/>
      <c r="C328" s="29"/>
    </row>
    <row r="329" spans="2:3" x14ac:dyDescent="0.2">
      <c r="B329" s="29"/>
      <c r="C329" s="29"/>
    </row>
    <row r="330" spans="2:3" x14ac:dyDescent="0.2">
      <c r="B330" s="29"/>
      <c r="C330" s="29"/>
    </row>
    <row r="331" spans="2:3" x14ac:dyDescent="0.2">
      <c r="B331" s="29"/>
      <c r="C331" s="29"/>
    </row>
    <row r="332" spans="2:3" x14ac:dyDescent="0.2">
      <c r="B332" s="29"/>
      <c r="C332" s="29"/>
    </row>
    <row r="333" spans="2:3" x14ac:dyDescent="0.2">
      <c r="B333" s="29"/>
      <c r="C333" s="29"/>
    </row>
    <row r="334" spans="2:3" x14ac:dyDescent="0.2">
      <c r="B334" s="29"/>
      <c r="C334" s="29"/>
    </row>
    <row r="335" spans="2:3" x14ac:dyDescent="0.2">
      <c r="B335" s="29"/>
      <c r="C335" s="29"/>
    </row>
    <row r="336" spans="2:3" x14ac:dyDescent="0.2">
      <c r="B336" s="29"/>
      <c r="C336" s="29"/>
    </row>
    <row r="337" spans="2:3" x14ac:dyDescent="0.2">
      <c r="B337" s="29"/>
      <c r="C337" s="29"/>
    </row>
    <row r="338" spans="2:3" x14ac:dyDescent="0.2">
      <c r="B338" s="29"/>
      <c r="C338" s="29"/>
    </row>
    <row r="339" spans="2:3" x14ac:dyDescent="0.2">
      <c r="B339" s="29"/>
      <c r="C339" s="29"/>
    </row>
    <row r="340" spans="2:3" x14ac:dyDescent="0.2">
      <c r="B340" s="29"/>
      <c r="C340" s="29"/>
    </row>
    <row r="341" spans="2:3" x14ac:dyDescent="0.2">
      <c r="B341" s="29"/>
      <c r="C341" s="29"/>
    </row>
    <row r="342" spans="2:3" x14ac:dyDescent="0.2">
      <c r="B342" s="29"/>
      <c r="C342" s="29"/>
    </row>
    <row r="343" spans="2:3" x14ac:dyDescent="0.2">
      <c r="B343" s="29"/>
      <c r="C343" s="29"/>
    </row>
    <row r="344" spans="2:3" x14ac:dyDescent="0.2">
      <c r="B344" s="29"/>
      <c r="C344" s="29"/>
    </row>
    <row r="345" spans="2:3" x14ac:dyDescent="0.2">
      <c r="B345" s="29"/>
      <c r="C345" s="29"/>
    </row>
    <row r="346" spans="2:3" x14ac:dyDescent="0.2">
      <c r="B346" s="29"/>
      <c r="C346" s="29"/>
    </row>
    <row r="347" spans="2:3" x14ac:dyDescent="0.2">
      <c r="B347" s="29"/>
      <c r="C347" s="29"/>
    </row>
    <row r="348" spans="2:3" x14ac:dyDescent="0.2">
      <c r="B348" s="29"/>
      <c r="C348" s="29"/>
    </row>
    <row r="349" spans="2:3" x14ac:dyDescent="0.2">
      <c r="B349" s="29"/>
      <c r="C349" s="29"/>
    </row>
    <row r="350" spans="2:3" x14ac:dyDescent="0.2">
      <c r="B350" s="29"/>
      <c r="C350" s="29"/>
    </row>
    <row r="351" spans="2:3" x14ac:dyDescent="0.2">
      <c r="B351" s="29"/>
      <c r="C351" s="29"/>
    </row>
    <row r="352" spans="2:3" x14ac:dyDescent="0.2">
      <c r="B352" s="29"/>
      <c r="C352" s="29"/>
    </row>
    <row r="353" spans="2:3" x14ac:dyDescent="0.2">
      <c r="B353" s="29"/>
      <c r="C353" s="29"/>
    </row>
    <row r="354" spans="2:3" x14ac:dyDescent="0.2">
      <c r="B354" s="29"/>
      <c r="C354" s="29"/>
    </row>
    <row r="355" spans="2:3" x14ac:dyDescent="0.2">
      <c r="B355" s="29"/>
      <c r="C355" s="29"/>
    </row>
    <row r="356" spans="2:3" x14ac:dyDescent="0.2">
      <c r="B356" s="29"/>
      <c r="C356" s="29"/>
    </row>
    <row r="357" spans="2:3" x14ac:dyDescent="0.2">
      <c r="B357" s="29"/>
      <c r="C357" s="29"/>
    </row>
    <row r="358" spans="2:3" x14ac:dyDescent="0.2">
      <c r="B358" s="29"/>
      <c r="C358" s="29"/>
    </row>
    <row r="359" spans="2:3" x14ac:dyDescent="0.2">
      <c r="B359" s="29"/>
      <c r="C359" s="29"/>
    </row>
    <row r="360" spans="2:3" x14ac:dyDescent="0.2">
      <c r="B360" s="29"/>
      <c r="C360" s="29"/>
    </row>
    <row r="361" spans="2:3" x14ac:dyDescent="0.2">
      <c r="B361" s="29"/>
      <c r="C361" s="29"/>
    </row>
    <row r="362" spans="2:3" x14ac:dyDescent="0.2">
      <c r="B362" s="29"/>
      <c r="C362" s="29"/>
    </row>
    <row r="363" spans="2:3" x14ac:dyDescent="0.2">
      <c r="B363" s="29"/>
      <c r="C363" s="29"/>
    </row>
    <row r="364" spans="2:3" x14ac:dyDescent="0.2">
      <c r="B364" s="29"/>
      <c r="C364" s="29"/>
    </row>
    <row r="365" spans="2:3" x14ac:dyDescent="0.2">
      <c r="B365" s="29"/>
      <c r="C365" s="29"/>
    </row>
    <row r="366" spans="2:3" x14ac:dyDescent="0.2">
      <c r="B366" s="29"/>
      <c r="C366" s="29"/>
    </row>
    <row r="367" spans="2:3" x14ac:dyDescent="0.2">
      <c r="B367" s="29"/>
      <c r="C367" s="29"/>
    </row>
    <row r="368" spans="2:3" x14ac:dyDescent="0.2">
      <c r="B368" s="29"/>
      <c r="C368" s="29"/>
    </row>
    <row r="369" spans="2:3" x14ac:dyDescent="0.2">
      <c r="B369" s="29"/>
      <c r="C369" s="29"/>
    </row>
    <row r="370" spans="2:3" x14ac:dyDescent="0.2">
      <c r="B370" s="29"/>
      <c r="C370" s="29"/>
    </row>
    <row r="371" spans="2:3" x14ac:dyDescent="0.2">
      <c r="B371" s="29"/>
      <c r="C371" s="29"/>
    </row>
    <row r="372" spans="2:3" x14ac:dyDescent="0.2">
      <c r="B372" s="29"/>
      <c r="C372" s="29"/>
    </row>
    <row r="373" spans="2:3" x14ac:dyDescent="0.2">
      <c r="B373" s="29"/>
      <c r="C373" s="29"/>
    </row>
    <row r="374" spans="2:3" x14ac:dyDescent="0.2">
      <c r="B374" s="29"/>
      <c r="C374" s="29"/>
    </row>
    <row r="375" spans="2:3" x14ac:dyDescent="0.2">
      <c r="B375" s="29"/>
      <c r="C375" s="29"/>
    </row>
    <row r="376" spans="2:3" x14ac:dyDescent="0.2">
      <c r="B376" s="29"/>
      <c r="C376" s="29"/>
    </row>
    <row r="377" spans="2:3" x14ac:dyDescent="0.2">
      <c r="B377" s="29"/>
      <c r="C377" s="29"/>
    </row>
    <row r="378" spans="2:3" x14ac:dyDescent="0.2">
      <c r="B378" s="29"/>
      <c r="C378" s="29"/>
    </row>
    <row r="379" spans="2:3" x14ac:dyDescent="0.2">
      <c r="B379" s="29"/>
      <c r="C379" s="29"/>
    </row>
    <row r="380" spans="2:3" x14ac:dyDescent="0.2">
      <c r="B380" s="29"/>
      <c r="C380" s="29"/>
    </row>
    <row r="381" spans="2:3" x14ac:dyDescent="0.2">
      <c r="B381" s="29"/>
      <c r="C381" s="29"/>
    </row>
    <row r="382" spans="2:3" x14ac:dyDescent="0.2">
      <c r="B382" s="29"/>
      <c r="C382" s="29"/>
    </row>
    <row r="383" spans="2:3" x14ac:dyDescent="0.2">
      <c r="B383" s="29"/>
      <c r="C383" s="29"/>
    </row>
    <row r="384" spans="2:3" x14ac:dyDescent="0.2">
      <c r="B384" s="29"/>
      <c r="C384" s="29"/>
    </row>
    <row r="385" spans="2:3" x14ac:dyDescent="0.2">
      <c r="B385" s="29"/>
      <c r="C385" s="29"/>
    </row>
    <row r="386" spans="2:3" x14ac:dyDescent="0.2">
      <c r="B386" s="29"/>
      <c r="C386" s="29"/>
    </row>
    <row r="387" spans="2:3" x14ac:dyDescent="0.2">
      <c r="B387" s="29"/>
      <c r="C387" s="29"/>
    </row>
    <row r="388" spans="2:3" x14ac:dyDescent="0.2">
      <c r="B388" s="29"/>
      <c r="C388" s="29"/>
    </row>
    <row r="389" spans="2:3" x14ac:dyDescent="0.2">
      <c r="B389" s="29"/>
      <c r="C389" s="29"/>
    </row>
    <row r="390" spans="2:3" x14ac:dyDescent="0.2">
      <c r="B390" s="29"/>
      <c r="C390" s="29"/>
    </row>
    <row r="391" spans="2:3" x14ac:dyDescent="0.2">
      <c r="B391" s="29"/>
      <c r="C391" s="29"/>
    </row>
    <row r="392" spans="2:3" x14ac:dyDescent="0.2">
      <c r="B392" s="29"/>
      <c r="C392" s="29"/>
    </row>
    <row r="393" spans="2:3" x14ac:dyDescent="0.2">
      <c r="B393" s="29"/>
      <c r="C393" s="29"/>
    </row>
    <row r="394" spans="2:3" x14ac:dyDescent="0.2">
      <c r="B394" s="29"/>
      <c r="C394" s="29"/>
    </row>
    <row r="395" spans="2:3" x14ac:dyDescent="0.2">
      <c r="B395" s="29"/>
      <c r="C395" s="29"/>
    </row>
    <row r="396" spans="2:3" x14ac:dyDescent="0.2">
      <c r="B396" s="29"/>
      <c r="C396" s="29"/>
    </row>
    <row r="397" spans="2:3" x14ac:dyDescent="0.2">
      <c r="B397" s="29"/>
      <c r="C397" s="29"/>
    </row>
    <row r="398" spans="2:3" x14ac:dyDescent="0.2">
      <c r="B398" s="29"/>
      <c r="C398" s="29"/>
    </row>
    <row r="399" spans="2:3" x14ac:dyDescent="0.2">
      <c r="B399" s="29"/>
      <c r="C399" s="29"/>
    </row>
    <row r="400" spans="2:3" x14ac:dyDescent="0.2">
      <c r="B400" s="29"/>
      <c r="C400" s="29"/>
    </row>
    <row r="401" spans="2:3" x14ac:dyDescent="0.2">
      <c r="B401" s="29"/>
      <c r="C401" s="29"/>
    </row>
    <row r="402" spans="2:3" x14ac:dyDescent="0.2">
      <c r="B402" s="29"/>
      <c r="C402" s="29"/>
    </row>
    <row r="403" spans="2:3" x14ac:dyDescent="0.2">
      <c r="B403" s="29"/>
      <c r="C403" s="29"/>
    </row>
    <row r="404" spans="2:3" x14ac:dyDescent="0.2">
      <c r="B404" s="29"/>
      <c r="C404" s="29"/>
    </row>
    <row r="405" spans="2:3" x14ac:dyDescent="0.2">
      <c r="B405" s="29"/>
      <c r="C405" s="29"/>
    </row>
    <row r="406" spans="2:3" x14ac:dyDescent="0.2">
      <c r="B406" s="29"/>
      <c r="C406" s="29"/>
    </row>
    <row r="407" spans="2:3" x14ac:dyDescent="0.2">
      <c r="B407" s="29"/>
      <c r="C407" s="29"/>
    </row>
    <row r="408" spans="2:3" x14ac:dyDescent="0.2">
      <c r="B408" s="29"/>
      <c r="C408" s="29"/>
    </row>
    <row r="409" spans="2:3" x14ac:dyDescent="0.2">
      <c r="B409" s="29"/>
      <c r="C409" s="29"/>
    </row>
    <row r="410" spans="2:3" x14ac:dyDescent="0.2">
      <c r="B410" s="29"/>
      <c r="C410" s="29"/>
    </row>
    <row r="411" spans="2:3" x14ac:dyDescent="0.2">
      <c r="B411" s="29"/>
      <c r="C411" s="29"/>
    </row>
    <row r="412" spans="2:3" x14ac:dyDescent="0.2">
      <c r="B412" s="29"/>
      <c r="C412" s="29"/>
    </row>
    <row r="413" spans="2:3" x14ac:dyDescent="0.2">
      <c r="B413" s="29"/>
      <c r="C413" s="29"/>
    </row>
    <row r="414" spans="2:3" x14ac:dyDescent="0.2">
      <c r="B414" s="29"/>
      <c r="C414" s="29"/>
    </row>
    <row r="415" spans="2:3" x14ac:dyDescent="0.2">
      <c r="B415" s="29"/>
      <c r="C415" s="29"/>
    </row>
    <row r="416" spans="2:3" x14ac:dyDescent="0.2">
      <c r="B416" s="29"/>
      <c r="C416" s="29"/>
    </row>
    <row r="417" spans="2:3" x14ac:dyDescent="0.2">
      <c r="B417" s="29"/>
      <c r="C417" s="29"/>
    </row>
    <row r="418" spans="2:3" x14ac:dyDescent="0.2">
      <c r="B418" s="29"/>
      <c r="C418" s="29"/>
    </row>
    <row r="419" spans="2:3" x14ac:dyDescent="0.2">
      <c r="B419" s="29"/>
      <c r="C419" s="29"/>
    </row>
    <row r="420" spans="2:3" x14ac:dyDescent="0.2">
      <c r="B420" s="29"/>
      <c r="C420" s="29"/>
    </row>
    <row r="421" spans="2:3" x14ac:dyDescent="0.2">
      <c r="B421" s="29"/>
      <c r="C421" s="29"/>
    </row>
    <row r="422" spans="2:3" x14ac:dyDescent="0.2">
      <c r="B422" s="29"/>
      <c r="C422" s="29"/>
    </row>
    <row r="423" spans="2:3" x14ac:dyDescent="0.2">
      <c r="B423" s="29"/>
      <c r="C423" s="29"/>
    </row>
    <row r="424" spans="2:3" x14ac:dyDescent="0.2">
      <c r="B424" s="29"/>
      <c r="C424" s="29"/>
    </row>
    <row r="425" spans="2:3" x14ac:dyDescent="0.2">
      <c r="B425" s="29"/>
      <c r="C425" s="29"/>
    </row>
    <row r="426" spans="2:3" x14ac:dyDescent="0.2">
      <c r="B426" s="29"/>
      <c r="C426" s="29"/>
    </row>
    <row r="427" spans="2:3" x14ac:dyDescent="0.2">
      <c r="B427" s="29"/>
      <c r="C427" s="29"/>
    </row>
    <row r="428" spans="2:3" x14ac:dyDescent="0.2">
      <c r="B428" s="29"/>
      <c r="C428" s="29"/>
    </row>
  </sheetData>
  <mergeCells count="2">
    <mergeCell ref="A1:C2"/>
    <mergeCell ref="B4:C4"/>
  </mergeCells>
  <pageMargins left="0.75" right="0.75" top="1" bottom="1" header="0" footer="0"/>
  <pageSetup paperSize="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98"/>
  <sheetViews>
    <sheetView showGridLines="0" workbookViewId="0">
      <selection activeCell="D1" sqref="D1:G1048576"/>
    </sheetView>
  </sheetViews>
  <sheetFormatPr baseColWidth="10" defaultRowHeight="15" x14ac:dyDescent="0.2"/>
  <cols>
    <col min="1" max="1" width="48.75" style="17" customWidth="1"/>
    <col min="2" max="2" width="15.125" style="17" customWidth="1"/>
    <col min="3" max="3" width="14.375" style="17" bestFit="1" customWidth="1"/>
    <col min="4" max="7" width="11" style="8"/>
    <col min="8" max="16384" width="11" style="17"/>
  </cols>
  <sheetData>
    <row r="1" spans="1:7" x14ac:dyDescent="0.2">
      <c r="A1" s="63" t="s">
        <v>249</v>
      </c>
      <c r="B1" s="63"/>
      <c r="C1" s="63"/>
    </row>
    <row r="2" spans="1:7" x14ac:dyDescent="0.2">
      <c r="A2" s="63"/>
      <c r="B2" s="63"/>
      <c r="C2" s="63"/>
    </row>
    <row r="3" spans="1:7" s="18" customFormat="1" x14ac:dyDescent="0.2">
      <c r="D3" s="8"/>
      <c r="E3" s="8"/>
      <c r="F3" s="8"/>
      <c r="G3" s="8"/>
    </row>
    <row r="4" spans="1:7" x14ac:dyDescent="0.2">
      <c r="A4" s="19"/>
      <c r="B4" s="65" t="s">
        <v>9</v>
      </c>
      <c r="C4" s="65"/>
    </row>
    <row r="5" spans="1:7" x14ac:dyDescent="0.2">
      <c r="A5" s="17" t="s">
        <v>465</v>
      </c>
      <c r="B5" s="20" t="s">
        <v>10</v>
      </c>
      <c r="C5" s="20" t="s">
        <v>12</v>
      </c>
    </row>
    <row r="6" spans="1:7" x14ac:dyDescent="0.2">
      <c r="A6" s="21"/>
      <c r="B6" s="22" t="s">
        <v>15</v>
      </c>
      <c r="C6" s="22" t="s">
        <v>14</v>
      </c>
    </row>
    <row r="8" spans="1:7" s="18" customFormat="1" x14ac:dyDescent="0.2">
      <c r="A8" s="23" t="s">
        <v>0</v>
      </c>
      <c r="B8" s="24">
        <v>15448056685</v>
      </c>
      <c r="C8" s="24">
        <v>31950609068.869999</v>
      </c>
      <c r="D8" s="8"/>
      <c r="E8" s="8"/>
      <c r="F8" s="8"/>
      <c r="G8" s="8"/>
    </row>
    <row r="9" spans="1:7" x14ac:dyDescent="0.2">
      <c r="A9" s="25"/>
      <c r="B9" s="26"/>
      <c r="C9" s="26"/>
    </row>
    <row r="10" spans="1:7" x14ac:dyDescent="0.2">
      <c r="A10" s="25" t="s">
        <v>26</v>
      </c>
      <c r="B10" s="26">
        <v>1493756341</v>
      </c>
      <c r="C10" s="26">
        <v>3616666360.5500002</v>
      </c>
      <c r="D10" s="70">
        <f>+B10/$B$8</f>
        <v>9.6695420754795092E-2</v>
      </c>
      <c r="F10" s="8" t="str" cm="1">
        <f t="array" ref="F10:F152">+_xlfn.UNIQUE(A10:A155)</f>
        <v>AFRICA</v>
      </c>
      <c r="G10" s="70">
        <f>+SUMIF(A10:A155,F10,D10:D155)</f>
        <v>9.6695420754795092E-2</v>
      </c>
    </row>
    <row r="11" spans="1:7" x14ac:dyDescent="0.2">
      <c r="A11" s="25" t="s">
        <v>27</v>
      </c>
      <c r="B11" s="26">
        <v>716895</v>
      </c>
      <c r="C11" s="26">
        <v>222810.3</v>
      </c>
      <c r="D11" s="70">
        <f t="shared" ref="D11:D74" si="0">+B11/$B$8</f>
        <v>4.6406807964143618E-5</v>
      </c>
      <c r="F11" s="8" t="str">
        <v xml:space="preserve">Burkina Faso </v>
      </c>
      <c r="G11" s="70">
        <f t="shared" ref="G11:G74" si="1">+SUMIF(A11:A156,F11,D11:D156)</f>
        <v>4.6406807964143618E-5</v>
      </c>
    </row>
    <row r="12" spans="1:7" x14ac:dyDescent="0.2">
      <c r="A12" s="25" t="s">
        <v>28</v>
      </c>
      <c r="B12" s="26">
        <v>480471321</v>
      </c>
      <c r="C12" s="26">
        <v>1305955905.73</v>
      </c>
      <c r="D12" s="70">
        <f t="shared" si="0"/>
        <v>3.1102379464113157E-2</v>
      </c>
      <c r="F12" s="8" t="str">
        <v xml:space="preserve">Argelia </v>
      </c>
      <c r="G12" s="70">
        <f t="shared" si="1"/>
        <v>3.1102379464113157E-2</v>
      </c>
    </row>
    <row r="13" spans="1:7" x14ac:dyDescent="0.2">
      <c r="A13" s="25" t="s">
        <v>29</v>
      </c>
      <c r="B13" s="26" t="s">
        <v>30</v>
      </c>
      <c r="C13" s="26" t="s">
        <v>30</v>
      </c>
      <c r="D13" s="70" t="e">
        <f t="shared" si="0"/>
        <v>#VALUE!</v>
      </c>
      <c r="F13" s="8" t="str">
        <v xml:space="preserve">Botswana </v>
      </c>
      <c r="G13" s="70" t="e">
        <f t="shared" si="1"/>
        <v>#VALUE!</v>
      </c>
    </row>
    <row r="14" spans="1:7" x14ac:dyDescent="0.2">
      <c r="A14" s="25" t="s">
        <v>31</v>
      </c>
      <c r="B14" s="26">
        <v>7293089</v>
      </c>
      <c r="C14" s="26">
        <v>11976446.35</v>
      </c>
      <c r="D14" s="70">
        <f t="shared" si="0"/>
        <v>4.7210397713529621E-4</v>
      </c>
      <c r="F14" s="8" t="str">
        <v xml:space="preserve">Camerún </v>
      </c>
      <c r="G14" s="70">
        <f t="shared" si="1"/>
        <v>4.7210397713529621E-4</v>
      </c>
    </row>
    <row r="15" spans="1:7" x14ac:dyDescent="0.2">
      <c r="A15" s="25" t="s">
        <v>32</v>
      </c>
      <c r="B15" s="26" t="s">
        <v>30</v>
      </c>
      <c r="C15" s="26" t="s">
        <v>30</v>
      </c>
      <c r="D15" s="70" t="e">
        <f t="shared" si="0"/>
        <v>#VALUE!</v>
      </c>
      <c r="F15" s="8" t="str">
        <v xml:space="preserve">República Centroafricana </v>
      </c>
      <c r="G15" s="70" t="e">
        <f t="shared" si="1"/>
        <v>#VALUE!</v>
      </c>
    </row>
    <row r="16" spans="1:7" x14ac:dyDescent="0.2">
      <c r="A16" s="25" t="s">
        <v>33</v>
      </c>
      <c r="B16" s="26">
        <v>3169256</v>
      </c>
      <c r="C16" s="26">
        <v>2900225.8</v>
      </c>
      <c r="D16" s="70">
        <f t="shared" si="0"/>
        <v>2.0515564285036154E-4</v>
      </c>
      <c r="F16" s="8" t="str">
        <v xml:space="preserve">Congo </v>
      </c>
      <c r="G16" s="70">
        <f t="shared" si="1"/>
        <v>2.0515564285036154E-4</v>
      </c>
    </row>
    <row r="17" spans="1:7" x14ac:dyDescent="0.2">
      <c r="A17" s="25" t="s">
        <v>34</v>
      </c>
      <c r="B17" s="26">
        <v>4681308</v>
      </c>
      <c r="C17" s="26">
        <v>6250003.5700000003</v>
      </c>
      <c r="D17" s="70">
        <f t="shared" si="0"/>
        <v>3.0303539762030593E-4</v>
      </c>
      <c r="F17" s="8" t="str">
        <v>Rep Democrática del Congo (ex Zaire)</v>
      </c>
      <c r="G17" s="70">
        <f t="shared" si="1"/>
        <v>3.0303539762030593E-4</v>
      </c>
    </row>
    <row r="18" spans="1:7" x14ac:dyDescent="0.2">
      <c r="A18" s="25" t="s">
        <v>35</v>
      </c>
      <c r="B18" s="26">
        <v>8833639</v>
      </c>
      <c r="C18" s="26">
        <v>17761174.949999999</v>
      </c>
      <c r="D18" s="70">
        <f t="shared" si="0"/>
        <v>5.7182849468551133E-4</v>
      </c>
      <c r="F18" s="8" t="str">
        <v xml:space="preserve">Costa de Marfil </v>
      </c>
      <c r="G18" s="70">
        <f t="shared" si="1"/>
        <v>5.7182849468551133E-4</v>
      </c>
    </row>
    <row r="19" spans="1:7" x14ac:dyDescent="0.2">
      <c r="A19" s="25" t="s">
        <v>36</v>
      </c>
      <c r="B19" s="26">
        <v>669000</v>
      </c>
      <c r="C19" s="26">
        <v>200000</v>
      </c>
      <c r="D19" s="70">
        <f t="shared" si="0"/>
        <v>4.3306417994283793E-5</v>
      </c>
      <c r="F19" s="8" t="str">
        <v xml:space="preserve">Chad </v>
      </c>
      <c r="G19" s="70">
        <f t="shared" si="1"/>
        <v>4.3306417994283793E-5</v>
      </c>
    </row>
    <row r="20" spans="1:7" x14ac:dyDescent="0.2">
      <c r="A20" s="25" t="s">
        <v>37</v>
      </c>
      <c r="B20" s="26">
        <v>231596</v>
      </c>
      <c r="C20" s="26">
        <v>150086.41</v>
      </c>
      <c r="D20" s="70">
        <f t="shared" si="0"/>
        <v>1.499191805949798E-5</v>
      </c>
      <c r="F20" s="8" t="str">
        <v xml:space="preserve">Benin </v>
      </c>
      <c r="G20" s="70">
        <f t="shared" si="1"/>
        <v>1.499191805949798E-5</v>
      </c>
    </row>
    <row r="21" spans="1:7" x14ac:dyDescent="0.2">
      <c r="A21" s="25" t="s">
        <v>38</v>
      </c>
      <c r="B21" s="26">
        <v>392887917</v>
      </c>
      <c r="C21" s="26">
        <v>929497352.00999999</v>
      </c>
      <c r="D21" s="70">
        <f t="shared" si="0"/>
        <v>2.5432837606136734E-2</v>
      </c>
      <c r="F21" s="8" t="str">
        <v xml:space="preserve">Egipto </v>
      </c>
      <c r="G21" s="70">
        <f t="shared" si="1"/>
        <v>2.5432837606136734E-2</v>
      </c>
    </row>
    <row r="22" spans="1:7" x14ac:dyDescent="0.2">
      <c r="A22" s="25" t="s">
        <v>39</v>
      </c>
      <c r="B22" s="26">
        <v>896395</v>
      </c>
      <c r="C22" s="26">
        <v>434140.15</v>
      </c>
      <c r="D22" s="70">
        <f t="shared" si="0"/>
        <v>5.802639246335728E-5</v>
      </c>
      <c r="F22" s="8" t="str">
        <v xml:space="preserve">Gabón </v>
      </c>
      <c r="G22" s="70">
        <f t="shared" si="1"/>
        <v>5.802639246335728E-5</v>
      </c>
    </row>
    <row r="23" spans="1:7" x14ac:dyDescent="0.2">
      <c r="A23" s="25" t="s">
        <v>40</v>
      </c>
      <c r="B23" s="26">
        <v>162255</v>
      </c>
      <c r="C23" s="26">
        <v>86084</v>
      </c>
      <c r="D23" s="70">
        <f t="shared" si="0"/>
        <v>1.0503262857492551E-5</v>
      </c>
      <c r="F23" s="8" t="str">
        <v xml:space="preserve">Gambia </v>
      </c>
      <c r="G23" s="70">
        <f t="shared" si="1"/>
        <v>1.0503262857492551E-5</v>
      </c>
    </row>
    <row r="24" spans="1:7" x14ac:dyDescent="0.2">
      <c r="A24" s="25" t="s">
        <v>41</v>
      </c>
      <c r="B24" s="26">
        <v>2617253</v>
      </c>
      <c r="C24" s="26">
        <v>1338060.5</v>
      </c>
      <c r="D24" s="70">
        <f t="shared" si="0"/>
        <v>1.694227988262978E-4</v>
      </c>
      <c r="F24" s="8" t="str">
        <v xml:space="preserve">Ghana </v>
      </c>
      <c r="G24" s="70">
        <f t="shared" si="1"/>
        <v>1.694227988262978E-4</v>
      </c>
    </row>
    <row r="25" spans="1:7" x14ac:dyDescent="0.2">
      <c r="A25" s="25" t="s">
        <v>42</v>
      </c>
      <c r="B25" s="26">
        <v>75175</v>
      </c>
      <c r="C25" s="26">
        <v>106074.1</v>
      </c>
      <c r="D25" s="70">
        <f t="shared" si="0"/>
        <v>4.8663078814951928E-6</v>
      </c>
      <c r="F25" s="8" t="str">
        <v xml:space="preserve">Guinea </v>
      </c>
      <c r="G25" s="70">
        <f t="shared" si="1"/>
        <v>4.8663078814951928E-6</v>
      </c>
    </row>
    <row r="26" spans="1:7" x14ac:dyDescent="0.2">
      <c r="A26" s="25" t="s">
        <v>43</v>
      </c>
      <c r="B26" s="26">
        <v>196601</v>
      </c>
      <c r="C26" s="26">
        <v>52657.75</v>
      </c>
      <c r="D26" s="70">
        <f t="shared" si="0"/>
        <v>1.2726584580110893E-5</v>
      </c>
      <c r="F26" s="8" t="str">
        <v xml:space="preserve">Guinea Ecuatorial </v>
      </c>
      <c r="G26" s="70">
        <f t="shared" si="1"/>
        <v>1.2726584580110893E-5</v>
      </c>
    </row>
    <row r="27" spans="1:7" x14ac:dyDescent="0.2">
      <c r="A27" s="25" t="s">
        <v>44</v>
      </c>
      <c r="B27" s="26">
        <v>670512</v>
      </c>
      <c r="C27" s="26">
        <v>1466274.66</v>
      </c>
      <c r="D27" s="70">
        <f t="shared" si="0"/>
        <v>4.3404294382934546E-5</v>
      </c>
      <c r="F27" s="8" t="str">
        <v xml:space="preserve">Kenya </v>
      </c>
      <c r="G27" s="70">
        <f t="shared" si="1"/>
        <v>4.3404294382934546E-5</v>
      </c>
    </row>
    <row r="28" spans="1:7" x14ac:dyDescent="0.2">
      <c r="A28" s="25" t="s">
        <v>45</v>
      </c>
      <c r="B28" s="26">
        <v>446905</v>
      </c>
      <c r="C28" s="26">
        <v>213826.13</v>
      </c>
      <c r="D28" s="70">
        <f t="shared" si="0"/>
        <v>2.8929528749978172E-5</v>
      </c>
      <c r="F28" s="8" t="str">
        <v xml:space="preserve">Liberia </v>
      </c>
      <c r="G28" s="70">
        <f t="shared" si="1"/>
        <v>2.8929528749978172E-5</v>
      </c>
    </row>
    <row r="29" spans="1:7" x14ac:dyDescent="0.2">
      <c r="A29" s="25" t="s">
        <v>46</v>
      </c>
      <c r="B29" s="26">
        <v>60713484</v>
      </c>
      <c r="C29" s="26">
        <v>171820885.44</v>
      </c>
      <c r="D29" s="70">
        <f t="shared" si="0"/>
        <v>3.9301696801095085E-3</v>
      </c>
      <c r="F29" s="8" t="str">
        <v xml:space="preserve">Libia </v>
      </c>
      <c r="G29" s="70">
        <f t="shared" si="1"/>
        <v>3.9301696801095085E-3</v>
      </c>
    </row>
    <row r="30" spans="1:7" x14ac:dyDescent="0.2">
      <c r="A30" s="25" t="s">
        <v>47</v>
      </c>
      <c r="B30" s="26">
        <v>3932358</v>
      </c>
      <c r="C30" s="26">
        <v>4942424</v>
      </c>
      <c r="D30" s="70">
        <f t="shared" si="0"/>
        <v>2.5455357137692947E-4</v>
      </c>
      <c r="F30" s="8" t="str">
        <v xml:space="preserve">Madagascar </v>
      </c>
      <c r="G30" s="70">
        <f t="shared" si="1"/>
        <v>2.5455357137692947E-4</v>
      </c>
    </row>
    <row r="31" spans="1:7" x14ac:dyDescent="0.2">
      <c r="A31" s="25" t="s">
        <v>48</v>
      </c>
      <c r="B31" s="26">
        <v>289042</v>
      </c>
      <c r="C31" s="26">
        <v>102730</v>
      </c>
      <c r="D31" s="70">
        <f t="shared" si="0"/>
        <v>1.8710573497614014E-5</v>
      </c>
      <c r="F31" s="8" t="str">
        <v xml:space="preserve">Malawi </v>
      </c>
      <c r="G31" s="70">
        <f t="shared" si="1"/>
        <v>1.8710573497614014E-5</v>
      </c>
    </row>
    <row r="32" spans="1:7" x14ac:dyDescent="0.2">
      <c r="A32" s="25" t="s">
        <v>49</v>
      </c>
      <c r="B32" s="26">
        <v>1377630</v>
      </c>
      <c r="C32" s="26">
        <v>418445.9</v>
      </c>
      <c r="D32" s="70">
        <f t="shared" si="0"/>
        <v>8.917820720697336E-5</v>
      </c>
      <c r="F32" s="8" t="str">
        <v xml:space="preserve">Mali </v>
      </c>
      <c r="G32" s="70">
        <f t="shared" si="1"/>
        <v>8.917820720697336E-5</v>
      </c>
    </row>
    <row r="33" spans="1:7" x14ac:dyDescent="0.2">
      <c r="A33" s="25" t="s">
        <v>50</v>
      </c>
      <c r="B33" s="26">
        <v>65536144</v>
      </c>
      <c r="C33" s="26">
        <v>201668153.22</v>
      </c>
      <c r="D33" s="70">
        <f t="shared" si="0"/>
        <v>4.2423552254074346E-3</v>
      </c>
      <c r="F33" s="8" t="str">
        <v xml:space="preserve">Marruecos </v>
      </c>
      <c r="G33" s="70">
        <f t="shared" si="1"/>
        <v>4.2423552254074346E-3</v>
      </c>
    </row>
    <row r="34" spans="1:7" x14ac:dyDescent="0.2">
      <c r="A34" s="25" t="s">
        <v>51</v>
      </c>
      <c r="B34" s="26">
        <v>18316212</v>
      </c>
      <c r="C34" s="26">
        <v>43236899.210000001</v>
      </c>
      <c r="D34" s="70">
        <f t="shared" si="0"/>
        <v>1.1856644737577231E-3</v>
      </c>
      <c r="F34" s="8" t="str">
        <v xml:space="preserve">Mauricio </v>
      </c>
      <c r="G34" s="70">
        <f t="shared" si="1"/>
        <v>1.1856644737577231E-3</v>
      </c>
    </row>
    <row r="35" spans="1:7" x14ac:dyDescent="0.2">
      <c r="A35" s="25" t="s">
        <v>52</v>
      </c>
      <c r="B35" s="26">
        <v>460000</v>
      </c>
      <c r="C35" s="26">
        <v>150000</v>
      </c>
      <c r="D35" s="70">
        <f t="shared" si="0"/>
        <v>2.9777208187399916E-5</v>
      </c>
      <c r="F35" s="8" t="str">
        <v xml:space="preserve">Mauritania </v>
      </c>
      <c r="G35" s="70">
        <f t="shared" si="1"/>
        <v>2.9777208187399916E-5</v>
      </c>
    </row>
    <row r="36" spans="1:7" x14ac:dyDescent="0.2">
      <c r="A36" s="25" t="s">
        <v>53</v>
      </c>
      <c r="B36" s="26">
        <v>11432125</v>
      </c>
      <c r="C36" s="26">
        <v>3147008</v>
      </c>
      <c r="D36" s="70">
        <f t="shared" si="0"/>
        <v>7.4003644815082452E-4</v>
      </c>
      <c r="F36" s="8" t="str">
        <v xml:space="preserve">Níger </v>
      </c>
      <c r="G36" s="70">
        <f t="shared" si="1"/>
        <v>7.4003644815082452E-4</v>
      </c>
    </row>
    <row r="37" spans="1:7" x14ac:dyDescent="0.2">
      <c r="A37" s="25" t="s">
        <v>54</v>
      </c>
      <c r="B37" s="26">
        <v>16008788</v>
      </c>
      <c r="C37" s="26">
        <v>16748487.27</v>
      </c>
      <c r="D37" s="70">
        <f t="shared" si="0"/>
        <v>1.0362978545738033E-3</v>
      </c>
      <c r="F37" s="8" t="str">
        <v xml:space="preserve">Nigeria </v>
      </c>
      <c r="G37" s="70">
        <f t="shared" si="1"/>
        <v>1.0362978545738033E-3</v>
      </c>
    </row>
    <row r="38" spans="1:7" x14ac:dyDescent="0.2">
      <c r="A38" s="25" t="s">
        <v>55</v>
      </c>
      <c r="B38" s="26">
        <v>978040</v>
      </c>
      <c r="C38" s="26">
        <v>324393</v>
      </c>
      <c r="D38" s="70">
        <f t="shared" si="0"/>
        <v>6.3311523251314379E-5</v>
      </c>
      <c r="F38" s="8" t="str">
        <v xml:space="preserve">Zimbabwe </v>
      </c>
      <c r="G38" s="70">
        <f t="shared" si="1"/>
        <v>6.3311523251314379E-5</v>
      </c>
    </row>
    <row r="39" spans="1:7" x14ac:dyDescent="0.2">
      <c r="A39" s="25" t="s">
        <v>56</v>
      </c>
      <c r="B39" s="26">
        <v>51544</v>
      </c>
      <c r="C39" s="26">
        <v>177127.5</v>
      </c>
      <c r="D39" s="70">
        <f t="shared" si="0"/>
        <v>3.3366009104594375E-6</v>
      </c>
      <c r="F39" s="8" t="str">
        <v xml:space="preserve">Rwanda </v>
      </c>
      <c r="G39" s="70">
        <f t="shared" si="1"/>
        <v>3.3366009104594375E-6</v>
      </c>
    </row>
    <row r="40" spans="1:7" x14ac:dyDescent="0.2">
      <c r="A40" s="25" t="s">
        <v>57</v>
      </c>
      <c r="B40" s="26">
        <v>42046748</v>
      </c>
      <c r="C40" s="26">
        <v>54073143.759999998</v>
      </c>
      <c r="D40" s="70">
        <f t="shared" si="0"/>
        <v>2.7218147147807415E-3</v>
      </c>
      <c r="F40" s="8" t="str">
        <v xml:space="preserve">Senegal </v>
      </c>
      <c r="G40" s="70">
        <f t="shared" si="1"/>
        <v>2.7218147147807415E-3</v>
      </c>
    </row>
    <row r="41" spans="1:7" x14ac:dyDescent="0.2">
      <c r="A41" s="25" t="s">
        <v>58</v>
      </c>
      <c r="B41" s="26">
        <v>35248</v>
      </c>
      <c r="C41" s="26">
        <v>97372.79</v>
      </c>
      <c r="D41" s="70">
        <f t="shared" si="0"/>
        <v>2.2817109438901572E-6</v>
      </c>
      <c r="F41" s="8" t="str">
        <v xml:space="preserve">Sierra Leona </v>
      </c>
      <c r="G41" s="70">
        <f t="shared" si="1"/>
        <v>2.2817109438901572E-6</v>
      </c>
    </row>
    <row r="42" spans="1:7" x14ac:dyDescent="0.2">
      <c r="A42" s="25" t="s">
        <v>59</v>
      </c>
      <c r="B42" s="26">
        <v>1425931</v>
      </c>
      <c r="C42" s="26">
        <v>426055.03</v>
      </c>
      <c r="D42" s="70">
        <f t="shared" si="0"/>
        <v>9.2304878799711633E-5</v>
      </c>
      <c r="F42" s="8" t="str">
        <v xml:space="preserve">Sudán </v>
      </c>
      <c r="G42" s="70">
        <f t="shared" si="1"/>
        <v>9.2304878799711633E-5</v>
      </c>
    </row>
    <row r="43" spans="1:7" x14ac:dyDescent="0.2">
      <c r="A43" s="25" t="s">
        <v>60</v>
      </c>
      <c r="B43" s="26">
        <v>4110019</v>
      </c>
      <c r="C43" s="26">
        <v>8399174.9000000004</v>
      </c>
      <c r="D43" s="70">
        <f t="shared" si="0"/>
        <v>2.6605411177645479E-4</v>
      </c>
      <c r="F43" s="8" t="str">
        <v xml:space="preserve">Tanzania </v>
      </c>
      <c r="G43" s="70">
        <f t="shared" si="1"/>
        <v>2.6605411177645479E-4</v>
      </c>
    </row>
    <row r="44" spans="1:7" x14ac:dyDescent="0.2">
      <c r="A44" s="25" t="s">
        <v>61</v>
      </c>
      <c r="B44" s="26">
        <v>1489093</v>
      </c>
      <c r="C44" s="26">
        <v>719126.43</v>
      </c>
      <c r="D44" s="70">
        <f t="shared" si="0"/>
        <v>9.639354841608675E-5</v>
      </c>
      <c r="F44" s="8" t="str">
        <v xml:space="preserve">Togo </v>
      </c>
      <c r="G44" s="70">
        <f t="shared" si="1"/>
        <v>9.639354841608675E-5</v>
      </c>
    </row>
    <row r="45" spans="1:7" x14ac:dyDescent="0.2">
      <c r="A45" s="25" t="s">
        <v>62</v>
      </c>
      <c r="B45" s="26">
        <v>66012918</v>
      </c>
      <c r="C45" s="26">
        <v>122692134.16</v>
      </c>
      <c r="D45" s="70">
        <f t="shared" si="0"/>
        <v>4.2732182659646943E-3</v>
      </c>
      <c r="F45" s="8" t="str">
        <v xml:space="preserve">Túnez </v>
      </c>
      <c r="G45" s="70">
        <f t="shared" si="1"/>
        <v>4.2732182659646943E-3</v>
      </c>
    </row>
    <row r="46" spans="1:7" x14ac:dyDescent="0.2">
      <c r="A46" s="25" t="s">
        <v>63</v>
      </c>
      <c r="B46" s="26">
        <v>574769</v>
      </c>
      <c r="C46" s="26">
        <v>2430065</v>
      </c>
      <c r="D46" s="70">
        <f t="shared" si="0"/>
        <v>3.7206556897094915E-5</v>
      </c>
      <c r="F46" s="8" t="str">
        <v xml:space="preserve">Uganda </v>
      </c>
      <c r="G46" s="70">
        <f t="shared" si="1"/>
        <v>3.7206556897094915E-5</v>
      </c>
    </row>
    <row r="47" spans="1:7" x14ac:dyDescent="0.2">
      <c r="A47" s="25" t="s">
        <v>64</v>
      </c>
      <c r="B47" s="26" t="s">
        <v>30</v>
      </c>
      <c r="C47" s="26" t="s">
        <v>30</v>
      </c>
      <c r="D47" s="70" t="e">
        <f t="shared" si="0"/>
        <v>#VALUE!</v>
      </c>
      <c r="F47" s="8" t="str">
        <v xml:space="preserve">Zambia </v>
      </c>
      <c r="G47" s="70" t="e">
        <f t="shared" si="1"/>
        <v>#VALUE!</v>
      </c>
    </row>
    <row r="48" spans="1:7" x14ac:dyDescent="0.2">
      <c r="A48" s="25" t="s">
        <v>65</v>
      </c>
      <c r="B48" s="26" t="s">
        <v>30</v>
      </c>
      <c r="C48" s="26" t="s">
        <v>30</v>
      </c>
      <c r="D48" s="70" t="e">
        <f t="shared" si="0"/>
        <v>#VALUE!</v>
      </c>
      <c r="F48" s="8" t="str">
        <v>Territorios vinculados a España</v>
      </c>
      <c r="G48" s="70"/>
    </row>
    <row r="49" spans="1:7" x14ac:dyDescent="0.2">
      <c r="A49" s="25" t="s">
        <v>66</v>
      </c>
      <c r="B49" s="26">
        <v>8096809</v>
      </c>
      <c r="C49" s="26">
        <v>22287005.859999999</v>
      </c>
      <c r="D49" s="70">
        <f t="shared" si="0"/>
        <v>5.2413123314481156E-4</v>
      </c>
      <c r="F49" s="8" t="str">
        <v>Territorios vinculados a Francia</v>
      </c>
      <c r="G49" s="70">
        <f t="shared" si="1"/>
        <v>5.2737791983315733E-4</v>
      </c>
    </row>
    <row r="50" spans="1:7" x14ac:dyDescent="0.2">
      <c r="A50" s="25" t="s">
        <v>67</v>
      </c>
      <c r="B50" s="26">
        <v>8196638</v>
      </c>
      <c r="C50" s="26">
        <v>8961566.7200000007</v>
      </c>
      <c r="D50" s="70">
        <f t="shared" si="0"/>
        <v>5.3059346991902881E-4</v>
      </c>
      <c r="F50" s="8" t="str">
        <v xml:space="preserve">Angola </v>
      </c>
      <c r="G50" s="70">
        <f t="shared" si="1"/>
        <v>5.3059346991902881E-4</v>
      </c>
    </row>
    <row r="51" spans="1:7" x14ac:dyDescent="0.2">
      <c r="A51" s="25" t="s">
        <v>68</v>
      </c>
      <c r="B51" s="26">
        <v>363611</v>
      </c>
      <c r="C51" s="26">
        <v>2192861.14</v>
      </c>
      <c r="D51" s="70">
        <f t="shared" si="0"/>
        <v>2.3537653143975372E-5</v>
      </c>
      <c r="F51" s="8" t="str">
        <v xml:space="preserve">Cabo Verde </v>
      </c>
      <c r="G51" s="70">
        <f t="shared" si="1"/>
        <v>2.3537653143975372E-5</v>
      </c>
    </row>
    <row r="52" spans="1:7" x14ac:dyDescent="0.2">
      <c r="A52" s="25" t="s">
        <v>69</v>
      </c>
      <c r="B52" s="26">
        <v>15595698</v>
      </c>
      <c r="C52" s="26">
        <v>23428050.969999999</v>
      </c>
      <c r="D52" s="70">
        <f t="shared" si="0"/>
        <v>1.0095572742909054E-3</v>
      </c>
      <c r="F52" s="8" t="str">
        <v xml:space="preserve">Mozambique </v>
      </c>
      <c r="G52" s="70">
        <f t="shared" si="1"/>
        <v>1.0095572742909054E-3</v>
      </c>
    </row>
    <row r="53" spans="1:7" x14ac:dyDescent="0.2">
      <c r="A53" s="25" t="s">
        <v>70</v>
      </c>
      <c r="B53" s="26">
        <v>11731</v>
      </c>
      <c r="C53" s="26">
        <v>18048</v>
      </c>
      <c r="D53" s="70">
        <f t="shared" si="0"/>
        <v>7.5938354183997483E-7</v>
      </c>
      <c r="F53" s="8" t="str">
        <v xml:space="preserve">Seychelles </v>
      </c>
      <c r="G53" s="70">
        <f t="shared" si="1"/>
        <v>7.5938354183997483E-7</v>
      </c>
    </row>
    <row r="54" spans="1:7" x14ac:dyDescent="0.2">
      <c r="A54" s="25" t="s">
        <v>71</v>
      </c>
      <c r="B54" s="26">
        <v>32086</v>
      </c>
      <c r="C54" s="26">
        <v>86639.54</v>
      </c>
      <c r="D54" s="70">
        <f t="shared" si="0"/>
        <v>2.0770250041324212E-6</v>
      </c>
      <c r="F54" s="8" t="str">
        <v xml:space="preserve">Djibouti </v>
      </c>
      <c r="G54" s="70">
        <f t="shared" si="1"/>
        <v>2.0770250041324212E-6</v>
      </c>
    </row>
    <row r="55" spans="1:7" x14ac:dyDescent="0.2">
      <c r="A55" s="25" t="s">
        <v>72</v>
      </c>
      <c r="B55" s="26" t="s">
        <v>30</v>
      </c>
      <c r="C55" s="26" t="s">
        <v>30</v>
      </c>
      <c r="D55" s="70" t="e">
        <f t="shared" si="0"/>
        <v>#VALUE!</v>
      </c>
      <c r="F55" s="8" t="str">
        <v xml:space="preserve">Comoras </v>
      </c>
      <c r="G55" s="70" t="e">
        <f t="shared" si="1"/>
        <v>#VALUE!</v>
      </c>
    </row>
    <row r="56" spans="1:7" x14ac:dyDescent="0.2">
      <c r="A56" s="25" t="s">
        <v>73</v>
      </c>
      <c r="B56" s="26" t="s">
        <v>30</v>
      </c>
      <c r="C56" s="26" t="s">
        <v>30</v>
      </c>
      <c r="D56" s="70" t="e">
        <f t="shared" si="0"/>
        <v>#VALUE!</v>
      </c>
      <c r="F56" s="8" t="str">
        <v xml:space="preserve">Guinea Bissau </v>
      </c>
      <c r="G56" s="70" t="e">
        <f t="shared" si="1"/>
        <v>#VALUE!</v>
      </c>
    </row>
    <row r="57" spans="1:7" x14ac:dyDescent="0.2">
      <c r="A57" s="25" t="s">
        <v>74</v>
      </c>
      <c r="B57" s="26" t="s">
        <v>30</v>
      </c>
      <c r="C57" s="26" t="s">
        <v>30</v>
      </c>
      <c r="D57" s="70" t="e">
        <f t="shared" si="0"/>
        <v>#VALUE!</v>
      </c>
      <c r="F57" s="8" t="str">
        <v xml:space="preserve">Santo Tomé y Príncipe </v>
      </c>
      <c r="G57" s="70" t="e">
        <f t="shared" si="1"/>
        <v>#VALUE!</v>
      </c>
    </row>
    <row r="58" spans="1:7" x14ac:dyDescent="0.2">
      <c r="A58" s="25" t="s">
        <v>75</v>
      </c>
      <c r="B58" s="26">
        <v>271633</v>
      </c>
      <c r="C58" s="26">
        <v>1082231.08</v>
      </c>
      <c r="D58" s="70">
        <f t="shared" si="0"/>
        <v>1.758363563384348E-5</v>
      </c>
      <c r="F58" s="8" t="str">
        <v xml:space="preserve">Namibia </v>
      </c>
      <c r="G58" s="70">
        <f t="shared" si="1"/>
        <v>1.758363563384348E-5</v>
      </c>
    </row>
    <row r="59" spans="1:7" x14ac:dyDescent="0.2">
      <c r="A59" s="25" t="s">
        <v>76</v>
      </c>
      <c r="B59" s="26">
        <v>262243150</v>
      </c>
      <c r="C59" s="26">
        <v>648152787.34000003</v>
      </c>
      <c r="D59" s="70">
        <f t="shared" si="0"/>
        <v>1.6975801898412052E-2</v>
      </c>
      <c r="F59" s="8" t="str">
        <v xml:space="preserve">Sudáfrica </v>
      </c>
      <c r="G59" s="70">
        <f t="shared" si="1"/>
        <v>1.6975801898412052E-2</v>
      </c>
    </row>
    <row r="60" spans="1:7" x14ac:dyDescent="0.2">
      <c r="A60" s="25" t="s">
        <v>77</v>
      </c>
      <c r="B60" s="26">
        <v>135756</v>
      </c>
      <c r="C60" s="26">
        <v>272421.88</v>
      </c>
      <c r="D60" s="70">
        <f t="shared" si="0"/>
        <v>8.7879014667144852E-6</v>
      </c>
      <c r="F60" s="8" t="str">
        <v xml:space="preserve">Etiopía </v>
      </c>
      <c r="G60" s="70">
        <f t="shared" si="1"/>
        <v>8.7879014667144852E-6</v>
      </c>
    </row>
    <row r="61" spans="1:7" x14ac:dyDescent="0.2">
      <c r="A61" s="25"/>
      <c r="B61" s="26"/>
      <c r="C61" s="26"/>
      <c r="D61" s="70">
        <f t="shared" si="0"/>
        <v>0</v>
      </c>
      <c r="F61" s="8">
        <v>0</v>
      </c>
      <c r="G61" s="70">
        <f t="shared" si="1"/>
        <v>0</v>
      </c>
    </row>
    <row r="62" spans="1:7" x14ac:dyDescent="0.2">
      <c r="A62" s="25" t="s">
        <v>78</v>
      </c>
      <c r="B62" s="26">
        <v>3910666790</v>
      </c>
      <c r="C62" s="26">
        <v>4576152797.29</v>
      </c>
      <c r="D62" s="70">
        <f t="shared" si="0"/>
        <v>0.25314943295082815</v>
      </c>
      <c r="F62" s="8" t="str">
        <v>AMERICA</v>
      </c>
      <c r="G62" s="70">
        <f t="shared" si="1"/>
        <v>0.25314943295082815</v>
      </c>
    </row>
    <row r="63" spans="1:7" x14ac:dyDescent="0.2">
      <c r="A63" s="25" t="s">
        <v>79</v>
      </c>
      <c r="B63" s="26">
        <v>957966</v>
      </c>
      <c r="C63" s="26">
        <v>612052.14</v>
      </c>
      <c r="D63" s="70">
        <f t="shared" si="0"/>
        <v>6.2012071779240756E-5</v>
      </c>
      <c r="F63" s="8" t="str">
        <v xml:space="preserve">Barbados </v>
      </c>
      <c r="G63" s="70">
        <f t="shared" si="1"/>
        <v>6.2012071779240756E-5</v>
      </c>
    </row>
    <row r="64" spans="1:7" x14ac:dyDescent="0.2">
      <c r="A64" s="25" t="s">
        <v>80</v>
      </c>
      <c r="B64" s="26">
        <v>81624310</v>
      </c>
      <c r="C64" s="26">
        <v>80527858.719999999</v>
      </c>
      <c r="D64" s="70">
        <f t="shared" si="0"/>
        <v>5.2837914609192797E-3</v>
      </c>
      <c r="F64" s="8" t="str">
        <v xml:space="preserve">Bolivia </v>
      </c>
      <c r="G64" s="70">
        <f t="shared" si="1"/>
        <v>5.2837914609192797E-3</v>
      </c>
    </row>
    <row r="65" spans="1:7" x14ac:dyDescent="0.2">
      <c r="A65" s="25" t="s">
        <v>81</v>
      </c>
      <c r="B65" s="26">
        <v>1511431849</v>
      </c>
      <c r="C65" s="26">
        <v>897521531.13999999</v>
      </c>
      <c r="D65" s="70">
        <f t="shared" si="0"/>
        <v>9.7839610497260421E-2</v>
      </c>
      <c r="F65" s="8" t="str">
        <v xml:space="preserve">Brasil </v>
      </c>
      <c r="G65" s="70">
        <f t="shared" si="1"/>
        <v>9.7839610497260421E-2</v>
      </c>
    </row>
    <row r="66" spans="1:7" x14ac:dyDescent="0.2">
      <c r="A66" s="25" t="s">
        <v>82</v>
      </c>
      <c r="B66" s="26">
        <v>8642868</v>
      </c>
      <c r="C66" s="26">
        <v>2022598.01</v>
      </c>
      <c r="D66" s="70">
        <f t="shared" si="0"/>
        <v>5.5947930385264507E-4</v>
      </c>
      <c r="F66" s="8" t="str">
        <v xml:space="preserve">Canadá </v>
      </c>
      <c r="G66" s="70">
        <f t="shared" si="1"/>
        <v>5.5947930385264507E-4</v>
      </c>
    </row>
    <row r="67" spans="1:7" x14ac:dyDescent="0.2">
      <c r="A67" s="25" t="s">
        <v>83</v>
      </c>
      <c r="B67" s="26">
        <v>336576419</v>
      </c>
      <c r="C67" s="26">
        <v>1112303869.7</v>
      </c>
      <c r="D67" s="70">
        <f t="shared" si="0"/>
        <v>2.1787621955505532E-2</v>
      </c>
      <c r="F67" s="8" t="str">
        <v xml:space="preserve">Colombia </v>
      </c>
      <c r="G67" s="70">
        <f t="shared" si="1"/>
        <v>2.1787621955505532E-2</v>
      </c>
    </row>
    <row r="68" spans="1:7" x14ac:dyDescent="0.2">
      <c r="A68" s="25" t="s">
        <v>84</v>
      </c>
      <c r="B68" s="26">
        <v>22579218</v>
      </c>
      <c r="C68" s="26">
        <v>2474117.0699999998</v>
      </c>
      <c r="D68" s="70">
        <f t="shared" si="0"/>
        <v>1.4616219023797555E-3</v>
      </c>
      <c r="F68" s="8" t="str">
        <v xml:space="preserve">Costa Rica </v>
      </c>
      <c r="G68" s="70">
        <f t="shared" si="1"/>
        <v>1.4616219023797555E-3</v>
      </c>
    </row>
    <row r="69" spans="1:7" x14ac:dyDescent="0.2">
      <c r="A69" s="25" t="s">
        <v>85</v>
      </c>
      <c r="B69" s="26">
        <v>13910237</v>
      </c>
      <c r="C69" s="26">
        <v>29276441.399999999</v>
      </c>
      <c r="D69" s="70">
        <f t="shared" si="0"/>
        <v>9.0045222409798533E-4</v>
      </c>
      <c r="F69" s="8" t="str">
        <v xml:space="preserve">Cuba </v>
      </c>
      <c r="G69" s="70">
        <f t="shared" si="1"/>
        <v>9.0045222409798533E-4</v>
      </c>
    </row>
    <row r="70" spans="1:7" x14ac:dyDescent="0.2">
      <c r="A70" s="25" t="s">
        <v>86</v>
      </c>
      <c r="B70" s="26">
        <v>332697414</v>
      </c>
      <c r="C70" s="26">
        <v>552870797.26999998</v>
      </c>
      <c r="D70" s="70">
        <f t="shared" si="0"/>
        <v>2.153652208714691E-2</v>
      </c>
      <c r="F70" s="8" t="str">
        <v xml:space="preserve">Chile </v>
      </c>
      <c r="G70" s="70">
        <f t="shared" si="1"/>
        <v>2.153652208714691E-2</v>
      </c>
    </row>
    <row r="71" spans="1:7" x14ac:dyDescent="0.2">
      <c r="A71" s="25" t="s">
        <v>87</v>
      </c>
      <c r="B71" s="26">
        <v>99361800</v>
      </c>
      <c r="C71" s="26">
        <v>103420244.84</v>
      </c>
      <c r="D71" s="70">
        <f t="shared" si="0"/>
        <v>6.4319934879886803E-3</v>
      </c>
      <c r="F71" s="8" t="str">
        <v xml:space="preserve">República Dominicana </v>
      </c>
      <c r="G71" s="70">
        <f t="shared" si="1"/>
        <v>6.4319934879886803E-3</v>
      </c>
    </row>
    <row r="72" spans="1:7" x14ac:dyDescent="0.2">
      <c r="A72" s="25" t="s">
        <v>88</v>
      </c>
      <c r="B72" s="26">
        <v>113895164</v>
      </c>
      <c r="C72" s="26">
        <v>305499760.01999998</v>
      </c>
      <c r="D72" s="70">
        <f t="shared" si="0"/>
        <v>7.3727826303609913E-3</v>
      </c>
      <c r="F72" s="8" t="str">
        <v xml:space="preserve">Ecuador </v>
      </c>
      <c r="G72" s="70">
        <f t="shared" si="1"/>
        <v>7.3727826303609913E-3</v>
      </c>
    </row>
    <row r="73" spans="1:7" x14ac:dyDescent="0.2">
      <c r="A73" s="25" t="s">
        <v>89</v>
      </c>
      <c r="B73" s="26">
        <v>1254670</v>
      </c>
      <c r="C73" s="26">
        <v>149361.63</v>
      </c>
      <c r="D73" s="70">
        <f t="shared" si="0"/>
        <v>8.1218629992358811E-5</v>
      </c>
      <c r="F73" s="8" t="str">
        <v xml:space="preserve">El Salvador </v>
      </c>
      <c r="G73" s="70">
        <f t="shared" si="1"/>
        <v>8.1218629992358811E-5</v>
      </c>
    </row>
    <row r="74" spans="1:7" x14ac:dyDescent="0.2">
      <c r="A74" s="25" t="s">
        <v>90</v>
      </c>
      <c r="B74" s="26">
        <v>203165077</v>
      </c>
      <c r="C74" s="26">
        <v>120678190.36</v>
      </c>
      <c r="D74" s="70">
        <f t="shared" si="0"/>
        <v>1.3151497378778554E-2</v>
      </c>
      <c r="F74" s="8" t="str">
        <v xml:space="preserve">Estados Unidos </v>
      </c>
      <c r="G74" s="70">
        <f t="shared" si="1"/>
        <v>1.3151497378778554E-2</v>
      </c>
    </row>
    <row r="75" spans="1:7" x14ac:dyDescent="0.2">
      <c r="A75" s="25" t="s">
        <v>91</v>
      </c>
      <c r="B75" s="26">
        <v>39796227</v>
      </c>
      <c r="C75" s="26">
        <v>46896151.119999997</v>
      </c>
      <c r="D75" s="70">
        <f t="shared" ref="D75:D138" si="2">+B75/$B$8</f>
        <v>2.5761316009826644E-3</v>
      </c>
      <c r="F75" s="8" t="str">
        <v xml:space="preserve">Guatemala </v>
      </c>
      <c r="G75" s="70">
        <f t="shared" ref="G75:G138" si="3">+SUMIF(A75:A220,F75,D75:D220)</f>
        <v>2.5761316009826644E-3</v>
      </c>
    </row>
    <row r="76" spans="1:7" x14ac:dyDescent="0.2">
      <c r="A76" s="25" t="s">
        <v>92</v>
      </c>
      <c r="B76" s="26">
        <v>208624</v>
      </c>
      <c r="C76" s="26">
        <v>186738.37</v>
      </c>
      <c r="D76" s="70">
        <f t="shared" si="2"/>
        <v>1.350487017584374E-5</v>
      </c>
      <c r="F76" s="8" t="str">
        <v xml:space="preserve">Guyana </v>
      </c>
      <c r="G76" s="70">
        <f t="shared" si="3"/>
        <v>1.350487017584374E-5</v>
      </c>
    </row>
    <row r="77" spans="1:7" x14ac:dyDescent="0.2">
      <c r="A77" s="25" t="s">
        <v>93</v>
      </c>
      <c r="B77" s="26">
        <v>14788463</v>
      </c>
      <c r="C77" s="26">
        <v>16928945.170000002</v>
      </c>
      <c r="D77" s="70">
        <f t="shared" si="2"/>
        <v>9.5730248157100154E-4</v>
      </c>
      <c r="F77" s="8" t="str">
        <v xml:space="preserve">Haití </v>
      </c>
      <c r="G77" s="70">
        <f t="shared" si="3"/>
        <v>9.5730248157100154E-4</v>
      </c>
    </row>
    <row r="78" spans="1:7" x14ac:dyDescent="0.2">
      <c r="A78" s="25" t="s">
        <v>94</v>
      </c>
      <c r="B78" s="26">
        <v>738461</v>
      </c>
      <c r="C78" s="26">
        <v>384400.27</v>
      </c>
      <c r="D78" s="70">
        <f t="shared" si="2"/>
        <v>4.7802841163642457E-5</v>
      </c>
      <c r="F78" s="8" t="str">
        <v xml:space="preserve">Honduras </v>
      </c>
      <c r="G78" s="70">
        <f t="shared" si="3"/>
        <v>4.7802841163642457E-5</v>
      </c>
    </row>
    <row r="79" spans="1:7" x14ac:dyDescent="0.2">
      <c r="A79" s="25" t="s">
        <v>95</v>
      </c>
      <c r="B79" s="26">
        <v>2771005</v>
      </c>
      <c r="C79" s="26">
        <v>950526.44</v>
      </c>
      <c r="D79" s="70">
        <f t="shared" si="2"/>
        <v>1.793756364637524E-4</v>
      </c>
      <c r="F79" s="8" t="str">
        <v xml:space="preserve">Jamaica </v>
      </c>
      <c r="G79" s="70">
        <f t="shared" si="3"/>
        <v>1.793756364637524E-4</v>
      </c>
    </row>
    <row r="80" spans="1:7" x14ac:dyDescent="0.2">
      <c r="A80" s="25" t="s">
        <v>96</v>
      </c>
      <c r="B80" s="26">
        <v>56578389</v>
      </c>
      <c r="C80" s="26">
        <v>13286852.529999999</v>
      </c>
      <c r="D80" s="70">
        <f t="shared" si="2"/>
        <v>3.6624923220884725E-3</v>
      </c>
      <c r="F80" s="8" t="str">
        <v xml:space="preserve">México </v>
      </c>
      <c r="G80" s="70">
        <f t="shared" si="3"/>
        <v>3.6624923220884725E-3</v>
      </c>
    </row>
    <row r="81" spans="1:7" x14ac:dyDescent="0.2">
      <c r="A81" s="25" t="s">
        <v>97</v>
      </c>
      <c r="B81" s="26">
        <v>1741561</v>
      </c>
      <c r="C81" s="26">
        <v>184672.93</v>
      </c>
      <c r="D81" s="70">
        <f t="shared" si="2"/>
        <v>1.1273657493055736E-4</v>
      </c>
      <c r="F81" s="8" t="str">
        <v xml:space="preserve">Nicaragua </v>
      </c>
      <c r="G81" s="70">
        <f t="shared" si="3"/>
        <v>1.1273657493055736E-4</v>
      </c>
    </row>
    <row r="82" spans="1:7" x14ac:dyDescent="0.2">
      <c r="A82" s="25" t="s">
        <v>98</v>
      </c>
      <c r="B82" s="26">
        <v>10996951</v>
      </c>
      <c r="C82" s="26">
        <v>23041205.57</v>
      </c>
      <c r="D82" s="70">
        <f t="shared" si="2"/>
        <v>7.1186630294268625E-4</v>
      </c>
      <c r="F82" s="8" t="str">
        <v xml:space="preserve">Panamá </v>
      </c>
      <c r="G82" s="70">
        <f t="shared" si="3"/>
        <v>7.1186630294268625E-4</v>
      </c>
    </row>
    <row r="83" spans="1:7" x14ac:dyDescent="0.2">
      <c r="A83" s="25" t="s">
        <v>99</v>
      </c>
      <c r="B83" s="26">
        <v>185495899</v>
      </c>
      <c r="C83" s="26">
        <v>168447673.87</v>
      </c>
      <c r="D83" s="70">
        <f t="shared" si="2"/>
        <v>1.2007717396591105E-2</v>
      </c>
      <c r="F83" s="8" t="str">
        <v xml:space="preserve">Paraguay </v>
      </c>
      <c r="G83" s="70">
        <f t="shared" si="3"/>
        <v>1.2007717396591105E-2</v>
      </c>
    </row>
    <row r="84" spans="1:7" x14ac:dyDescent="0.2">
      <c r="A84" s="25" t="s">
        <v>100</v>
      </c>
      <c r="B84" s="26">
        <v>354778817</v>
      </c>
      <c r="C84" s="26">
        <v>628671499.21000004</v>
      </c>
      <c r="D84" s="70">
        <f t="shared" si="2"/>
        <v>2.2965918900627078E-2</v>
      </c>
      <c r="F84" s="8" t="str">
        <v xml:space="preserve">Perú </v>
      </c>
      <c r="G84" s="70">
        <f t="shared" si="3"/>
        <v>2.2965918900627078E-2</v>
      </c>
    </row>
    <row r="85" spans="1:7" x14ac:dyDescent="0.2">
      <c r="A85" s="25" t="s">
        <v>101</v>
      </c>
      <c r="B85" s="26">
        <v>3233490</v>
      </c>
      <c r="C85" s="26">
        <v>10906730.25</v>
      </c>
      <c r="D85" s="70">
        <f t="shared" si="2"/>
        <v>2.0931370630842554E-4</v>
      </c>
      <c r="F85" s="8" t="str">
        <v xml:space="preserve">Puerto Rico(Estado Asociado) </v>
      </c>
      <c r="G85" s="70">
        <f t="shared" si="3"/>
        <v>2.0931370630842554E-4</v>
      </c>
    </row>
    <row r="86" spans="1:7" x14ac:dyDescent="0.2">
      <c r="A86" s="25" t="s">
        <v>102</v>
      </c>
      <c r="B86" s="26">
        <v>7220194</v>
      </c>
      <c r="C86" s="26">
        <v>2756014.36</v>
      </c>
      <c r="D86" s="70">
        <f t="shared" si="2"/>
        <v>4.6738526063351251E-4</v>
      </c>
      <c r="F86" s="8" t="str">
        <v xml:space="preserve">Trinidad y Tobago </v>
      </c>
      <c r="G86" s="70">
        <f t="shared" si="3"/>
        <v>4.6738526063351251E-4</v>
      </c>
    </row>
    <row r="87" spans="1:7" x14ac:dyDescent="0.2">
      <c r="A87" s="25" t="s">
        <v>103</v>
      </c>
      <c r="B87" s="26">
        <v>186274326</v>
      </c>
      <c r="C87" s="26">
        <v>172191135.75999999</v>
      </c>
      <c r="D87" s="70">
        <f t="shared" si="2"/>
        <v>1.2058107359281742E-2</v>
      </c>
      <c r="F87" s="8" t="str">
        <v xml:space="preserve">Uruguay </v>
      </c>
      <c r="G87" s="70">
        <f t="shared" si="3"/>
        <v>1.2058107359281742E-2</v>
      </c>
    </row>
    <row r="88" spans="1:7" x14ac:dyDescent="0.2">
      <c r="A88" s="25" t="s">
        <v>104</v>
      </c>
      <c r="B88" s="26">
        <v>309583810</v>
      </c>
      <c r="C88" s="26">
        <v>270054962.85000002</v>
      </c>
      <c r="D88" s="70">
        <f t="shared" si="2"/>
        <v>2.0040307743083609E-2</v>
      </c>
      <c r="F88" s="8" t="str">
        <v xml:space="preserve">Venezuela </v>
      </c>
      <c r="G88" s="70">
        <f t="shared" si="3"/>
        <v>2.0040307743083609E-2</v>
      </c>
    </row>
    <row r="89" spans="1:7" x14ac:dyDescent="0.2">
      <c r="A89" s="25" t="s">
        <v>66</v>
      </c>
      <c r="B89" s="26">
        <v>50155</v>
      </c>
      <c r="C89" s="26">
        <v>50321</v>
      </c>
      <c r="D89" s="70">
        <f t="shared" si="2"/>
        <v>3.2466866883457451E-6</v>
      </c>
      <c r="F89" s="8" t="str">
        <v xml:space="preserve">Suriname </v>
      </c>
      <c r="G89" s="70">
        <f t="shared" si="3"/>
        <v>5.1062086065875931E-6</v>
      </c>
    </row>
    <row r="90" spans="1:7" x14ac:dyDescent="0.2">
      <c r="A90" s="25" t="s">
        <v>105</v>
      </c>
      <c r="B90" s="26">
        <v>78881</v>
      </c>
      <c r="C90" s="26">
        <v>64484.32</v>
      </c>
      <c r="D90" s="70">
        <f t="shared" si="2"/>
        <v>5.1062086065875931E-6</v>
      </c>
      <c r="F90" s="8" t="str">
        <v xml:space="preserve">Dominica </v>
      </c>
      <c r="G90" s="70" t="e">
        <f t="shared" si="3"/>
        <v>#VALUE!</v>
      </c>
    </row>
    <row r="91" spans="1:7" x14ac:dyDescent="0.2">
      <c r="A91" s="25" t="s">
        <v>106</v>
      </c>
      <c r="B91" s="26" t="s">
        <v>30</v>
      </c>
      <c r="C91" s="26" t="s">
        <v>30</v>
      </c>
      <c r="D91" s="70" t="e">
        <f t="shared" si="2"/>
        <v>#VALUE!</v>
      </c>
      <c r="F91" s="8" t="str">
        <v xml:space="preserve">Santa Lucía </v>
      </c>
      <c r="G91" s="70">
        <f t="shared" si="3"/>
        <v>1.377985622014825E-5</v>
      </c>
    </row>
    <row r="92" spans="1:7" x14ac:dyDescent="0.2">
      <c r="A92" s="25" t="s">
        <v>107</v>
      </c>
      <c r="B92" s="26">
        <v>212872</v>
      </c>
      <c r="C92" s="26">
        <v>123105.03</v>
      </c>
      <c r="D92" s="70">
        <f t="shared" si="2"/>
        <v>1.377985622014825E-5</v>
      </c>
      <c r="F92" s="8" t="str">
        <v xml:space="preserve">San Vicente y las Granadinas </v>
      </c>
      <c r="G92" s="70">
        <f t="shared" si="3"/>
        <v>9.6627687898725492E-6</v>
      </c>
    </row>
    <row r="93" spans="1:7" x14ac:dyDescent="0.2">
      <c r="A93" s="25" t="s">
        <v>108</v>
      </c>
      <c r="B93" s="26">
        <v>149271</v>
      </c>
      <c r="C93" s="26">
        <v>46108.480000000003</v>
      </c>
      <c r="D93" s="70">
        <f t="shared" si="2"/>
        <v>9.6627687898725492E-6</v>
      </c>
      <c r="F93" s="8" t="str">
        <v xml:space="preserve">Belice </v>
      </c>
      <c r="G93" s="70">
        <f t="shared" si="3"/>
        <v>3.19638909973355E-6</v>
      </c>
    </row>
    <row r="94" spans="1:7" x14ac:dyDescent="0.2">
      <c r="A94" s="25" t="s">
        <v>109</v>
      </c>
      <c r="B94" s="26">
        <v>49378</v>
      </c>
      <c r="C94" s="26">
        <v>16278.55</v>
      </c>
      <c r="D94" s="70">
        <f t="shared" si="2"/>
        <v>3.19638909973355E-6</v>
      </c>
      <c r="F94" s="8" t="str">
        <v xml:space="preserve">Antigua y Barbuda </v>
      </c>
      <c r="G94" s="70">
        <f t="shared" si="3"/>
        <v>3.2582091732530432E-6</v>
      </c>
    </row>
    <row r="95" spans="1:7" x14ac:dyDescent="0.2">
      <c r="A95" s="25" t="s">
        <v>110</v>
      </c>
      <c r="B95" s="26">
        <v>50333</v>
      </c>
      <c r="C95" s="26">
        <v>31211.89</v>
      </c>
      <c r="D95" s="70">
        <f t="shared" si="2"/>
        <v>3.2582091732530432E-6</v>
      </c>
      <c r="F95" s="8" t="str">
        <v xml:space="preserve">San Cristóbal y Nevis </v>
      </c>
      <c r="G95" s="70">
        <f t="shared" si="3"/>
        <v>1.1730148567874704E-5</v>
      </c>
    </row>
    <row r="96" spans="1:7" x14ac:dyDescent="0.2">
      <c r="A96" s="25" t="s">
        <v>111</v>
      </c>
      <c r="B96" s="26">
        <v>181208</v>
      </c>
      <c r="C96" s="26">
        <v>48928.13</v>
      </c>
      <c r="D96" s="70">
        <f t="shared" si="2"/>
        <v>1.1730148567874704E-5</v>
      </c>
      <c r="F96" s="8" t="str">
        <v xml:space="preserve">Bahamas </v>
      </c>
      <c r="G96" s="70" t="e">
        <f t="shared" si="3"/>
        <v>#VALUE!</v>
      </c>
    </row>
    <row r="97" spans="1:7" x14ac:dyDescent="0.2">
      <c r="A97" s="25" t="s">
        <v>112</v>
      </c>
      <c r="B97" s="26" t="s">
        <v>30</v>
      </c>
      <c r="C97" s="26" t="s">
        <v>30</v>
      </c>
      <c r="D97" s="70" t="e">
        <f t="shared" si="2"/>
        <v>#VALUE!</v>
      </c>
      <c r="F97" s="8" t="str">
        <v xml:space="preserve">Grenada </v>
      </c>
      <c r="G97" s="70">
        <f t="shared" si="3"/>
        <v>6.0849077600338959E-6</v>
      </c>
    </row>
    <row r="98" spans="1:7" x14ac:dyDescent="0.2">
      <c r="A98" s="25" t="s">
        <v>113</v>
      </c>
      <c r="B98" s="26">
        <v>94000</v>
      </c>
      <c r="C98" s="26">
        <v>30343.200000000001</v>
      </c>
      <c r="D98" s="70">
        <f t="shared" si="2"/>
        <v>6.0849077600338959E-6</v>
      </c>
      <c r="F98" s="8" t="str">
        <v xml:space="preserve">Antillas Holandesas </v>
      </c>
      <c r="G98" s="70">
        <f t="shared" si="3"/>
        <v>4.481027058064553E-4</v>
      </c>
    </row>
    <row r="99" spans="1:7" x14ac:dyDescent="0.2">
      <c r="A99" s="25" t="s">
        <v>114</v>
      </c>
      <c r="B99" s="26">
        <v>6922316</v>
      </c>
      <c r="C99" s="26">
        <v>12544480.68</v>
      </c>
      <c r="D99" s="70">
        <f t="shared" si="2"/>
        <v>4.481027058064553E-4</v>
      </c>
      <c r="F99" s="8" t="str">
        <v xml:space="preserve">Aruba </v>
      </c>
      <c r="G99" s="70">
        <f t="shared" si="3"/>
        <v>1.2554795982094107E-4</v>
      </c>
    </row>
    <row r="100" spans="1:7" x14ac:dyDescent="0.2">
      <c r="A100" s="25" t="s">
        <v>115</v>
      </c>
      <c r="B100" s="26">
        <v>1939472</v>
      </c>
      <c r="C100" s="26">
        <v>434947.92</v>
      </c>
      <c r="D100" s="70">
        <f t="shared" si="2"/>
        <v>1.2554795982094107E-4</v>
      </c>
      <c r="F100" s="8" t="str">
        <v xml:space="preserve">Iquique (Chile) </v>
      </c>
      <c r="G100" s="70">
        <f t="shared" si="3"/>
        <v>8.3736098745419637E-6</v>
      </c>
    </row>
    <row r="101" spans="1:7" x14ac:dyDescent="0.2">
      <c r="A101" s="25" t="s">
        <v>116</v>
      </c>
      <c r="B101" s="26">
        <v>129356</v>
      </c>
      <c r="C101" s="26">
        <v>27178.19</v>
      </c>
      <c r="D101" s="70">
        <f t="shared" si="2"/>
        <v>8.3736098745419637E-6</v>
      </c>
      <c r="F101" s="8" t="str">
        <v xml:space="preserve">Punta Arenas (Chile) </v>
      </c>
      <c r="G101" s="70">
        <f t="shared" si="3"/>
        <v>2.2454410096566784E-5</v>
      </c>
    </row>
    <row r="102" spans="1:7" x14ac:dyDescent="0.2">
      <c r="A102" s="25" t="s">
        <v>117</v>
      </c>
      <c r="B102" s="26">
        <v>346877</v>
      </c>
      <c r="C102" s="26">
        <v>78578.899999999994</v>
      </c>
      <c r="D102" s="70">
        <f t="shared" si="2"/>
        <v>2.2454410096566784E-5</v>
      </c>
      <c r="F102" s="8" t="str">
        <v xml:space="preserve">Colonia (Uruguay) </v>
      </c>
      <c r="G102" s="70">
        <f t="shared" si="3"/>
        <v>1.0321362955304304E-5</v>
      </c>
    </row>
    <row r="103" spans="1:7" x14ac:dyDescent="0.2">
      <c r="A103" s="25" t="s">
        <v>118</v>
      </c>
      <c r="B103" s="26">
        <v>159445</v>
      </c>
      <c r="C103" s="26">
        <v>412500</v>
      </c>
      <c r="D103" s="70">
        <f t="shared" si="2"/>
        <v>1.0321362955304304E-5</v>
      </c>
      <c r="F103" s="8" t="str">
        <v>ASIA</v>
      </c>
      <c r="G103" s="70">
        <f t="shared" si="3"/>
        <v>0.34383648974809544</v>
      </c>
    </row>
    <row r="104" spans="1:7" x14ac:dyDescent="0.2">
      <c r="A104" s="25"/>
      <c r="B104" s="26"/>
      <c r="C104" s="26"/>
      <c r="D104" s="70">
        <f t="shared" si="2"/>
        <v>0</v>
      </c>
      <c r="F104" s="8" t="str">
        <v xml:space="preserve">Afganistán </v>
      </c>
      <c r="G104" s="70">
        <f t="shared" si="3"/>
        <v>3.4151868468496624E-6</v>
      </c>
    </row>
    <row r="105" spans="1:7" x14ac:dyDescent="0.2">
      <c r="A105" s="25" t="s">
        <v>119</v>
      </c>
      <c r="B105" s="26">
        <v>5311605584</v>
      </c>
      <c r="C105" s="26">
        <v>12475786942.92</v>
      </c>
      <c r="D105" s="70">
        <f t="shared" si="2"/>
        <v>0.34383648974809544</v>
      </c>
      <c r="F105" s="8" t="str">
        <v xml:space="preserve">Arabia Saudita </v>
      </c>
      <c r="G105" s="70">
        <f t="shared" si="3"/>
        <v>5.141331406242183E-3</v>
      </c>
    </row>
    <row r="106" spans="1:7" x14ac:dyDescent="0.2">
      <c r="A106" s="25" t="s">
        <v>120</v>
      </c>
      <c r="B106" s="26">
        <v>52758</v>
      </c>
      <c r="C106" s="26">
        <v>20052.63</v>
      </c>
      <c r="D106" s="70">
        <f t="shared" si="2"/>
        <v>3.4151868468496624E-6</v>
      </c>
      <c r="F106" s="8" t="str">
        <v xml:space="preserve">Bahrein </v>
      </c>
      <c r="G106" s="70">
        <f t="shared" si="3"/>
        <v>3.0083266101117364E-5</v>
      </c>
    </row>
    <row r="107" spans="1:7" x14ac:dyDescent="0.2">
      <c r="A107" s="25" t="s">
        <v>121</v>
      </c>
      <c r="B107" s="26">
        <v>79423579</v>
      </c>
      <c r="C107" s="26">
        <v>269566626.37</v>
      </c>
      <c r="D107" s="70">
        <f t="shared" si="2"/>
        <v>5.141331406242183E-3</v>
      </c>
      <c r="F107" s="8" t="str">
        <v xml:space="preserve">Myanmar (ex Birmania) Unión de </v>
      </c>
      <c r="G107" s="70" t="e">
        <f t="shared" si="3"/>
        <v>#VALUE!</v>
      </c>
    </row>
    <row r="108" spans="1:7" x14ac:dyDescent="0.2">
      <c r="A108" s="25" t="s">
        <v>122</v>
      </c>
      <c r="B108" s="26">
        <v>464728</v>
      </c>
      <c r="C108" s="26">
        <v>1525651.17</v>
      </c>
      <c r="D108" s="70">
        <f t="shared" si="2"/>
        <v>3.0083266101117364E-5</v>
      </c>
      <c r="F108" s="8" t="str">
        <v xml:space="preserve">Camboya (ex Kampuchea) </v>
      </c>
      <c r="G108" s="70">
        <f t="shared" si="3"/>
        <v>2.4003990117414564E-4</v>
      </c>
    </row>
    <row r="109" spans="1:7" x14ac:dyDescent="0.2">
      <c r="A109" s="25" t="s">
        <v>123</v>
      </c>
      <c r="B109" s="26" t="s">
        <v>30</v>
      </c>
      <c r="C109" s="26" t="s">
        <v>30</v>
      </c>
      <c r="D109" s="70" t="e">
        <f t="shared" si="2"/>
        <v>#VALUE!</v>
      </c>
      <c r="F109" s="8" t="str">
        <v xml:space="preserve">Sri Lanka </v>
      </c>
      <c r="G109" s="70">
        <f t="shared" si="3"/>
        <v>1.0853145053694499E-6</v>
      </c>
    </row>
    <row r="110" spans="1:7" x14ac:dyDescent="0.2">
      <c r="A110" s="25" t="s">
        <v>124</v>
      </c>
      <c r="B110" s="26">
        <v>3708150</v>
      </c>
      <c r="C110" s="26">
        <v>204319.3</v>
      </c>
      <c r="D110" s="70">
        <f t="shared" si="2"/>
        <v>2.4003990117414564E-4</v>
      </c>
      <c r="F110" s="8" t="str">
        <v xml:space="preserve">Corea Republicana </v>
      </c>
      <c r="G110" s="70">
        <f t="shared" si="3"/>
        <v>1.5051163763903551E-2</v>
      </c>
    </row>
    <row r="111" spans="1:7" x14ac:dyDescent="0.2">
      <c r="A111" s="25" t="s">
        <v>125</v>
      </c>
      <c r="B111" s="26">
        <v>16766</v>
      </c>
      <c r="C111" s="26">
        <v>3000</v>
      </c>
      <c r="D111" s="70">
        <f t="shared" si="2"/>
        <v>1.0853145053694499E-6</v>
      </c>
      <c r="F111" s="8" t="str">
        <v xml:space="preserve">China </v>
      </c>
      <c r="G111" s="70">
        <f t="shared" si="3"/>
        <v>7.4680958422441213E-2</v>
      </c>
    </row>
    <row r="112" spans="1:7" x14ac:dyDescent="0.2">
      <c r="A112" s="25" t="s">
        <v>126</v>
      </c>
      <c r="B112" s="26">
        <v>232511231</v>
      </c>
      <c r="C112" s="26">
        <v>497404250.89999998</v>
      </c>
      <c r="D112" s="70">
        <f t="shared" si="2"/>
        <v>1.5051163763903551E-2</v>
      </c>
      <c r="F112" s="8" t="str">
        <v xml:space="preserve">Filipinas </v>
      </c>
      <c r="G112" s="70">
        <f t="shared" si="3"/>
        <v>1.2142097600025735E-2</v>
      </c>
    </row>
    <row r="113" spans="1:7" x14ac:dyDescent="0.2">
      <c r="A113" s="25" t="s">
        <v>127</v>
      </c>
      <c r="B113" s="26">
        <v>1153675679</v>
      </c>
      <c r="C113" s="26">
        <v>2656388651.02</v>
      </c>
      <c r="D113" s="70">
        <f t="shared" si="2"/>
        <v>7.4680958422441213E-2</v>
      </c>
      <c r="F113" s="8" t="str">
        <v xml:space="preserve">Taiwan </v>
      </c>
      <c r="G113" s="70">
        <f t="shared" si="3"/>
        <v>2.656384219501587E-3</v>
      </c>
    </row>
    <row r="114" spans="1:7" x14ac:dyDescent="0.2">
      <c r="A114" s="25" t="s">
        <v>128</v>
      </c>
      <c r="B114" s="26">
        <v>187571812</v>
      </c>
      <c r="C114" s="26">
        <v>569912986.70000005</v>
      </c>
      <c r="D114" s="70">
        <f t="shared" si="2"/>
        <v>1.2142097600025735E-2</v>
      </c>
      <c r="F114" s="8" t="str">
        <v xml:space="preserve">India </v>
      </c>
      <c r="G114" s="70">
        <f t="shared" si="3"/>
        <v>5.4032793704757179E-2</v>
      </c>
    </row>
    <row r="115" spans="1:7" x14ac:dyDescent="0.2">
      <c r="A115" s="25" t="s">
        <v>129</v>
      </c>
      <c r="B115" s="26">
        <v>41035974</v>
      </c>
      <c r="C115" s="26">
        <v>123107731.97</v>
      </c>
      <c r="D115" s="70">
        <f t="shared" si="2"/>
        <v>2.656384219501587E-3</v>
      </c>
      <c r="F115" s="8" t="str">
        <v xml:space="preserve">Indonesia </v>
      </c>
      <c r="G115" s="70">
        <f t="shared" si="3"/>
        <v>3.0435844688253746E-2</v>
      </c>
    </row>
    <row r="116" spans="1:7" x14ac:dyDescent="0.2">
      <c r="A116" s="25" t="s">
        <v>130</v>
      </c>
      <c r="B116" s="26">
        <v>834701660</v>
      </c>
      <c r="C116" s="26">
        <v>1007523120.13</v>
      </c>
      <c r="D116" s="70">
        <f t="shared" si="2"/>
        <v>5.4032793704757179E-2</v>
      </c>
      <c r="F116" s="8" t="str">
        <v xml:space="preserve">Iraq </v>
      </c>
      <c r="G116" s="70">
        <f t="shared" si="3"/>
        <v>6.0064901296029908E-5</v>
      </c>
    </row>
    <row r="117" spans="1:7" x14ac:dyDescent="0.2">
      <c r="A117" s="25" t="s">
        <v>131</v>
      </c>
      <c r="B117" s="26">
        <v>470174654</v>
      </c>
      <c r="C117" s="26">
        <v>1456579946.3199999</v>
      </c>
      <c r="D117" s="70">
        <f t="shared" si="2"/>
        <v>3.0435844688253746E-2</v>
      </c>
      <c r="F117" s="8" t="str">
        <v xml:space="preserve">Irán </v>
      </c>
      <c r="G117" s="70">
        <f t="shared" si="3"/>
        <v>4.5922394607008137E-2</v>
      </c>
    </row>
    <row r="118" spans="1:7" x14ac:dyDescent="0.2">
      <c r="A118" s="25" t="s">
        <v>132</v>
      </c>
      <c r="B118" s="26">
        <v>927886</v>
      </c>
      <c r="C118" s="26">
        <v>353773.2</v>
      </c>
      <c r="D118" s="70">
        <f t="shared" si="2"/>
        <v>6.0064901296029908E-5</v>
      </c>
      <c r="F118" s="8" t="str">
        <v xml:space="preserve">Israel </v>
      </c>
      <c r="G118" s="70">
        <f t="shared" si="3"/>
        <v>2.7386956730344235E-3</v>
      </c>
    </row>
    <row r="119" spans="1:7" x14ac:dyDescent="0.2">
      <c r="A119" s="25" t="s">
        <v>133</v>
      </c>
      <c r="B119" s="26">
        <v>709411755</v>
      </c>
      <c r="C119" s="26">
        <v>1855107310.5599999</v>
      </c>
      <c r="D119" s="70">
        <f t="shared" si="2"/>
        <v>4.5922394607008137E-2</v>
      </c>
      <c r="F119" s="8" t="str">
        <v xml:space="preserve">Japón </v>
      </c>
      <c r="G119" s="70">
        <f t="shared" si="3"/>
        <v>5.1486760193746664E-3</v>
      </c>
    </row>
    <row r="120" spans="1:7" x14ac:dyDescent="0.2">
      <c r="A120" s="25" t="s">
        <v>134</v>
      </c>
      <c r="B120" s="26">
        <v>42307526</v>
      </c>
      <c r="C120" s="26">
        <v>44904695.880000003</v>
      </c>
      <c r="D120" s="70">
        <f t="shared" si="2"/>
        <v>2.7386956730344235E-3</v>
      </c>
      <c r="F120" s="8" t="str">
        <v xml:space="preserve">Jordania </v>
      </c>
      <c r="G120" s="70">
        <f t="shared" si="3"/>
        <v>1.697813423060986E-3</v>
      </c>
    </row>
    <row r="121" spans="1:7" x14ac:dyDescent="0.2">
      <c r="A121" s="25" t="s">
        <v>135</v>
      </c>
      <c r="B121" s="26">
        <v>79537039</v>
      </c>
      <c r="C121" s="26">
        <v>355624914.13999999</v>
      </c>
      <c r="D121" s="70">
        <f t="shared" si="2"/>
        <v>5.1486760193746664E-3</v>
      </c>
      <c r="F121" s="8" t="str">
        <v xml:space="preserve">Qatar </v>
      </c>
      <c r="G121" s="70">
        <f t="shared" si="3"/>
        <v>1.0659787399660231E-5</v>
      </c>
    </row>
    <row r="122" spans="1:7" x14ac:dyDescent="0.2">
      <c r="A122" s="25" t="s">
        <v>136</v>
      </c>
      <c r="B122" s="26">
        <v>26227918</v>
      </c>
      <c r="C122" s="26">
        <v>84476257.090000004</v>
      </c>
      <c r="D122" s="70">
        <f t="shared" si="2"/>
        <v>1.697813423060986E-3</v>
      </c>
      <c r="F122" s="8" t="str">
        <v xml:space="preserve">Kuwait </v>
      </c>
      <c r="G122" s="70">
        <f t="shared" si="3"/>
        <v>2.9947061266884521E-4</v>
      </c>
    </row>
    <row r="123" spans="1:7" x14ac:dyDescent="0.2">
      <c r="A123" s="25" t="s">
        <v>137</v>
      </c>
      <c r="B123" s="26">
        <v>164673</v>
      </c>
      <c r="C123" s="26">
        <v>63616.5</v>
      </c>
      <c r="D123" s="70">
        <f t="shared" si="2"/>
        <v>1.0659787399660231E-5</v>
      </c>
      <c r="F123" s="8" t="str">
        <v xml:space="preserve">Líbano </v>
      </c>
      <c r="G123" s="70">
        <f t="shared" si="3"/>
        <v>1.440528569629598E-3</v>
      </c>
    </row>
    <row r="124" spans="1:7" x14ac:dyDescent="0.2">
      <c r="A124" s="25" t="s">
        <v>138</v>
      </c>
      <c r="B124" s="26">
        <v>4626239</v>
      </c>
      <c r="C124" s="26">
        <v>18245955.82</v>
      </c>
      <c r="D124" s="70">
        <f t="shared" si="2"/>
        <v>2.9947061266884521E-4</v>
      </c>
      <c r="F124" s="8" t="str">
        <v xml:space="preserve">Malasia </v>
      </c>
      <c r="G124" s="70">
        <f t="shared" si="3"/>
        <v>2.5825445500040255E-2</v>
      </c>
    </row>
    <row r="125" spans="1:7" x14ac:dyDescent="0.2">
      <c r="A125" s="25" t="s">
        <v>139</v>
      </c>
      <c r="B125" s="26">
        <v>22253367</v>
      </c>
      <c r="C125" s="26">
        <v>61274804.469999999</v>
      </c>
      <c r="D125" s="70">
        <f t="shared" si="2"/>
        <v>1.440528569629598E-3</v>
      </c>
      <c r="F125" s="8" t="str">
        <v xml:space="preserve">Maldivas </v>
      </c>
      <c r="G125" s="70">
        <f t="shared" si="3"/>
        <v>8.5868405783882584E-7</v>
      </c>
    </row>
    <row r="126" spans="1:7" x14ac:dyDescent="0.2">
      <c r="A126" s="25" t="s">
        <v>140</v>
      </c>
      <c r="B126" s="26">
        <v>398952946</v>
      </c>
      <c r="C126" s="26">
        <v>1199579234.4300001</v>
      </c>
      <c r="D126" s="70">
        <f t="shared" si="2"/>
        <v>2.5825445500040255E-2</v>
      </c>
      <c r="F126" s="8" t="str">
        <v xml:space="preserve">Omán </v>
      </c>
      <c r="G126" s="70">
        <f t="shared" si="3"/>
        <v>5.5144262956204971E-4</v>
      </c>
    </row>
    <row r="127" spans="1:7" x14ac:dyDescent="0.2">
      <c r="A127" s="25" t="s">
        <v>141</v>
      </c>
      <c r="B127" s="26">
        <v>13265</v>
      </c>
      <c r="C127" s="26">
        <v>18048</v>
      </c>
      <c r="D127" s="70">
        <f t="shared" si="2"/>
        <v>8.5868405783882584E-7</v>
      </c>
      <c r="F127" s="8" t="str">
        <v xml:space="preserve">Mongolia </v>
      </c>
      <c r="G127" s="70">
        <f t="shared" si="3"/>
        <v>4.2760718287719048E-6</v>
      </c>
    </row>
    <row r="128" spans="1:7" x14ac:dyDescent="0.2">
      <c r="A128" s="25" t="s">
        <v>142</v>
      </c>
      <c r="B128" s="26">
        <v>8518717</v>
      </c>
      <c r="C128" s="26">
        <v>14999139.25</v>
      </c>
      <c r="D128" s="70">
        <f t="shared" si="2"/>
        <v>5.5144262956204971E-4</v>
      </c>
      <c r="F128" s="8" t="str">
        <v xml:space="preserve">Nepal </v>
      </c>
      <c r="G128" s="70">
        <f t="shared" si="3"/>
        <v>2.0906836800618591E-6</v>
      </c>
    </row>
    <row r="129" spans="1:7" x14ac:dyDescent="0.2">
      <c r="A129" s="25" t="s">
        <v>143</v>
      </c>
      <c r="B129" s="26">
        <v>66057</v>
      </c>
      <c r="C129" s="26">
        <v>27828.6</v>
      </c>
      <c r="D129" s="70">
        <f t="shared" si="2"/>
        <v>4.2760718287719048E-6</v>
      </c>
      <c r="F129" s="8" t="str">
        <v xml:space="preserve">Emiratos Arabes Unidos </v>
      </c>
      <c r="G129" s="70">
        <f t="shared" si="3"/>
        <v>8.0728579356582029E-3</v>
      </c>
    </row>
    <row r="130" spans="1:7" x14ac:dyDescent="0.2">
      <c r="A130" s="25" t="s">
        <v>144</v>
      </c>
      <c r="B130" s="26">
        <v>32297</v>
      </c>
      <c r="C130" s="26">
        <v>85346.1</v>
      </c>
      <c r="D130" s="70">
        <f t="shared" si="2"/>
        <v>2.0906836800618591E-6</v>
      </c>
      <c r="F130" s="8" t="str">
        <v xml:space="preserve">Paquistán </v>
      </c>
      <c r="G130" s="70">
        <f t="shared" si="3"/>
        <v>7.006632756927898E-4</v>
      </c>
    </row>
    <row r="131" spans="1:7" x14ac:dyDescent="0.2">
      <c r="A131" s="25" t="s">
        <v>145</v>
      </c>
      <c r="B131" s="26">
        <v>124709967</v>
      </c>
      <c r="C131" s="26">
        <v>211295504.12</v>
      </c>
      <c r="D131" s="70">
        <f t="shared" si="2"/>
        <v>8.0728579356582029E-3</v>
      </c>
      <c r="F131" s="8" t="str">
        <v xml:space="preserve">Singapur </v>
      </c>
      <c r="G131" s="70">
        <f t="shared" si="3"/>
        <v>2.4492718256749458E-4</v>
      </c>
    </row>
    <row r="132" spans="1:7" x14ac:dyDescent="0.2">
      <c r="A132" s="25" t="s">
        <v>146</v>
      </c>
      <c r="B132" s="26">
        <v>10823886</v>
      </c>
      <c r="C132" s="26">
        <v>12917578.029999999</v>
      </c>
      <c r="D132" s="70">
        <f t="shared" si="2"/>
        <v>7.006632756927898E-4</v>
      </c>
      <c r="F132" s="8" t="str">
        <v xml:space="preserve">Siria </v>
      </c>
      <c r="G132" s="70">
        <f t="shared" si="3"/>
        <v>5.2977952935314467E-3</v>
      </c>
    </row>
    <row r="133" spans="1:7" x14ac:dyDescent="0.2">
      <c r="A133" s="25" t="s">
        <v>147</v>
      </c>
      <c r="B133" s="26">
        <v>3783649</v>
      </c>
      <c r="C133" s="26">
        <v>4055813.99</v>
      </c>
      <c r="D133" s="70">
        <f t="shared" si="2"/>
        <v>2.4492718256749458E-4</v>
      </c>
      <c r="F133" s="8" t="str">
        <v xml:space="preserve">Tailandia </v>
      </c>
      <c r="G133" s="70">
        <f t="shared" si="3"/>
        <v>1.4010634503313257E-2</v>
      </c>
    </row>
    <row r="134" spans="1:7" x14ac:dyDescent="0.2">
      <c r="A134" s="25" t="s">
        <v>148</v>
      </c>
      <c r="B134" s="26">
        <v>81840642</v>
      </c>
      <c r="C134" s="26">
        <v>252198901.50999999</v>
      </c>
      <c r="D134" s="70">
        <f t="shared" si="2"/>
        <v>5.2977952935314467E-3</v>
      </c>
      <c r="F134" s="8" t="str">
        <v xml:space="preserve">Vietnam </v>
      </c>
      <c r="G134" s="70">
        <f t="shared" si="3"/>
        <v>1.9808019625997379E-2</v>
      </c>
    </row>
    <row r="135" spans="1:7" x14ac:dyDescent="0.2">
      <c r="A135" s="25" t="s">
        <v>149</v>
      </c>
      <c r="B135" s="26">
        <v>216437076</v>
      </c>
      <c r="C135" s="26">
        <v>566700039.77999997</v>
      </c>
      <c r="D135" s="70">
        <f t="shared" si="2"/>
        <v>1.4010634503313257E-2</v>
      </c>
      <c r="F135" s="8" t="str">
        <v xml:space="preserve">Hong Kong </v>
      </c>
      <c r="G135" s="70">
        <f t="shared" si="3"/>
        <v>4.7290366995439339E-3</v>
      </c>
    </row>
    <row r="136" spans="1:7" x14ac:dyDescent="0.2">
      <c r="A136" s="25" t="s">
        <v>150</v>
      </c>
      <c r="B136" s="26">
        <v>305995410</v>
      </c>
      <c r="C136" s="26">
        <v>880586340.35000002</v>
      </c>
      <c r="D136" s="70">
        <f t="shared" si="2"/>
        <v>1.9808019625997379E-2</v>
      </c>
      <c r="F136" s="8" t="str">
        <v xml:space="preserve">Macao </v>
      </c>
      <c r="G136" s="70">
        <f t="shared" si="3"/>
        <v>2.9388809819738179E-8</v>
      </c>
    </row>
    <row r="137" spans="1:7" x14ac:dyDescent="0.2">
      <c r="A137" s="25" t="s">
        <v>151</v>
      </c>
      <c r="B137" s="26">
        <v>73054427</v>
      </c>
      <c r="C137" s="26">
        <v>20473777.309999999</v>
      </c>
      <c r="D137" s="70">
        <f t="shared" si="2"/>
        <v>4.7290366995439339E-3</v>
      </c>
      <c r="F137" s="8" t="str">
        <v xml:space="preserve">Bangladesh </v>
      </c>
      <c r="G137" s="70">
        <f t="shared" si="3"/>
        <v>1.0494275383997919E-2</v>
      </c>
    </row>
    <row r="138" spans="1:7" x14ac:dyDescent="0.2">
      <c r="A138" s="25" t="s">
        <v>152</v>
      </c>
      <c r="B138" s="26">
        <v>454</v>
      </c>
      <c r="C138" s="26">
        <v>16.5</v>
      </c>
      <c r="D138" s="70">
        <f t="shared" si="2"/>
        <v>2.9388809819738179E-8</v>
      </c>
      <c r="F138" s="8" t="str">
        <v xml:space="preserve">República de Yemen </v>
      </c>
      <c r="G138" s="70">
        <f t="shared" si="3"/>
        <v>1.9953091594963938E-3</v>
      </c>
    </row>
    <row r="139" spans="1:7" x14ac:dyDescent="0.2">
      <c r="A139" s="25" t="s">
        <v>153</v>
      </c>
      <c r="B139" s="26">
        <v>162116161</v>
      </c>
      <c r="C139" s="26">
        <v>186498620.19999999</v>
      </c>
      <c r="D139" s="70">
        <f t="shared" ref="D139:D155" si="4">+B139/$B$8</f>
        <v>1.0494275383997919E-2</v>
      </c>
      <c r="F139" s="8" t="str">
        <v xml:space="preserve">Armenia </v>
      </c>
      <c r="G139" s="70">
        <f t="shared" ref="G139:G151" si="5">+SUMIF(A139:A284,F139,D139:D284)</f>
        <v>2.7764009981686574E-7</v>
      </c>
    </row>
    <row r="140" spans="1:7" x14ac:dyDescent="0.2">
      <c r="A140" s="25" t="s">
        <v>154</v>
      </c>
      <c r="B140" s="26">
        <v>30823649</v>
      </c>
      <c r="C140" s="26">
        <v>122833622.01000001</v>
      </c>
      <c r="D140" s="70">
        <f t="shared" si="4"/>
        <v>1.9953091594963938E-3</v>
      </c>
      <c r="F140" s="8" t="str">
        <v xml:space="preserve">Azerbaiján </v>
      </c>
      <c r="G140" s="70">
        <f t="shared" si="5"/>
        <v>1.5094338709050381E-4</v>
      </c>
    </row>
    <row r="141" spans="1:7" x14ac:dyDescent="0.2">
      <c r="A141" s="25" t="s">
        <v>155</v>
      </c>
      <c r="B141" s="26">
        <v>4289</v>
      </c>
      <c r="C141" s="26">
        <v>5253.2</v>
      </c>
      <c r="D141" s="70">
        <f t="shared" si="4"/>
        <v>2.7764009981686574E-7</v>
      </c>
      <c r="F141" s="8" t="str">
        <v xml:space="preserve">Georgia </v>
      </c>
      <c r="G141" s="70">
        <f t="shared" si="5"/>
        <v>4.3433942124999396E-6</v>
      </c>
    </row>
    <row r="142" spans="1:7" x14ac:dyDescent="0.2">
      <c r="A142" s="25" t="s">
        <v>156</v>
      </c>
      <c r="B142" s="26">
        <v>2331782</v>
      </c>
      <c r="C142" s="26">
        <v>516735.86</v>
      </c>
      <c r="D142" s="70">
        <f t="shared" si="4"/>
        <v>1.5094338709050381E-4</v>
      </c>
      <c r="F142" s="8" t="str">
        <v xml:space="preserve">Kazajstán </v>
      </c>
      <c r="G142" s="70">
        <f t="shared" si="5"/>
        <v>1.9987549650812275E-4</v>
      </c>
    </row>
    <row r="143" spans="1:7" x14ac:dyDescent="0.2">
      <c r="A143" s="25" t="s">
        <v>157</v>
      </c>
      <c r="B143" s="26">
        <v>67097</v>
      </c>
      <c r="C143" s="26">
        <v>141056.49</v>
      </c>
      <c r="D143" s="70">
        <f t="shared" si="4"/>
        <v>4.3433942124999396E-6</v>
      </c>
      <c r="F143" s="8" t="str">
        <v>Territorios Autónomos Palestinos (Gaza y Jericó)</v>
      </c>
      <c r="G143" s="70">
        <f t="shared" si="5"/>
        <v>9.8855799867878337E-6</v>
      </c>
    </row>
    <row r="144" spans="1:7" x14ac:dyDescent="0.2">
      <c r="A144" s="25" t="s">
        <v>158</v>
      </c>
      <c r="B144" s="26">
        <v>3087688</v>
      </c>
      <c r="C144" s="26">
        <v>513948.41</v>
      </c>
      <c r="D144" s="70">
        <f t="shared" si="4"/>
        <v>1.9987549650812275E-4</v>
      </c>
      <c r="F144" s="8" t="str">
        <v>EUROPA</v>
      </c>
      <c r="G144" s="70">
        <f t="shared" si="5"/>
        <v>0.29647626218559542</v>
      </c>
    </row>
    <row r="145" spans="1:7" x14ac:dyDescent="0.2">
      <c r="A145" s="25" t="s">
        <v>159</v>
      </c>
      <c r="B145" s="26">
        <v>152713</v>
      </c>
      <c r="C145" s="26">
        <v>52474.61</v>
      </c>
      <c r="D145" s="70">
        <f t="shared" si="4"/>
        <v>9.8855799867878337E-6</v>
      </c>
      <c r="F145" s="8" t="str">
        <v xml:space="preserve">Albania </v>
      </c>
      <c r="G145" s="70">
        <f t="shared" si="5"/>
        <v>7.185253282231855E-5</v>
      </c>
    </row>
    <row r="146" spans="1:7" x14ac:dyDescent="0.2">
      <c r="A146" s="25"/>
      <c r="B146" s="26"/>
      <c r="C146" s="26"/>
      <c r="D146" s="70">
        <f t="shared" si="4"/>
        <v>0</v>
      </c>
      <c r="F146" s="8" t="str">
        <v xml:space="preserve">Austria </v>
      </c>
      <c r="G146" s="70">
        <f t="shared" si="5"/>
        <v>8.6447960881495174E-5</v>
      </c>
    </row>
    <row r="147" spans="1:7" x14ac:dyDescent="0.2">
      <c r="A147" s="25" t="s">
        <v>160</v>
      </c>
      <c r="B147" s="26">
        <v>4579982104</v>
      </c>
      <c r="C147" s="26">
        <v>10902780210.82</v>
      </c>
      <c r="D147" s="70">
        <f t="shared" si="4"/>
        <v>0.29647626218559542</v>
      </c>
      <c r="F147" s="8" t="str">
        <v xml:space="preserve">Bélgica </v>
      </c>
      <c r="G147" s="70">
        <f t="shared" si="5"/>
        <v>3.8843526550666591E-3</v>
      </c>
    </row>
    <row r="148" spans="1:7" x14ac:dyDescent="0.2">
      <c r="A148" s="25" t="s">
        <v>161</v>
      </c>
      <c r="B148" s="26">
        <v>1109982</v>
      </c>
      <c r="C148" s="26">
        <v>269158.06</v>
      </c>
      <c r="D148" s="70">
        <f t="shared" si="4"/>
        <v>7.185253282231855E-5</v>
      </c>
      <c r="F148" s="8" t="str">
        <v xml:space="preserve">Bulgaria </v>
      </c>
      <c r="G148" s="70">
        <f t="shared" si="5"/>
        <v>1.2791123442204019E-5</v>
      </c>
    </row>
    <row r="149" spans="1:7" x14ac:dyDescent="0.2">
      <c r="A149" s="25" t="s">
        <v>162</v>
      </c>
      <c r="B149" s="26">
        <v>1335453</v>
      </c>
      <c r="C149" s="26">
        <v>31678.91</v>
      </c>
      <c r="D149" s="70">
        <f t="shared" si="4"/>
        <v>8.6447960881495174E-5</v>
      </c>
      <c r="F149" s="8" t="str">
        <v xml:space="preserve">Dinamarca </v>
      </c>
      <c r="G149" s="70">
        <f t="shared" si="5"/>
        <v>1.3552494224292135E-2</v>
      </c>
    </row>
    <row r="150" spans="1:7" x14ac:dyDescent="0.2">
      <c r="A150" s="25" t="s">
        <v>163</v>
      </c>
      <c r="B150" s="26">
        <v>60005700</v>
      </c>
      <c r="C150" s="26">
        <v>101365534.33</v>
      </c>
      <c r="D150" s="70">
        <f t="shared" si="4"/>
        <v>3.8843526550666591E-3</v>
      </c>
      <c r="F150" s="8" t="str">
        <v xml:space="preserve">España </v>
      </c>
      <c r="G150" s="70">
        <f t="shared" si="5"/>
        <v>6.2846803957076494E-2</v>
      </c>
    </row>
    <row r="151" spans="1:7" x14ac:dyDescent="0.2">
      <c r="A151" s="25" t="s">
        <v>164</v>
      </c>
      <c r="B151" s="26">
        <v>197598</v>
      </c>
      <c r="C151" s="26">
        <v>228584.74</v>
      </c>
      <c r="D151" s="70">
        <f t="shared" si="4"/>
        <v>1.2791123442204019E-5</v>
      </c>
      <c r="F151" s="8" t="str">
        <v xml:space="preserve">Finlandia </v>
      </c>
      <c r="G151" s="70">
        <f t="shared" si="5"/>
        <v>5.6819638735032259E-5</v>
      </c>
    </row>
    <row r="152" spans="1:7" x14ac:dyDescent="0.2">
      <c r="A152" s="25" t="s">
        <v>165</v>
      </c>
      <c r="B152" s="26">
        <v>209359699</v>
      </c>
      <c r="C152" s="26">
        <v>630422946.42999995</v>
      </c>
      <c r="D152" s="70">
        <f t="shared" si="4"/>
        <v>1.3552494224292135E-2</v>
      </c>
      <c r="F152" s="8" t="str">
        <v xml:space="preserve">Francia </v>
      </c>
    </row>
    <row r="153" spans="1:7" x14ac:dyDescent="0.2">
      <c r="A153" s="25" t="s">
        <v>166</v>
      </c>
      <c r="B153" s="26">
        <v>970860990</v>
      </c>
      <c r="C153" s="26">
        <v>2062180849.7</v>
      </c>
      <c r="D153" s="70">
        <f t="shared" si="4"/>
        <v>6.2846803957076494E-2</v>
      </c>
    </row>
    <row r="154" spans="1:7" x14ac:dyDescent="0.2">
      <c r="A154" s="25" t="s">
        <v>167</v>
      </c>
      <c r="B154" s="26">
        <v>877753</v>
      </c>
      <c r="C154" s="26">
        <v>174086.06</v>
      </c>
      <c r="D154" s="70">
        <f t="shared" si="4"/>
        <v>5.6819638735032259E-5</v>
      </c>
    </row>
    <row r="155" spans="1:7" x14ac:dyDescent="0.2">
      <c r="A155" s="25" t="s">
        <v>168</v>
      </c>
      <c r="B155" s="26">
        <v>191898372</v>
      </c>
      <c r="C155" s="26">
        <v>333298516.77999997</v>
      </c>
      <c r="D155" s="70">
        <f t="shared" si="4"/>
        <v>1.2422169073624163E-2</v>
      </c>
    </row>
    <row r="156" spans="1:7" x14ac:dyDescent="0.2">
      <c r="A156" s="25" t="s">
        <v>169</v>
      </c>
      <c r="B156" s="26">
        <v>63982298</v>
      </c>
      <c r="C156" s="26">
        <v>198567416.97</v>
      </c>
    </row>
    <row r="157" spans="1:7" x14ac:dyDescent="0.2">
      <c r="A157" s="25" t="s">
        <v>170</v>
      </c>
      <c r="B157" s="26">
        <v>24330</v>
      </c>
      <c r="C157" s="26">
        <v>5009.8900000000003</v>
      </c>
    </row>
    <row r="158" spans="1:7" x14ac:dyDescent="0.2">
      <c r="A158" s="25" t="s">
        <v>171</v>
      </c>
      <c r="B158" s="26">
        <v>49252312</v>
      </c>
      <c r="C158" s="26">
        <v>183619563.91</v>
      </c>
    </row>
    <row r="159" spans="1:7" x14ac:dyDescent="0.2">
      <c r="A159" s="25" t="s">
        <v>172</v>
      </c>
      <c r="B159" s="26" t="s">
        <v>30</v>
      </c>
      <c r="C159" s="26" t="s">
        <v>30</v>
      </c>
    </row>
    <row r="160" spans="1:7" x14ac:dyDescent="0.2">
      <c r="A160" s="25" t="s">
        <v>173</v>
      </c>
      <c r="B160" s="26">
        <v>764006730</v>
      </c>
      <c r="C160" s="26">
        <v>1785183927.5</v>
      </c>
    </row>
    <row r="161" spans="1:3" x14ac:dyDescent="0.2">
      <c r="A161" s="25" t="s">
        <v>174</v>
      </c>
      <c r="B161" s="26">
        <v>338180</v>
      </c>
      <c r="C161" s="26">
        <v>20236.45</v>
      </c>
    </row>
    <row r="162" spans="1:3" x14ac:dyDescent="0.2">
      <c r="A162" s="25" t="s">
        <v>175</v>
      </c>
      <c r="B162" s="26">
        <v>545078</v>
      </c>
      <c r="C162" s="26">
        <v>61738.91</v>
      </c>
    </row>
    <row r="163" spans="1:3" x14ac:dyDescent="0.2">
      <c r="A163" s="25" t="s">
        <v>176</v>
      </c>
      <c r="B163" s="26">
        <v>1150120</v>
      </c>
      <c r="C163" s="26">
        <v>4464211.3899999997</v>
      </c>
    </row>
    <row r="164" spans="1:3" x14ac:dyDescent="0.2">
      <c r="A164" s="25" t="s">
        <v>177</v>
      </c>
      <c r="B164" s="26">
        <v>1169932677</v>
      </c>
      <c r="C164" s="26">
        <v>2841089962.3299999</v>
      </c>
    </row>
    <row r="165" spans="1:3" x14ac:dyDescent="0.2">
      <c r="A165" s="25" t="s">
        <v>178</v>
      </c>
      <c r="B165" s="26">
        <v>320486288</v>
      </c>
      <c r="C165" s="26">
        <v>964505547.27999997</v>
      </c>
    </row>
    <row r="166" spans="1:3" x14ac:dyDescent="0.2">
      <c r="A166" s="25" t="s">
        <v>179</v>
      </c>
      <c r="B166" s="26">
        <v>25600569</v>
      </c>
      <c r="C166" s="26">
        <v>64783910.770000003</v>
      </c>
    </row>
    <row r="167" spans="1:3" x14ac:dyDescent="0.2">
      <c r="A167" s="25" t="s">
        <v>180</v>
      </c>
      <c r="B167" s="26">
        <v>306700133</v>
      </c>
      <c r="C167" s="26">
        <v>961158555.39999998</v>
      </c>
    </row>
    <row r="168" spans="1:3" x14ac:dyDescent="0.2">
      <c r="A168" s="25" t="s">
        <v>181</v>
      </c>
      <c r="B168" s="26">
        <v>57285104</v>
      </c>
      <c r="C168" s="26">
        <v>165456012.19999999</v>
      </c>
    </row>
    <row r="169" spans="1:3" x14ac:dyDescent="0.2">
      <c r="A169" s="25" t="s">
        <v>182</v>
      </c>
      <c r="B169" s="26">
        <v>4977918</v>
      </c>
      <c r="C169" s="26">
        <v>721082.46</v>
      </c>
    </row>
    <row r="170" spans="1:3" x14ac:dyDescent="0.2">
      <c r="A170" s="25" t="s">
        <v>183</v>
      </c>
      <c r="B170" s="26">
        <v>1925022</v>
      </c>
      <c r="C170" s="26">
        <v>379158.01</v>
      </c>
    </row>
    <row r="171" spans="1:3" x14ac:dyDescent="0.2">
      <c r="A171" s="25" t="s">
        <v>184</v>
      </c>
      <c r="B171" s="26">
        <v>12952211</v>
      </c>
      <c r="C171" s="26">
        <v>41243750.149999999</v>
      </c>
    </row>
    <row r="172" spans="1:3" x14ac:dyDescent="0.2">
      <c r="A172" s="25" t="s">
        <v>185</v>
      </c>
      <c r="B172" s="26">
        <v>72228087</v>
      </c>
      <c r="C172" s="26">
        <v>211019163.81</v>
      </c>
    </row>
    <row r="173" spans="1:3" x14ac:dyDescent="0.2">
      <c r="A173" s="25" t="s">
        <v>186</v>
      </c>
      <c r="B173" s="26">
        <v>184562426</v>
      </c>
      <c r="C173" s="26">
        <v>242526669.38999999</v>
      </c>
    </row>
    <row r="174" spans="1:3" x14ac:dyDescent="0.2">
      <c r="A174" s="25" t="s">
        <v>187</v>
      </c>
      <c r="B174" s="26">
        <v>375868</v>
      </c>
      <c r="C174" s="26">
        <v>85857.5</v>
      </c>
    </row>
    <row r="175" spans="1:3" x14ac:dyDescent="0.2">
      <c r="A175" s="25" t="s">
        <v>188</v>
      </c>
      <c r="B175" s="26">
        <v>2219723</v>
      </c>
      <c r="C175" s="26">
        <v>151007.20000000001</v>
      </c>
    </row>
    <row r="176" spans="1:3" x14ac:dyDescent="0.2">
      <c r="A176" s="25" t="s">
        <v>189</v>
      </c>
      <c r="B176" s="26">
        <v>5514227</v>
      </c>
      <c r="C176" s="26">
        <v>16777731.670000002</v>
      </c>
    </row>
    <row r="177" spans="1:3" x14ac:dyDescent="0.2">
      <c r="A177" s="25" t="s">
        <v>190</v>
      </c>
      <c r="B177" s="26">
        <v>2992417</v>
      </c>
      <c r="C177" s="26">
        <v>6904813.75</v>
      </c>
    </row>
    <row r="178" spans="1:3" x14ac:dyDescent="0.2">
      <c r="A178" s="25" t="s">
        <v>191</v>
      </c>
      <c r="B178" s="26">
        <v>86356608</v>
      </c>
      <c r="C178" s="26">
        <v>75232838.109999999</v>
      </c>
    </row>
    <row r="179" spans="1:3" x14ac:dyDescent="0.2">
      <c r="A179" s="25" t="s">
        <v>192</v>
      </c>
      <c r="B179" s="26">
        <v>4952810</v>
      </c>
      <c r="C179" s="26">
        <v>1014763.07</v>
      </c>
    </row>
    <row r="180" spans="1:3" x14ac:dyDescent="0.2">
      <c r="A180" s="25" t="s">
        <v>193</v>
      </c>
      <c r="B180" s="26">
        <v>571190</v>
      </c>
      <c r="C180" s="26">
        <v>208497.64</v>
      </c>
    </row>
    <row r="181" spans="1:3" x14ac:dyDescent="0.2">
      <c r="A181" s="25" t="s">
        <v>194</v>
      </c>
      <c r="B181" s="26">
        <v>517108</v>
      </c>
      <c r="C181" s="26">
        <v>139123.06</v>
      </c>
    </row>
    <row r="182" spans="1:3" x14ac:dyDescent="0.2">
      <c r="A182" s="25" t="s">
        <v>195</v>
      </c>
      <c r="B182" s="26">
        <v>1626</v>
      </c>
      <c r="C182" s="26">
        <v>4408.3100000000004</v>
      </c>
    </row>
    <row r="183" spans="1:3" x14ac:dyDescent="0.2">
      <c r="A183" s="25" t="s">
        <v>196</v>
      </c>
      <c r="B183" s="26">
        <v>3059273</v>
      </c>
      <c r="C183" s="26">
        <v>8902406.9000000004</v>
      </c>
    </row>
    <row r="184" spans="1:3" x14ac:dyDescent="0.2">
      <c r="A184" s="25" t="s">
        <v>197</v>
      </c>
      <c r="B184" s="26">
        <v>118514</v>
      </c>
      <c r="C184" s="26">
        <v>62276.85</v>
      </c>
    </row>
    <row r="185" spans="1:3" x14ac:dyDescent="0.2">
      <c r="A185" s="25" t="s">
        <v>198</v>
      </c>
      <c r="B185" s="26">
        <v>1592985</v>
      </c>
      <c r="C185" s="26">
        <v>476922.47</v>
      </c>
    </row>
    <row r="186" spans="1:3" x14ac:dyDescent="0.2">
      <c r="A186" s="25" t="s">
        <v>199</v>
      </c>
      <c r="B186" s="26">
        <v>7046</v>
      </c>
      <c r="C186" s="26">
        <v>17781.32</v>
      </c>
    </row>
    <row r="187" spans="1:3" x14ac:dyDescent="0.2">
      <c r="A187" s="25" t="s">
        <v>200</v>
      </c>
      <c r="B187" s="26">
        <v>107663</v>
      </c>
      <c r="C187" s="26">
        <v>24511.14</v>
      </c>
    </row>
    <row r="188" spans="1:3" x14ac:dyDescent="0.2">
      <c r="A188" s="25"/>
      <c r="B188" s="26"/>
      <c r="C188" s="26"/>
    </row>
    <row r="189" spans="1:3" x14ac:dyDescent="0.2">
      <c r="A189" s="25" t="s">
        <v>201</v>
      </c>
      <c r="B189" s="26">
        <v>152045863</v>
      </c>
      <c r="C189" s="26">
        <v>379222757.29000002</v>
      </c>
    </row>
    <row r="190" spans="1:3" x14ac:dyDescent="0.2">
      <c r="A190" s="25" t="s">
        <v>202</v>
      </c>
      <c r="B190" s="26">
        <v>120172496</v>
      </c>
      <c r="C190" s="26">
        <v>285372351.94</v>
      </c>
    </row>
    <row r="191" spans="1:3" x14ac:dyDescent="0.2">
      <c r="A191" s="25" t="s">
        <v>203</v>
      </c>
      <c r="B191" s="26">
        <v>31869530</v>
      </c>
      <c r="C191" s="26">
        <v>93841322.969999999</v>
      </c>
    </row>
    <row r="192" spans="1:3" x14ac:dyDescent="0.2">
      <c r="A192" s="25" t="s">
        <v>66</v>
      </c>
      <c r="B192" s="26" t="s">
        <v>30</v>
      </c>
      <c r="C192" s="26" t="s">
        <v>30</v>
      </c>
    </row>
    <row r="193" spans="1:3" x14ac:dyDescent="0.2">
      <c r="A193" s="25" t="s">
        <v>204</v>
      </c>
      <c r="B193" s="26">
        <v>3836</v>
      </c>
      <c r="C193" s="26">
        <v>9082.3799999999992</v>
      </c>
    </row>
    <row r="194" spans="1:3" x14ac:dyDescent="0.2">
      <c r="A194" s="25"/>
      <c r="B194" s="26"/>
      <c r="C194" s="26"/>
    </row>
    <row r="195" spans="1:3" x14ac:dyDescent="0.2">
      <c r="A195" s="25" t="s">
        <v>17</v>
      </c>
      <c r="B195" s="26" t="s">
        <v>30</v>
      </c>
      <c r="C195" s="26" t="s">
        <v>30</v>
      </c>
    </row>
    <row r="196" spans="1:3" x14ac:dyDescent="0.2">
      <c r="A196" s="27" t="s">
        <v>205</v>
      </c>
      <c r="B196" s="28" t="s">
        <v>30</v>
      </c>
      <c r="C196" s="28" t="s">
        <v>30</v>
      </c>
    </row>
    <row r="197" spans="1:3" x14ac:dyDescent="0.2">
      <c r="B197" s="29"/>
      <c r="C197" s="29"/>
    </row>
    <row r="198" spans="1:3" x14ac:dyDescent="0.2">
      <c r="A198" s="30" t="s">
        <v>16</v>
      </c>
      <c r="B198" s="29"/>
      <c r="C198" s="29"/>
    </row>
  </sheetData>
  <mergeCells count="2">
    <mergeCell ref="A1:C2"/>
    <mergeCell ref="B4:C4"/>
  </mergeCells>
  <pageMargins left="0.75" right="0.75" top="1" bottom="1" header="0" footer="0"/>
  <pageSetup paperSize="9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92"/>
  <sheetViews>
    <sheetView workbookViewId="0">
      <selection activeCell="D1" sqref="D1:G1048576"/>
    </sheetView>
  </sheetViews>
  <sheetFormatPr baseColWidth="10" defaultRowHeight="15" x14ac:dyDescent="0.2"/>
  <cols>
    <col min="1" max="1" width="54.125" style="8" customWidth="1"/>
    <col min="2" max="3" width="20" style="9" customWidth="1"/>
    <col min="4" max="16384" width="11" style="8"/>
  </cols>
  <sheetData>
    <row r="1" spans="1:7" x14ac:dyDescent="0.2">
      <c r="A1" s="66" t="s">
        <v>250</v>
      </c>
      <c r="B1" s="66"/>
      <c r="C1" s="66"/>
    </row>
    <row r="2" spans="1:7" x14ac:dyDescent="0.2">
      <c r="A2" s="66"/>
      <c r="B2" s="66"/>
      <c r="C2" s="66"/>
    </row>
    <row r="3" spans="1:7" x14ac:dyDescent="0.2">
      <c r="A3" s="1"/>
      <c r="B3" s="1"/>
      <c r="C3" s="1"/>
    </row>
    <row r="4" spans="1:7" x14ac:dyDescent="0.2">
      <c r="A4" s="2"/>
      <c r="B4" s="67" t="s">
        <v>8</v>
      </c>
      <c r="C4" s="67"/>
    </row>
    <row r="5" spans="1:7" x14ac:dyDescent="0.2">
      <c r="A5" s="3" t="s">
        <v>465</v>
      </c>
      <c r="B5" s="4" t="s">
        <v>10</v>
      </c>
      <c r="C5" s="4" t="s">
        <v>11</v>
      </c>
    </row>
    <row r="6" spans="1:7" x14ac:dyDescent="0.2">
      <c r="A6" s="5"/>
      <c r="B6" s="6" t="s">
        <v>13</v>
      </c>
      <c r="C6" s="6" t="s">
        <v>14</v>
      </c>
    </row>
    <row r="8" spans="1:7" x14ac:dyDescent="0.2">
      <c r="A8" s="10" t="s">
        <v>0</v>
      </c>
      <c r="B8" s="11">
        <v>12287188927.129999</v>
      </c>
      <c r="C8" s="11">
        <v>24687893057.34</v>
      </c>
    </row>
    <row r="9" spans="1:7" x14ac:dyDescent="0.2">
      <c r="A9" s="12" t="s">
        <v>1</v>
      </c>
      <c r="B9" s="13" t="s">
        <v>466</v>
      </c>
      <c r="C9" s="13" t="s">
        <v>466</v>
      </c>
    </row>
    <row r="10" spans="1:7" x14ac:dyDescent="0.2">
      <c r="A10" s="12" t="s">
        <v>2</v>
      </c>
      <c r="B10" s="13">
        <v>1011502519.03</v>
      </c>
      <c r="C10" s="13">
        <v>2211255637.5799999</v>
      </c>
      <c r="D10" s="70">
        <f>+B10/$B$8</f>
        <v>8.2321719396420426E-2</v>
      </c>
      <c r="F10" s="8" t="str" cm="1">
        <f t="array" ref="F10:F152">+_xlfn.UNIQUE(A10:A155)</f>
        <v xml:space="preserve">   AFRICA</v>
      </c>
      <c r="G10" s="70">
        <f>+SUMIF(A10:A155,F10,D10:D155)</f>
        <v>8.2321719396420426E-2</v>
      </c>
    </row>
    <row r="11" spans="1:7" x14ac:dyDescent="0.2">
      <c r="A11" s="12" t="s">
        <v>288</v>
      </c>
      <c r="B11" s="13">
        <v>157250</v>
      </c>
      <c r="C11" s="13">
        <v>75000</v>
      </c>
      <c r="D11" s="70">
        <f t="shared" ref="D11:D74" si="0">+B11/$B$8</f>
        <v>1.2797882488222629E-5</v>
      </c>
      <c r="F11" s="8" t="str">
        <v>Burkina Faso</v>
      </c>
      <c r="G11" s="70">
        <f t="shared" ref="G11:G74" si="1">+SUMIF(A11:A156,F11,D11:D156)</f>
        <v>1.2797882488222629E-5</v>
      </c>
    </row>
    <row r="12" spans="1:7" x14ac:dyDescent="0.2">
      <c r="A12" s="12" t="s">
        <v>265</v>
      </c>
      <c r="B12" s="13">
        <v>274908283.13</v>
      </c>
      <c r="C12" s="13">
        <v>681519334.22000003</v>
      </c>
      <c r="D12" s="70">
        <f t="shared" si="0"/>
        <v>2.2373570127419872E-2</v>
      </c>
      <c r="F12" s="8" t="str">
        <v>Argelia</v>
      </c>
      <c r="G12" s="70">
        <f t="shared" si="1"/>
        <v>2.2373570127419872E-2</v>
      </c>
    </row>
    <row r="13" spans="1:7" x14ac:dyDescent="0.2">
      <c r="A13" s="12" t="s">
        <v>284</v>
      </c>
      <c r="B13" s="13">
        <v>26373.68</v>
      </c>
      <c r="C13" s="13">
        <v>25346</v>
      </c>
      <c r="D13" s="70">
        <f t="shared" si="0"/>
        <v>2.146437249106438E-6</v>
      </c>
      <c r="F13" s="8" t="str">
        <v>Botswana</v>
      </c>
      <c r="G13" s="70">
        <f t="shared" si="1"/>
        <v>2.146437249106438E-6</v>
      </c>
    </row>
    <row r="14" spans="1:7" x14ac:dyDescent="0.2">
      <c r="A14" s="12" t="s">
        <v>292</v>
      </c>
      <c r="B14" s="13">
        <v>3243786.91</v>
      </c>
      <c r="C14" s="13">
        <v>5117278.3</v>
      </c>
      <c r="D14" s="70">
        <f t="shared" si="0"/>
        <v>2.6399747975208135E-4</v>
      </c>
      <c r="F14" s="8" t="str">
        <v>Camerún</v>
      </c>
      <c r="G14" s="70">
        <f t="shared" si="1"/>
        <v>2.6399747975208135E-4</v>
      </c>
    </row>
    <row r="15" spans="1:7" x14ac:dyDescent="0.2">
      <c r="A15" s="12" t="s">
        <v>470</v>
      </c>
      <c r="B15" s="13">
        <v>52500</v>
      </c>
      <c r="C15" s="13">
        <v>25000</v>
      </c>
      <c r="D15" s="70">
        <f t="shared" si="0"/>
        <v>4.2727429610918159E-6</v>
      </c>
      <c r="F15" s="8" t="str">
        <v>República Centroafricana</v>
      </c>
      <c r="G15" s="70">
        <f t="shared" si="1"/>
        <v>4.2727429610918159E-6</v>
      </c>
    </row>
    <row r="16" spans="1:7" x14ac:dyDescent="0.2">
      <c r="A16" s="12" t="s">
        <v>301</v>
      </c>
      <c r="B16" s="13">
        <v>1848825.52</v>
      </c>
      <c r="C16" s="13">
        <v>2249552.14</v>
      </c>
      <c r="D16" s="70">
        <f t="shared" si="0"/>
        <v>1.5046773765460791E-4</v>
      </c>
      <c r="F16" s="8" t="str">
        <v>Congo</v>
      </c>
      <c r="G16" s="70">
        <f t="shared" si="1"/>
        <v>1.5046773765460791E-4</v>
      </c>
    </row>
    <row r="17" spans="1:7" x14ac:dyDescent="0.2">
      <c r="A17" s="12" t="s">
        <v>300</v>
      </c>
      <c r="B17" s="13">
        <v>5640476.21</v>
      </c>
      <c r="C17" s="13">
        <v>5731571.7400000002</v>
      </c>
      <c r="D17" s="70">
        <f t="shared" si="0"/>
        <v>4.5905342901873027E-4</v>
      </c>
      <c r="F17" s="8" t="str">
        <v>Rep. Democrática del Congo (ex Zaire)</v>
      </c>
      <c r="G17" s="70">
        <f t="shared" si="1"/>
        <v>4.5905342901873027E-4</v>
      </c>
    </row>
    <row r="18" spans="1:7" x14ac:dyDescent="0.2">
      <c r="A18" s="12" t="s">
        <v>303</v>
      </c>
      <c r="B18" s="13">
        <v>5232716.49</v>
      </c>
      <c r="C18" s="13">
        <v>5959121.5</v>
      </c>
      <c r="D18" s="70">
        <f t="shared" si="0"/>
        <v>4.2586766761974423E-4</v>
      </c>
      <c r="F18" s="8" t="str">
        <v>Costa de Marfil</v>
      </c>
      <c r="G18" s="70">
        <f t="shared" si="1"/>
        <v>4.2586766761974423E-4</v>
      </c>
    </row>
    <row r="19" spans="1:7" x14ac:dyDescent="0.2">
      <c r="A19" s="12" t="s">
        <v>295</v>
      </c>
      <c r="B19" s="13">
        <v>756000</v>
      </c>
      <c r="C19" s="13">
        <v>300000</v>
      </c>
      <c r="D19" s="70">
        <f t="shared" si="0"/>
        <v>6.1527498639722146E-5</v>
      </c>
      <c r="F19" s="8" t="str">
        <v>Chad</v>
      </c>
      <c r="G19" s="70">
        <f t="shared" si="1"/>
        <v>6.1527498639722146E-5</v>
      </c>
    </row>
    <row r="20" spans="1:7" x14ac:dyDescent="0.2">
      <c r="A20" s="12" t="s">
        <v>281</v>
      </c>
      <c r="B20" s="13">
        <v>84929.51</v>
      </c>
      <c r="C20" s="13">
        <v>162897.23000000001</v>
      </c>
      <c r="D20" s="70">
        <f t="shared" si="0"/>
        <v>6.9120374484090843E-6</v>
      </c>
      <c r="F20" s="8" t="str">
        <v>Benin</v>
      </c>
      <c r="G20" s="70">
        <f t="shared" si="1"/>
        <v>6.9120374484090843E-6</v>
      </c>
    </row>
    <row r="21" spans="1:7" x14ac:dyDescent="0.2">
      <c r="A21" s="12" t="s">
        <v>313</v>
      </c>
      <c r="B21" s="13">
        <v>235539718.84</v>
      </c>
      <c r="C21" s="13">
        <v>462574462.37</v>
      </c>
      <c r="D21" s="70">
        <f t="shared" si="0"/>
        <v>1.9169536680593433E-2</v>
      </c>
      <c r="F21" s="8" t="str">
        <v>Egipto</v>
      </c>
      <c r="G21" s="70">
        <f t="shared" si="1"/>
        <v>1.9169536680593433E-2</v>
      </c>
    </row>
    <row r="22" spans="1:7" x14ac:dyDescent="0.2">
      <c r="A22" s="12" t="s">
        <v>321</v>
      </c>
      <c r="B22" s="13">
        <v>1523259.46</v>
      </c>
      <c r="C22" s="13">
        <v>820188.95</v>
      </c>
      <c r="D22" s="70">
        <f t="shared" si="0"/>
        <v>1.239713549644099E-4</v>
      </c>
      <c r="F22" s="8" t="str">
        <v>Gabón</v>
      </c>
      <c r="G22" s="70">
        <f t="shared" si="1"/>
        <v>1.239713549644099E-4</v>
      </c>
    </row>
    <row r="23" spans="1:7" x14ac:dyDescent="0.2">
      <c r="A23" s="12" t="s">
        <v>322</v>
      </c>
      <c r="B23" s="13">
        <v>550978.06999999995</v>
      </c>
      <c r="C23" s="13">
        <v>1199811.55</v>
      </c>
      <c r="D23" s="70">
        <f t="shared" si="0"/>
        <v>4.484166991063721E-5</v>
      </c>
      <c r="F23" s="8" t="str">
        <v>Gambia</v>
      </c>
      <c r="G23" s="70">
        <f t="shared" si="1"/>
        <v>4.484166991063721E-5</v>
      </c>
    </row>
    <row r="24" spans="1:7" x14ac:dyDescent="0.2">
      <c r="A24" s="12" t="s">
        <v>325</v>
      </c>
      <c r="B24" s="13">
        <v>4410857.7300000004</v>
      </c>
      <c r="C24" s="13">
        <v>8064803.1200000001</v>
      </c>
      <c r="D24" s="70">
        <f t="shared" si="0"/>
        <v>3.5898021558542718E-4</v>
      </c>
      <c r="F24" s="8" t="str">
        <v>Ghana</v>
      </c>
      <c r="G24" s="70">
        <f t="shared" si="1"/>
        <v>3.5898021558542718E-4</v>
      </c>
    </row>
    <row r="25" spans="1:7" x14ac:dyDescent="0.2">
      <c r="A25" s="12" t="s">
        <v>329</v>
      </c>
      <c r="B25" s="13">
        <v>223997.95</v>
      </c>
      <c r="C25" s="13">
        <v>109371.25</v>
      </c>
      <c r="D25" s="70">
        <f t="shared" si="0"/>
        <v>1.8230203126885646E-5</v>
      </c>
      <c r="F25" s="8" t="str">
        <v>Guinea</v>
      </c>
      <c r="G25" s="70">
        <f t="shared" si="1"/>
        <v>1.8230203126885646E-5</v>
      </c>
    </row>
    <row r="26" spans="1:7" x14ac:dyDescent="0.2">
      <c r="A26" s="12" t="s">
        <v>330</v>
      </c>
      <c r="B26" s="13">
        <v>66497.350000000006</v>
      </c>
      <c r="C26" s="13">
        <v>32877.279999999999</v>
      </c>
      <c r="D26" s="70">
        <f t="shared" si="0"/>
        <v>5.4119254122620738E-6</v>
      </c>
      <c r="F26" s="8" t="str">
        <v>Guinea Ecuatorial</v>
      </c>
      <c r="G26" s="70">
        <f t="shared" si="1"/>
        <v>5.4119254122620738E-6</v>
      </c>
    </row>
    <row r="27" spans="1:7" x14ac:dyDescent="0.2">
      <c r="A27" s="12" t="s">
        <v>349</v>
      </c>
      <c r="B27" s="13">
        <v>1038586.27</v>
      </c>
      <c r="C27" s="13">
        <v>4333895.6399999997</v>
      </c>
      <c r="D27" s="70">
        <f t="shared" si="0"/>
        <v>8.4525946183411496E-5</v>
      </c>
      <c r="F27" s="8" t="str">
        <v>Kenya</v>
      </c>
      <c r="G27" s="70">
        <f t="shared" si="1"/>
        <v>8.4525946183411496E-5</v>
      </c>
    </row>
    <row r="28" spans="1:7" x14ac:dyDescent="0.2">
      <c r="A28" s="12" t="s">
        <v>355</v>
      </c>
      <c r="B28" s="13">
        <v>539256.18000000005</v>
      </c>
      <c r="C28" s="13">
        <v>257626.23</v>
      </c>
      <c r="D28" s="70">
        <f t="shared" si="0"/>
        <v>4.3887677091814503E-5</v>
      </c>
      <c r="F28" s="8" t="str">
        <v>Liberia</v>
      </c>
      <c r="G28" s="70">
        <f t="shared" si="1"/>
        <v>4.3887677091814503E-5</v>
      </c>
    </row>
    <row r="29" spans="1:7" x14ac:dyDescent="0.2">
      <c r="A29" s="12" t="s">
        <v>356</v>
      </c>
      <c r="B29" s="13">
        <v>47350301.310000002</v>
      </c>
      <c r="C29" s="13">
        <v>114580099.26000001</v>
      </c>
      <c r="D29" s="70">
        <f t="shared" si="0"/>
        <v>3.8536317452929347E-3</v>
      </c>
      <c r="F29" s="8" t="str">
        <v>Libia</v>
      </c>
      <c r="G29" s="70">
        <f t="shared" si="1"/>
        <v>3.8536317452929347E-3</v>
      </c>
    </row>
    <row r="30" spans="1:7" x14ac:dyDescent="0.2">
      <c r="A30" s="12" t="s">
        <v>360</v>
      </c>
      <c r="B30" s="13">
        <v>331932.06</v>
      </c>
      <c r="C30" s="13">
        <v>1476396</v>
      </c>
      <c r="D30" s="70">
        <f t="shared" si="0"/>
        <v>2.7014483293822974E-5</v>
      </c>
      <c r="F30" s="8" t="str">
        <v>Madagascar</v>
      </c>
      <c r="G30" s="70">
        <f t="shared" si="1"/>
        <v>2.7014483293822974E-5</v>
      </c>
    </row>
    <row r="31" spans="1:7" x14ac:dyDescent="0.2">
      <c r="A31" s="12" t="s">
        <v>361</v>
      </c>
      <c r="B31" s="13">
        <v>650230.72</v>
      </c>
      <c r="C31" s="13">
        <v>970990</v>
      </c>
      <c r="D31" s="70">
        <f t="shared" si="0"/>
        <v>5.2919404418393582E-5</v>
      </c>
      <c r="F31" s="8" t="str">
        <v>Malawi</v>
      </c>
      <c r="G31" s="70">
        <f t="shared" si="1"/>
        <v>5.2919404418393582E-5</v>
      </c>
    </row>
    <row r="32" spans="1:7" x14ac:dyDescent="0.2">
      <c r="A32" s="12" t="s">
        <v>364</v>
      </c>
      <c r="B32" s="13">
        <v>787628.16</v>
      </c>
      <c r="C32" s="13">
        <v>838720.75</v>
      </c>
      <c r="D32" s="70">
        <f t="shared" si="0"/>
        <v>6.4101574792337115E-5</v>
      </c>
      <c r="F32" s="8" t="str">
        <v>Mali</v>
      </c>
      <c r="G32" s="70">
        <f t="shared" si="1"/>
        <v>6.4101574792337115E-5</v>
      </c>
    </row>
    <row r="33" spans="1:7" x14ac:dyDescent="0.2">
      <c r="A33" s="12" t="s">
        <v>372</v>
      </c>
      <c r="B33" s="13">
        <v>31305541.940000001</v>
      </c>
      <c r="C33" s="13">
        <v>79900788.810000002</v>
      </c>
      <c r="D33" s="70">
        <f t="shared" si="0"/>
        <v>2.547819694615231E-3</v>
      </c>
      <c r="F33" s="8" t="str">
        <v>Marruecos</v>
      </c>
      <c r="G33" s="70">
        <f t="shared" si="1"/>
        <v>2.547819694615231E-3</v>
      </c>
    </row>
    <row r="34" spans="1:7" x14ac:dyDescent="0.2">
      <c r="A34" s="12" t="s">
        <v>367</v>
      </c>
      <c r="B34" s="13">
        <v>11876758.949999999</v>
      </c>
      <c r="C34" s="13">
        <v>23731973.57</v>
      </c>
      <c r="D34" s="70">
        <f t="shared" si="0"/>
        <v>9.6659691817517555E-4</v>
      </c>
      <c r="F34" s="8" t="str">
        <v>Mauricio</v>
      </c>
      <c r="G34" s="70">
        <f t="shared" si="1"/>
        <v>9.6659691817517555E-4</v>
      </c>
    </row>
    <row r="35" spans="1:7" x14ac:dyDescent="0.2">
      <c r="A35" s="12" t="s">
        <v>366</v>
      </c>
      <c r="B35" s="13">
        <v>193375</v>
      </c>
      <c r="C35" s="13">
        <v>100000</v>
      </c>
      <c r="D35" s="70">
        <f t="shared" si="0"/>
        <v>1.5737936573354853E-5</v>
      </c>
      <c r="F35" s="8" t="str">
        <v>Mauritania</v>
      </c>
      <c r="G35" s="70">
        <f t="shared" si="1"/>
        <v>1.5737936573354853E-5</v>
      </c>
    </row>
    <row r="36" spans="1:7" x14ac:dyDescent="0.2">
      <c r="A36" s="12" t="s">
        <v>381</v>
      </c>
      <c r="B36" s="13">
        <v>6487754.8899999997</v>
      </c>
      <c r="C36" s="13">
        <v>2722706.8</v>
      </c>
      <c r="D36" s="70">
        <f t="shared" si="0"/>
        <v>5.2800969599117156E-4</v>
      </c>
      <c r="F36" s="8" t="str">
        <v>Níger</v>
      </c>
      <c r="G36" s="70">
        <f t="shared" si="1"/>
        <v>5.2800969599117156E-4</v>
      </c>
    </row>
    <row r="37" spans="1:7" x14ac:dyDescent="0.2">
      <c r="A37" s="12" t="s">
        <v>382</v>
      </c>
      <c r="B37" s="13">
        <v>13801916.470000001</v>
      </c>
      <c r="C37" s="13">
        <v>26298747.41</v>
      </c>
      <c r="D37" s="70">
        <f t="shared" si="0"/>
        <v>1.1232769799384705E-3</v>
      </c>
      <c r="F37" s="8" t="str">
        <v>Nigeria</v>
      </c>
      <c r="G37" s="70">
        <f t="shared" si="1"/>
        <v>1.1232769799384705E-3</v>
      </c>
    </row>
    <row r="38" spans="1:7" x14ac:dyDescent="0.2">
      <c r="A38" s="12" t="s">
        <v>439</v>
      </c>
      <c r="B38" s="13">
        <v>177673.75</v>
      </c>
      <c r="C38" s="13">
        <v>12026.74</v>
      </c>
      <c r="D38" s="70">
        <f t="shared" si="0"/>
        <v>1.4460081232062608E-5</v>
      </c>
      <c r="F38" s="8" t="str">
        <v>Zimbabwe</v>
      </c>
      <c r="G38" s="70">
        <f t="shared" si="1"/>
        <v>1.4460081232062608E-5</v>
      </c>
    </row>
    <row r="39" spans="1:7" x14ac:dyDescent="0.2">
      <c r="A39" s="12" t="s">
        <v>398</v>
      </c>
      <c r="B39" s="13">
        <v>390</v>
      </c>
      <c r="C39" s="13">
        <v>135</v>
      </c>
      <c r="D39" s="70">
        <f t="shared" si="0"/>
        <v>3.1740376282396343E-8</v>
      </c>
      <c r="F39" s="8" t="str">
        <v>Rwanda</v>
      </c>
      <c r="G39" s="70">
        <f t="shared" si="1"/>
        <v>3.1740376282396343E-8</v>
      </c>
    </row>
    <row r="40" spans="1:7" x14ac:dyDescent="0.2">
      <c r="A40" s="12" t="s">
        <v>401</v>
      </c>
      <c r="B40" s="13">
        <v>39890510.039999999</v>
      </c>
      <c r="C40" s="13">
        <v>48342601.390000001</v>
      </c>
      <c r="D40" s="70">
        <f t="shared" si="0"/>
        <v>3.2465123045289979E-3</v>
      </c>
      <c r="F40" s="8" t="str">
        <v>Senegal</v>
      </c>
      <c r="G40" s="70">
        <f t="shared" si="1"/>
        <v>3.2465123045289979E-3</v>
      </c>
    </row>
    <row r="41" spans="1:7" x14ac:dyDescent="0.2">
      <c r="A41" s="12" t="s">
        <v>404</v>
      </c>
      <c r="B41" s="13">
        <v>285800.44</v>
      </c>
      <c r="C41" s="13">
        <v>134535.9</v>
      </c>
      <c r="D41" s="70">
        <f t="shared" si="0"/>
        <v>2.3260034634037023E-5</v>
      </c>
      <c r="F41" s="8" t="str">
        <v>Sierra Leona</v>
      </c>
      <c r="G41" s="70">
        <f t="shared" si="1"/>
        <v>2.3260034634037023E-5</v>
      </c>
    </row>
    <row r="42" spans="1:7" x14ac:dyDescent="0.2">
      <c r="A42" s="12" t="s">
        <v>416</v>
      </c>
      <c r="B42" s="13">
        <v>841242.3</v>
      </c>
      <c r="C42" s="13">
        <v>374998</v>
      </c>
      <c r="D42" s="70">
        <f t="shared" si="0"/>
        <v>6.8464992683765511E-5</v>
      </c>
      <c r="F42" s="8" t="str">
        <v>Sudán</v>
      </c>
      <c r="G42" s="70">
        <f t="shared" si="1"/>
        <v>6.8464992683765511E-5</v>
      </c>
    </row>
    <row r="43" spans="1:7" x14ac:dyDescent="0.2">
      <c r="A43" s="12" t="s">
        <v>422</v>
      </c>
      <c r="B43" s="13">
        <v>4851401.9800000004</v>
      </c>
      <c r="C43" s="13">
        <v>10304414.65</v>
      </c>
      <c r="D43" s="70">
        <f t="shared" si="0"/>
        <v>3.9483416498041713E-4</v>
      </c>
      <c r="F43" s="8" t="str">
        <v>Tanzania</v>
      </c>
      <c r="G43" s="70">
        <f t="shared" si="1"/>
        <v>3.9483416498041713E-4</v>
      </c>
    </row>
    <row r="44" spans="1:7" x14ac:dyDescent="0.2">
      <c r="A44" s="12" t="s">
        <v>424</v>
      </c>
      <c r="B44" s="13">
        <v>1519139.18</v>
      </c>
      <c r="C44" s="13">
        <v>622254.71</v>
      </c>
      <c r="D44" s="70">
        <f t="shared" si="0"/>
        <v>1.23636023585977E-4</v>
      </c>
      <c r="F44" s="8" t="str">
        <v>Togo</v>
      </c>
      <c r="G44" s="70">
        <f t="shared" si="1"/>
        <v>1.23636023585977E-4</v>
      </c>
    </row>
    <row r="45" spans="1:7" x14ac:dyDescent="0.2">
      <c r="A45" s="12" t="s">
        <v>426</v>
      </c>
      <c r="B45" s="13">
        <v>62272481.119999997</v>
      </c>
      <c r="C45" s="13">
        <v>151910579.33000001</v>
      </c>
      <c r="D45" s="70">
        <f t="shared" si="0"/>
        <v>5.0680820071467231E-3</v>
      </c>
      <c r="F45" s="8" t="str">
        <v>Túnez</v>
      </c>
      <c r="G45" s="70">
        <f t="shared" si="1"/>
        <v>5.0680820071467231E-3</v>
      </c>
    </row>
    <row r="46" spans="1:7" x14ac:dyDescent="0.2">
      <c r="A46" s="12" t="s">
        <v>428</v>
      </c>
      <c r="B46" s="13">
        <v>170082.36</v>
      </c>
      <c r="C46" s="13">
        <v>965895.37</v>
      </c>
      <c r="D46" s="70">
        <f t="shared" si="0"/>
        <v>1.3842251552302553E-5</v>
      </c>
      <c r="F46" s="8" t="str">
        <v>Uganda</v>
      </c>
      <c r="G46" s="70">
        <f t="shared" si="1"/>
        <v>1.3842251552302553E-5</v>
      </c>
    </row>
    <row r="47" spans="1:7" x14ac:dyDescent="0.2">
      <c r="A47" s="12" t="s">
        <v>438</v>
      </c>
      <c r="B47" s="13">
        <v>118500</v>
      </c>
      <c r="C47" s="13">
        <v>50000</v>
      </c>
      <c r="D47" s="70">
        <f t="shared" si="0"/>
        <v>9.6441912550358118E-6</v>
      </c>
      <c r="F47" s="8" t="str">
        <v>Zambia</v>
      </c>
      <c r="G47" s="70">
        <f t="shared" si="1"/>
        <v>9.6441912550358118E-6</v>
      </c>
    </row>
    <row r="48" spans="1:7" x14ac:dyDescent="0.2">
      <c r="A48" s="12" t="s">
        <v>65</v>
      </c>
      <c r="B48" s="13">
        <v>1581.23</v>
      </c>
      <c r="C48" s="13">
        <v>3006.15</v>
      </c>
      <c r="D48" s="70">
        <f t="shared" si="0"/>
        <v>1.286893209974707E-7</v>
      </c>
      <c r="F48" s="8" t="str">
        <v>Territorios vinculados a España</v>
      </c>
      <c r="G48" s="70"/>
    </row>
    <row r="49" spans="1:7" x14ac:dyDescent="0.2">
      <c r="A49" s="12" t="s">
        <v>66</v>
      </c>
      <c r="B49" s="13">
        <v>9257766.4499999993</v>
      </c>
      <c r="C49" s="13">
        <v>24468650.949999999</v>
      </c>
      <c r="D49" s="70">
        <f t="shared" si="0"/>
        <v>7.5344869399370407E-4</v>
      </c>
      <c r="F49" s="8" t="str">
        <v>Territorios vinculados a Francia</v>
      </c>
      <c r="G49" s="70">
        <f t="shared" si="1"/>
        <v>7.6053928245268284E-4</v>
      </c>
    </row>
    <row r="50" spans="1:7" x14ac:dyDescent="0.2">
      <c r="A50" s="12" t="s">
        <v>267</v>
      </c>
      <c r="B50" s="13">
        <v>14939470.140000001</v>
      </c>
      <c r="C50" s="13">
        <v>15271407.619999999</v>
      </c>
      <c r="D50" s="70">
        <f t="shared" si="0"/>
        <v>1.215857445392883E-3</v>
      </c>
      <c r="F50" s="8" t="str">
        <v>Angola</v>
      </c>
      <c r="G50" s="70">
        <f t="shared" si="1"/>
        <v>1.215857445392883E-3</v>
      </c>
    </row>
    <row r="51" spans="1:7" x14ac:dyDescent="0.2">
      <c r="A51" s="12" t="s">
        <v>290</v>
      </c>
      <c r="B51" s="13">
        <v>128217.66</v>
      </c>
      <c r="C51" s="13">
        <v>577787.65</v>
      </c>
      <c r="D51" s="70">
        <f t="shared" si="0"/>
        <v>1.0435068652431688E-5</v>
      </c>
      <c r="F51" s="8" t="str">
        <v>Cabo Verde</v>
      </c>
      <c r="G51" s="70">
        <f t="shared" si="1"/>
        <v>1.0435068652431688E-5</v>
      </c>
    </row>
    <row r="52" spans="1:7" x14ac:dyDescent="0.2">
      <c r="A52" s="12" t="s">
        <v>373</v>
      </c>
      <c r="B52" s="13">
        <v>4055332.91</v>
      </c>
      <c r="C52" s="13">
        <v>7225450.0599999996</v>
      </c>
      <c r="D52" s="70">
        <f t="shared" si="0"/>
        <v>3.3004562183021883E-4</v>
      </c>
      <c r="F52" s="8" t="str">
        <v>Mozambique</v>
      </c>
      <c r="G52" s="70">
        <f t="shared" si="1"/>
        <v>3.3004562183021883E-4</v>
      </c>
    </row>
    <row r="53" spans="1:7" x14ac:dyDescent="0.2">
      <c r="A53" s="12" t="s">
        <v>309</v>
      </c>
      <c r="B53" s="13">
        <v>17669.09</v>
      </c>
      <c r="C53" s="13">
        <v>34300</v>
      </c>
      <c r="D53" s="70">
        <f t="shared" si="0"/>
        <v>1.438009141455196E-6</v>
      </c>
      <c r="F53" s="8" t="str">
        <v>Djibouti</v>
      </c>
      <c r="G53" s="70">
        <f t="shared" si="1"/>
        <v>1.438009141455196E-6</v>
      </c>
    </row>
    <row r="54" spans="1:7" x14ac:dyDescent="0.2">
      <c r="A54" s="12" t="s">
        <v>299</v>
      </c>
      <c r="B54" s="13">
        <v>24032.2</v>
      </c>
      <c r="C54" s="13">
        <v>38639.199999999997</v>
      </c>
      <c r="D54" s="70">
        <f t="shared" si="0"/>
        <v>1.9558745407533475E-6</v>
      </c>
      <c r="F54" s="8" t="str">
        <v>Comoras</v>
      </c>
      <c r="G54" s="70">
        <f t="shared" si="1"/>
        <v>1.9558745407533475E-6</v>
      </c>
    </row>
    <row r="55" spans="1:7" x14ac:dyDescent="0.2">
      <c r="A55" s="12" t="s">
        <v>331</v>
      </c>
      <c r="B55" s="13">
        <v>253353.07</v>
      </c>
      <c r="C55" s="13">
        <v>861113.51</v>
      </c>
      <c r="D55" s="70">
        <f t="shared" si="0"/>
        <v>2.0619286600257182E-5</v>
      </c>
      <c r="F55" s="8" t="str">
        <v>Guinea Bissau</v>
      </c>
      <c r="G55" s="70">
        <f t="shared" si="1"/>
        <v>2.0619286600257182E-5</v>
      </c>
    </row>
    <row r="56" spans="1:7" x14ac:dyDescent="0.2">
      <c r="A56" s="12" t="s">
        <v>471</v>
      </c>
      <c r="B56" s="13">
        <v>42690.400000000001</v>
      </c>
      <c r="C56" s="13">
        <v>14625</v>
      </c>
      <c r="D56" s="70">
        <f t="shared" si="0"/>
        <v>3.4743829734513154E-6</v>
      </c>
      <c r="F56" s="8" t="str">
        <v>Santo Tomé y Príncipe</v>
      </c>
      <c r="G56" s="70">
        <f t="shared" si="1"/>
        <v>3.4743829734513154E-6</v>
      </c>
    </row>
    <row r="57" spans="1:7" x14ac:dyDescent="0.2">
      <c r="A57" s="12" t="s">
        <v>375</v>
      </c>
      <c r="B57" s="13">
        <v>63634.44</v>
      </c>
      <c r="C57" s="13">
        <v>39845.919999999998</v>
      </c>
      <c r="D57" s="70">
        <f t="shared" si="0"/>
        <v>5.1789258208194186E-6</v>
      </c>
      <c r="F57" s="8" t="str">
        <v>Namibia</v>
      </c>
      <c r="G57" s="70">
        <f t="shared" si="1"/>
        <v>5.1789258208194186E-6</v>
      </c>
    </row>
    <row r="58" spans="1:7" x14ac:dyDescent="0.2">
      <c r="A58" s="12" t="s">
        <v>409</v>
      </c>
      <c r="B58" s="13">
        <v>223939842.24000001</v>
      </c>
      <c r="C58" s="13">
        <v>520783775.25999999</v>
      </c>
      <c r="D58" s="70">
        <f t="shared" si="0"/>
        <v>1.822547399312327E-2</v>
      </c>
      <c r="F58" s="8" t="str">
        <v>Sudáfrica</v>
      </c>
      <c r="G58" s="70">
        <f t="shared" si="1"/>
        <v>1.822547399312327E-2</v>
      </c>
    </row>
    <row r="59" spans="1:7" x14ac:dyDescent="0.2">
      <c r="A59" s="12" t="s">
        <v>317</v>
      </c>
      <c r="B59" s="13">
        <v>21975.23</v>
      </c>
      <c r="C59" s="13">
        <v>41035.050000000003</v>
      </c>
      <c r="D59" s="70">
        <f t="shared" si="0"/>
        <v>1.7884668438261657E-6</v>
      </c>
      <c r="F59" s="8" t="str">
        <v>Etiopía</v>
      </c>
      <c r="G59" s="70">
        <f t="shared" si="1"/>
        <v>1.7884668438261657E-6</v>
      </c>
    </row>
    <row r="60" spans="1:7" x14ac:dyDescent="0.2">
      <c r="A60" s="12" t="s">
        <v>1</v>
      </c>
      <c r="B60" s="13" t="s">
        <v>466</v>
      </c>
      <c r="C60" s="13" t="s">
        <v>466</v>
      </c>
      <c r="D60" s="70" t="e">
        <f t="shared" si="0"/>
        <v>#VALUE!</v>
      </c>
      <c r="F60" s="8" t="str">
        <v xml:space="preserve">   </v>
      </c>
      <c r="G60" s="70" t="e">
        <f t="shared" si="1"/>
        <v>#VALUE!</v>
      </c>
    </row>
    <row r="61" spans="1:7" x14ac:dyDescent="0.2">
      <c r="A61" s="12" t="s">
        <v>3</v>
      </c>
      <c r="B61" s="13">
        <v>2671567089.75</v>
      </c>
      <c r="C61" s="13">
        <v>3371764241.6799998</v>
      </c>
      <c r="D61" s="70">
        <f t="shared" si="0"/>
        <v>0.21742703767264493</v>
      </c>
      <c r="F61" s="8" t="str">
        <v xml:space="preserve">   AMERICA</v>
      </c>
      <c r="G61" s="70">
        <f t="shared" si="1"/>
        <v>0.21742703767264493</v>
      </c>
    </row>
    <row r="62" spans="1:7" x14ac:dyDescent="0.2">
      <c r="A62" s="12" t="s">
        <v>277</v>
      </c>
      <c r="B62" s="13">
        <v>682830.49</v>
      </c>
      <c r="C62" s="13">
        <v>215873.76</v>
      </c>
      <c r="D62" s="70">
        <f t="shared" si="0"/>
        <v>5.5572555614597627E-5</v>
      </c>
      <c r="F62" s="8" t="str">
        <v>Barbados</v>
      </c>
      <c r="G62" s="70">
        <f t="shared" si="1"/>
        <v>5.5572555614597627E-5</v>
      </c>
    </row>
    <row r="63" spans="1:7" x14ac:dyDescent="0.2">
      <c r="A63" s="12" t="s">
        <v>282</v>
      </c>
      <c r="B63" s="13">
        <v>75862631.760000005</v>
      </c>
      <c r="C63" s="13">
        <v>87742821.290000007</v>
      </c>
      <c r="D63" s="70">
        <f t="shared" si="0"/>
        <v>6.1741243021417227E-3</v>
      </c>
      <c r="F63" s="8" t="str">
        <v>Bolivia</v>
      </c>
      <c r="G63" s="70">
        <f t="shared" si="1"/>
        <v>6.1741243021417227E-3</v>
      </c>
    </row>
    <row r="64" spans="1:7" x14ac:dyDescent="0.2">
      <c r="A64" s="12" t="s">
        <v>285</v>
      </c>
      <c r="B64" s="13">
        <v>955503290.26999998</v>
      </c>
      <c r="C64" s="13">
        <v>761142236.95000005</v>
      </c>
      <c r="D64" s="70">
        <f t="shared" si="0"/>
        <v>7.7764189672404047E-2</v>
      </c>
      <c r="F64" s="8" t="str">
        <v>Brasil</v>
      </c>
      <c r="G64" s="70">
        <f t="shared" si="1"/>
        <v>7.7764189672404047E-2</v>
      </c>
    </row>
    <row r="65" spans="1:7" x14ac:dyDescent="0.2">
      <c r="A65" s="12" t="s">
        <v>293</v>
      </c>
      <c r="B65" s="13">
        <v>7647827.7800000003</v>
      </c>
      <c r="C65" s="13">
        <v>1927982.72</v>
      </c>
      <c r="D65" s="70">
        <f t="shared" si="0"/>
        <v>6.2242290123118947E-4</v>
      </c>
      <c r="F65" s="8" t="str">
        <v>Canadá</v>
      </c>
      <c r="G65" s="70">
        <f t="shared" si="1"/>
        <v>6.2242290123118947E-4</v>
      </c>
    </row>
    <row r="66" spans="1:7" x14ac:dyDescent="0.2">
      <c r="A66" s="12" t="s">
        <v>298</v>
      </c>
      <c r="B66" s="13">
        <v>220694798.18000001</v>
      </c>
      <c r="C66" s="13">
        <v>599579967.03999996</v>
      </c>
      <c r="D66" s="70">
        <f t="shared" si="0"/>
        <v>1.7961374199489025E-2</v>
      </c>
      <c r="F66" s="8" t="str">
        <v>Colombia</v>
      </c>
      <c r="G66" s="70">
        <f t="shared" si="1"/>
        <v>1.7961374199489025E-2</v>
      </c>
    </row>
    <row r="67" spans="1:7" x14ac:dyDescent="0.2">
      <c r="A67" s="12" t="s">
        <v>302</v>
      </c>
      <c r="B67" s="13">
        <v>4202108.63</v>
      </c>
      <c r="C67" s="13">
        <v>1013567.94</v>
      </c>
      <c r="D67" s="70">
        <f t="shared" si="0"/>
        <v>3.4199104896334611E-4</v>
      </c>
      <c r="F67" s="8" t="str">
        <v>Costa Rica</v>
      </c>
      <c r="G67" s="70">
        <f t="shared" si="1"/>
        <v>3.4199104896334611E-4</v>
      </c>
    </row>
    <row r="68" spans="1:7" x14ac:dyDescent="0.2">
      <c r="A68" s="12" t="s">
        <v>442</v>
      </c>
      <c r="B68" s="13">
        <v>5295213.51</v>
      </c>
      <c r="C68" s="13">
        <v>4319275.6500000004</v>
      </c>
      <c r="D68" s="70">
        <f t="shared" si="0"/>
        <v>4.309540238539197E-4</v>
      </c>
      <c r="F68" s="8" t="str">
        <v>Cuba</v>
      </c>
      <c r="G68" s="70">
        <f t="shared" si="1"/>
        <v>4.309540238539197E-4</v>
      </c>
    </row>
    <row r="69" spans="1:7" x14ac:dyDescent="0.2">
      <c r="A69" s="12" t="s">
        <v>296</v>
      </c>
      <c r="B69" s="13">
        <v>250511248.02000001</v>
      </c>
      <c r="C69" s="13">
        <v>410904506.05000001</v>
      </c>
      <c r="D69" s="70">
        <f t="shared" si="0"/>
        <v>2.0388003269557736E-2</v>
      </c>
      <c r="F69" s="8" t="str">
        <v>Chile</v>
      </c>
      <c r="G69" s="70">
        <f t="shared" si="1"/>
        <v>2.0388003269557736E-2</v>
      </c>
    </row>
    <row r="70" spans="1:7" x14ac:dyDescent="0.2">
      <c r="A70" s="12" t="s">
        <v>311</v>
      </c>
      <c r="B70" s="13">
        <v>69111873.030000001</v>
      </c>
      <c r="C70" s="13">
        <v>76714730.030000001</v>
      </c>
      <c r="D70" s="70">
        <f t="shared" si="0"/>
        <v>5.6247098860343582E-3</v>
      </c>
      <c r="F70" s="8" t="str">
        <v>República Dominicana</v>
      </c>
      <c r="G70" s="70">
        <f t="shared" si="1"/>
        <v>5.6247098860343582E-3</v>
      </c>
    </row>
    <row r="71" spans="1:7" x14ac:dyDescent="0.2">
      <c r="A71" s="12" t="s">
        <v>312</v>
      </c>
      <c r="B71" s="13">
        <v>154399625.19999999</v>
      </c>
      <c r="C71" s="13">
        <v>378844310.43000001</v>
      </c>
      <c r="D71" s="70">
        <f t="shared" si="0"/>
        <v>1.2565903081305037E-2</v>
      </c>
      <c r="F71" s="8" t="str">
        <v>Ecuador</v>
      </c>
      <c r="G71" s="70">
        <f t="shared" si="1"/>
        <v>1.2565903081305037E-2</v>
      </c>
    </row>
    <row r="72" spans="1:7" x14ac:dyDescent="0.2">
      <c r="A72" s="12" t="s">
        <v>314</v>
      </c>
      <c r="B72" s="13">
        <v>434830.81</v>
      </c>
      <c r="C72" s="13">
        <v>76935.3</v>
      </c>
      <c r="D72" s="70">
        <f t="shared" si="0"/>
        <v>3.5388957765587672E-5</v>
      </c>
      <c r="F72" s="8" t="str">
        <v>El Salvador</v>
      </c>
      <c r="G72" s="70">
        <f t="shared" si="1"/>
        <v>3.5388957765587672E-5</v>
      </c>
    </row>
    <row r="73" spans="1:7" x14ac:dyDescent="0.2">
      <c r="A73" s="12" t="s">
        <v>432</v>
      </c>
      <c r="B73" s="13">
        <v>168831037.91</v>
      </c>
      <c r="C73" s="13">
        <v>65263790.399999999</v>
      </c>
      <c r="D73" s="70">
        <f t="shared" si="0"/>
        <v>1.3740411977976723E-2</v>
      </c>
      <c r="F73" s="8" t="str">
        <v>Estados Unidos</v>
      </c>
      <c r="G73" s="70">
        <f t="shared" si="1"/>
        <v>1.3740411977976723E-2</v>
      </c>
    </row>
    <row r="74" spans="1:7" x14ac:dyDescent="0.2">
      <c r="A74" s="12" t="s">
        <v>328</v>
      </c>
      <c r="B74" s="13">
        <v>16103874.93</v>
      </c>
      <c r="C74" s="13">
        <v>21175230.120000001</v>
      </c>
      <c r="D74" s="70">
        <f t="shared" si="0"/>
        <v>1.310623204827818E-3</v>
      </c>
      <c r="F74" s="8" t="str">
        <v>Guatemala</v>
      </c>
      <c r="G74" s="70">
        <f t="shared" si="1"/>
        <v>1.310623204827818E-3</v>
      </c>
    </row>
    <row r="75" spans="1:7" x14ac:dyDescent="0.2">
      <c r="A75" s="12" t="s">
        <v>332</v>
      </c>
      <c r="B75" s="13">
        <v>216826.05</v>
      </c>
      <c r="C75" s="13">
        <v>230955</v>
      </c>
      <c r="D75" s="70">
        <f t="shared" ref="D75:D138" si="2">+B75/$B$8</f>
        <v>1.764651388416842E-5</v>
      </c>
      <c r="F75" s="8" t="str">
        <v>Guyana</v>
      </c>
      <c r="G75" s="70">
        <f t="shared" ref="G75:G138" si="3">+SUMIF(A75:A220,F75,D75:D220)</f>
        <v>1.764651388416842E-5</v>
      </c>
    </row>
    <row r="76" spans="1:7" x14ac:dyDescent="0.2">
      <c r="A76" s="12" t="s">
        <v>333</v>
      </c>
      <c r="B76" s="13">
        <v>9069497.4399999995</v>
      </c>
      <c r="C76" s="13">
        <v>12798137.09</v>
      </c>
      <c r="D76" s="70">
        <f t="shared" si="2"/>
        <v>7.3812631137905218E-4</v>
      </c>
      <c r="F76" s="8" t="str">
        <v>Haití</v>
      </c>
      <c r="G76" s="70">
        <f t="shared" si="3"/>
        <v>7.3812631137905218E-4</v>
      </c>
    </row>
    <row r="77" spans="1:7" x14ac:dyDescent="0.2">
      <c r="A77" s="12" t="s">
        <v>334</v>
      </c>
      <c r="B77" s="13">
        <v>6879967.1500000004</v>
      </c>
      <c r="C77" s="13">
        <v>14208817.369999999</v>
      </c>
      <c r="D77" s="70">
        <f t="shared" si="2"/>
        <v>5.5993011833724608E-4</v>
      </c>
      <c r="F77" s="8" t="str">
        <v>Honduras</v>
      </c>
      <c r="G77" s="70">
        <f t="shared" si="3"/>
        <v>5.5993011833724608E-4</v>
      </c>
    </row>
    <row r="78" spans="1:7" x14ac:dyDescent="0.2">
      <c r="A78" s="12" t="s">
        <v>345</v>
      </c>
      <c r="B78" s="13">
        <v>5151726.3</v>
      </c>
      <c r="C78" s="13">
        <v>6767836.1500000004</v>
      </c>
      <c r="D78" s="70">
        <f t="shared" si="2"/>
        <v>4.1927623401517296E-4</v>
      </c>
      <c r="F78" s="8" t="str">
        <v>Jamaica</v>
      </c>
      <c r="G78" s="70">
        <f t="shared" si="3"/>
        <v>4.1927623401517296E-4</v>
      </c>
    </row>
    <row r="79" spans="1:7" x14ac:dyDescent="0.2">
      <c r="A79" s="12" t="s">
        <v>368</v>
      </c>
      <c r="B79" s="13">
        <v>45169103.890000001</v>
      </c>
      <c r="C79" s="13">
        <v>13652177.92</v>
      </c>
      <c r="D79" s="70">
        <f t="shared" si="2"/>
        <v>3.6761137277109036E-3</v>
      </c>
      <c r="F79" s="8" t="str">
        <v>México</v>
      </c>
      <c r="G79" s="70">
        <f t="shared" si="3"/>
        <v>3.6761137277109036E-3</v>
      </c>
    </row>
    <row r="80" spans="1:7" x14ac:dyDescent="0.2">
      <c r="A80" s="12" t="s">
        <v>380</v>
      </c>
      <c r="B80" s="13">
        <v>2206260.29</v>
      </c>
      <c r="C80" s="13">
        <v>311494.8</v>
      </c>
      <c r="D80" s="70">
        <f t="shared" si="2"/>
        <v>1.7955777379874072E-4</v>
      </c>
      <c r="F80" s="8" t="str">
        <v>Nicaragua</v>
      </c>
      <c r="G80" s="70">
        <f t="shared" si="3"/>
        <v>1.7955777379874072E-4</v>
      </c>
    </row>
    <row r="81" spans="1:7" x14ac:dyDescent="0.2">
      <c r="A81" s="12" t="s">
        <v>387</v>
      </c>
      <c r="B81" s="13">
        <v>8086077.8099999996</v>
      </c>
      <c r="C81" s="13">
        <v>13552358.880000001</v>
      </c>
      <c r="D81" s="70">
        <f t="shared" si="2"/>
        <v>6.5809013420034708E-4</v>
      </c>
      <c r="F81" s="8" t="str">
        <v>Panamá</v>
      </c>
      <c r="G81" s="70">
        <f t="shared" si="3"/>
        <v>6.5809013420034708E-4</v>
      </c>
    </row>
    <row r="82" spans="1:7" x14ac:dyDescent="0.2">
      <c r="A82" s="12" t="s">
        <v>389</v>
      </c>
      <c r="B82" s="13">
        <v>108182258.18000001</v>
      </c>
      <c r="C82" s="13">
        <v>113649864.23999999</v>
      </c>
      <c r="D82" s="70">
        <f t="shared" si="2"/>
        <v>8.8044758505449999E-3</v>
      </c>
      <c r="F82" s="8" t="str">
        <v>Paraguay</v>
      </c>
      <c r="G82" s="70">
        <f t="shared" si="3"/>
        <v>8.8044758505449999E-3</v>
      </c>
    </row>
    <row r="83" spans="1:7" x14ac:dyDescent="0.2">
      <c r="A83" s="12" t="s">
        <v>390</v>
      </c>
      <c r="B83" s="13">
        <v>211907143.21000001</v>
      </c>
      <c r="C83" s="13">
        <v>414888482.68000001</v>
      </c>
      <c r="D83" s="70">
        <f t="shared" si="2"/>
        <v>1.7246185801059102E-2</v>
      </c>
      <c r="F83" s="8" t="str">
        <v>Perú</v>
      </c>
      <c r="G83" s="70">
        <f t="shared" si="3"/>
        <v>1.7246185801059102E-2</v>
      </c>
    </row>
    <row r="84" spans="1:7" x14ac:dyDescent="0.2">
      <c r="A84" s="12" t="s">
        <v>394</v>
      </c>
      <c r="B84" s="13">
        <v>1968156.22</v>
      </c>
      <c r="C84" s="13">
        <v>1142313.04</v>
      </c>
      <c r="D84" s="70">
        <f t="shared" si="2"/>
        <v>1.6017953591112522E-4</v>
      </c>
      <c r="F84" s="8" t="str">
        <v>Puerto Rico(Estado Asociado)</v>
      </c>
      <c r="G84" s="70">
        <f t="shared" si="3"/>
        <v>1.6017953591112522E-4</v>
      </c>
    </row>
    <row r="85" spans="1:7" x14ac:dyDescent="0.2">
      <c r="A85" s="12" t="s">
        <v>425</v>
      </c>
      <c r="B85" s="13">
        <v>5220494.22</v>
      </c>
      <c r="C85" s="13">
        <v>2306554.19</v>
      </c>
      <c r="D85" s="70">
        <f t="shared" si="2"/>
        <v>4.2487295108429538E-4</v>
      </c>
      <c r="F85" s="8" t="str">
        <v>Trinidad y Tobago</v>
      </c>
      <c r="G85" s="70">
        <f t="shared" si="3"/>
        <v>4.2487295108429538E-4</v>
      </c>
    </row>
    <row r="86" spans="1:7" x14ac:dyDescent="0.2">
      <c r="A86" s="12" t="s">
        <v>433</v>
      </c>
      <c r="B86" s="13">
        <v>146540161.91</v>
      </c>
      <c r="C86" s="13">
        <v>214924008.41999999</v>
      </c>
      <c r="D86" s="70">
        <f t="shared" si="2"/>
        <v>1.1926256101299189E-2</v>
      </c>
      <c r="F86" s="8" t="str">
        <v>Uruguay</v>
      </c>
      <c r="G86" s="70">
        <f t="shared" si="3"/>
        <v>1.1926256101299189E-2</v>
      </c>
    </row>
    <row r="87" spans="1:7" x14ac:dyDescent="0.2">
      <c r="A87" s="12" t="s">
        <v>435</v>
      </c>
      <c r="B87" s="13">
        <v>182654924.21000001</v>
      </c>
      <c r="C87" s="13">
        <v>139615214.31</v>
      </c>
      <c r="D87" s="70">
        <f t="shared" si="2"/>
        <v>1.4865476985276887E-2</v>
      </c>
      <c r="F87" s="8" t="str">
        <v>Venezuela</v>
      </c>
      <c r="G87" s="70">
        <f t="shared" si="3"/>
        <v>1.4865476985276887E-2</v>
      </c>
    </row>
    <row r="88" spans="1:7" x14ac:dyDescent="0.2">
      <c r="A88" s="12" t="s">
        <v>66</v>
      </c>
      <c r="B88" s="13">
        <v>87123.4</v>
      </c>
      <c r="C88" s="13">
        <v>38145</v>
      </c>
      <c r="D88" s="70">
        <f t="shared" si="2"/>
        <v>7.0905884589787938E-6</v>
      </c>
      <c r="F88" s="8" t="str">
        <v>Suriname</v>
      </c>
      <c r="G88" s="70">
        <f t="shared" si="3"/>
        <v>3.9775476953959036E-6</v>
      </c>
    </row>
    <row r="89" spans="1:7" x14ac:dyDescent="0.2">
      <c r="A89" s="12" t="s">
        <v>417</v>
      </c>
      <c r="B89" s="13">
        <v>48872.88</v>
      </c>
      <c r="C89" s="13">
        <v>43438.04</v>
      </c>
      <c r="D89" s="70">
        <f t="shared" si="2"/>
        <v>3.9775476953959036E-6</v>
      </c>
      <c r="F89" s="8" t="str">
        <v>Dominica</v>
      </c>
      <c r="G89" s="70">
        <f t="shared" si="3"/>
        <v>5.0534585549425124E-6</v>
      </c>
    </row>
    <row r="90" spans="1:7" x14ac:dyDescent="0.2">
      <c r="A90" s="12" t="s">
        <v>310</v>
      </c>
      <c r="B90" s="13">
        <v>62092.800000000003</v>
      </c>
      <c r="C90" s="13">
        <v>18144</v>
      </c>
      <c r="D90" s="70">
        <f t="shared" si="2"/>
        <v>5.0534585549425124E-6</v>
      </c>
      <c r="F90" s="8" t="str">
        <v>Santa Lucía</v>
      </c>
      <c r="G90" s="70">
        <f t="shared" si="3"/>
        <v>2.1674337521739839E-5</v>
      </c>
    </row>
    <row r="91" spans="1:7" x14ac:dyDescent="0.2">
      <c r="A91" s="12" t="s">
        <v>468</v>
      </c>
      <c r="B91" s="13">
        <v>266316.68</v>
      </c>
      <c r="C91" s="13">
        <v>179751.78</v>
      </c>
      <c r="D91" s="70">
        <f t="shared" si="2"/>
        <v>2.1674337521739839E-5</v>
      </c>
      <c r="F91" s="8" t="str">
        <v>San Vicente y las Granadinas</v>
      </c>
      <c r="G91" s="70">
        <f t="shared" si="3"/>
        <v>2.6072989672409108E-5</v>
      </c>
    </row>
    <row r="92" spans="1:7" x14ac:dyDescent="0.2">
      <c r="A92" s="12" t="s">
        <v>415</v>
      </c>
      <c r="B92" s="13">
        <v>320363.75</v>
      </c>
      <c r="C92" s="13">
        <v>105875.21</v>
      </c>
      <c r="D92" s="70">
        <f t="shared" si="2"/>
        <v>2.6072989672409108E-5</v>
      </c>
      <c r="F92" s="8" t="str">
        <v>Belice</v>
      </c>
      <c r="G92" s="70">
        <f t="shared" si="3"/>
        <v>4.1177034307893409E-8</v>
      </c>
    </row>
    <row r="93" spans="1:7" x14ac:dyDescent="0.2">
      <c r="A93" s="12" t="s">
        <v>280</v>
      </c>
      <c r="B93" s="13">
        <v>505.95</v>
      </c>
      <c r="C93" s="13">
        <v>24.26</v>
      </c>
      <c r="D93" s="70">
        <f t="shared" si="2"/>
        <v>4.1177034307893409E-8</v>
      </c>
      <c r="F93" s="8" t="str">
        <v>Antigua y Barbuda</v>
      </c>
      <c r="G93" s="70">
        <f t="shared" si="3"/>
        <v>2.482351348293653E-6</v>
      </c>
    </row>
    <row r="94" spans="1:7" x14ac:dyDescent="0.2">
      <c r="A94" s="12" t="s">
        <v>268</v>
      </c>
      <c r="B94" s="13">
        <v>30501.119999999999</v>
      </c>
      <c r="C94" s="13">
        <v>54144</v>
      </c>
      <c r="D94" s="70">
        <f t="shared" si="2"/>
        <v>2.482351348293653E-6</v>
      </c>
      <c r="F94" s="8" t="str">
        <v>San Cristóbal y Nevis</v>
      </c>
      <c r="G94" s="70">
        <f t="shared" si="3"/>
        <v>2.0719463297083432E-5</v>
      </c>
    </row>
    <row r="95" spans="1:7" x14ac:dyDescent="0.2">
      <c r="A95" s="12" t="s">
        <v>472</v>
      </c>
      <c r="B95" s="13">
        <v>254583.96</v>
      </c>
      <c r="C95" s="13">
        <v>80554.179999999993</v>
      </c>
      <c r="D95" s="70">
        <f t="shared" si="2"/>
        <v>2.0719463297083432E-5</v>
      </c>
      <c r="F95" s="8" t="str">
        <v>Bahamas</v>
      </c>
      <c r="G95" s="70">
        <f t="shared" si="3"/>
        <v>1.1693398779175447E-5</v>
      </c>
    </row>
    <row r="96" spans="1:7" x14ac:dyDescent="0.2">
      <c r="A96" s="12" t="s">
        <v>274</v>
      </c>
      <c r="B96" s="13">
        <v>143679</v>
      </c>
      <c r="C96" s="13">
        <v>52158.720000000001</v>
      </c>
      <c r="D96" s="70">
        <f t="shared" si="2"/>
        <v>1.1693398779175447E-5</v>
      </c>
      <c r="F96" s="8" t="str">
        <v>Grenada</v>
      </c>
      <c r="G96" s="70">
        <f t="shared" si="3"/>
        <v>2.2682975060683806E-5</v>
      </c>
    </row>
    <row r="97" spans="1:7" x14ac:dyDescent="0.2">
      <c r="A97" s="12" t="s">
        <v>327</v>
      </c>
      <c r="B97" s="13">
        <v>278710</v>
      </c>
      <c r="C97" s="13">
        <v>91029.6</v>
      </c>
      <c r="D97" s="70">
        <f t="shared" si="2"/>
        <v>2.2682975060683806E-5</v>
      </c>
      <c r="F97" s="8" t="str">
        <v>Antillas Holandesas</v>
      </c>
      <c r="G97" s="70">
        <f t="shared" si="3"/>
        <v>4.9705114540193993E-4</v>
      </c>
    </row>
    <row r="98" spans="1:7" x14ac:dyDescent="0.2">
      <c r="A98" s="12" t="s">
        <v>377</v>
      </c>
      <c r="B98" s="13">
        <v>6107361.3300000001</v>
      </c>
      <c r="C98" s="13">
        <v>13717338.439999999</v>
      </c>
      <c r="D98" s="70">
        <f t="shared" si="2"/>
        <v>4.9705114540193993E-4</v>
      </c>
      <c r="F98" s="8" t="str">
        <v>Aruba</v>
      </c>
      <c r="G98" s="70">
        <f t="shared" si="3"/>
        <v>9.2993947336243382E-5</v>
      </c>
    </row>
    <row r="99" spans="1:7" x14ac:dyDescent="0.2">
      <c r="A99" s="12" t="s">
        <v>270</v>
      </c>
      <c r="B99" s="13">
        <v>1142634.2</v>
      </c>
      <c r="C99" s="13">
        <v>346768.83</v>
      </c>
      <c r="D99" s="70">
        <f t="shared" si="2"/>
        <v>9.2993947336243382E-5</v>
      </c>
      <c r="F99" s="8" t="str">
        <v>Iquique (Chile)</v>
      </c>
      <c r="G99" s="70">
        <f t="shared" si="3"/>
        <v>9.5972415415235324E-6</v>
      </c>
    </row>
    <row r="100" spans="1:7" x14ac:dyDescent="0.2">
      <c r="A100" s="12" t="s">
        <v>445</v>
      </c>
      <c r="B100" s="13">
        <v>117923.12</v>
      </c>
      <c r="C100" s="13">
        <v>27989.13</v>
      </c>
      <c r="D100" s="70">
        <f t="shared" si="2"/>
        <v>9.5972415415235324E-6</v>
      </c>
      <c r="F100" s="8" t="str">
        <v>Punta Arenas (Chile)</v>
      </c>
      <c r="G100" s="70">
        <f t="shared" si="3"/>
        <v>1.4049931275885681E-5</v>
      </c>
    </row>
    <row r="101" spans="1:7" x14ac:dyDescent="0.2">
      <c r="A101" s="12" t="s">
        <v>446</v>
      </c>
      <c r="B101" s="13">
        <v>172634.16</v>
      </c>
      <c r="C101" s="13">
        <v>39438.720000000001</v>
      </c>
      <c r="D101" s="70">
        <f t="shared" si="2"/>
        <v>1.4049931275885681E-5</v>
      </c>
      <c r="F101" s="8" t="str">
        <v xml:space="preserve">   ASIA</v>
      </c>
      <c r="G101" s="70">
        <f t="shared" si="3"/>
        <v>0.35068279633806038</v>
      </c>
    </row>
    <row r="102" spans="1:7" x14ac:dyDescent="0.2">
      <c r="A102" s="12" t="s">
        <v>1</v>
      </c>
      <c r="B102" s="13" t="s">
        <v>466</v>
      </c>
      <c r="C102" s="13" t="s">
        <v>466</v>
      </c>
      <c r="D102" s="70" t="e">
        <f t="shared" si="2"/>
        <v>#VALUE!</v>
      </c>
      <c r="F102" s="8" t="str">
        <v>Afganistán</v>
      </c>
      <c r="G102" s="70">
        <f t="shared" si="3"/>
        <v>4.5658767300409756E-5</v>
      </c>
    </row>
    <row r="103" spans="1:7" x14ac:dyDescent="0.2">
      <c r="A103" s="12" t="s">
        <v>4</v>
      </c>
      <c r="B103" s="13">
        <v>4308905772.1000004</v>
      </c>
      <c r="C103" s="13">
        <v>8818389692.5599995</v>
      </c>
      <c r="D103" s="70">
        <f t="shared" si="2"/>
        <v>0.35068279633806038</v>
      </c>
      <c r="F103" s="8" t="str">
        <v>Arabia Saudita</v>
      </c>
      <c r="G103" s="70">
        <f t="shared" si="3"/>
        <v>5.8243775150217348E-3</v>
      </c>
    </row>
    <row r="104" spans="1:7" x14ac:dyDescent="0.2">
      <c r="A104" s="12" t="s">
        <v>263</v>
      </c>
      <c r="B104" s="13">
        <v>561017.9</v>
      </c>
      <c r="C104" s="13">
        <v>206255.12</v>
      </c>
      <c r="D104" s="70">
        <f t="shared" si="2"/>
        <v>4.5658767300409756E-5</v>
      </c>
      <c r="F104" s="8" t="str">
        <v>Bahrein</v>
      </c>
      <c r="G104" s="70">
        <f t="shared" si="3"/>
        <v>1.7139841443716726E-5</v>
      </c>
    </row>
    <row r="105" spans="1:7" x14ac:dyDescent="0.2">
      <c r="A105" s="12" t="s">
        <v>400</v>
      </c>
      <c r="B105" s="13">
        <v>71565226.909999996</v>
      </c>
      <c r="C105" s="13">
        <v>194219300.56</v>
      </c>
      <c r="D105" s="70">
        <f t="shared" si="2"/>
        <v>5.8243775150217348E-3</v>
      </c>
      <c r="F105" s="8" t="str">
        <v>Myanmar (ex Birmania) Unión de</v>
      </c>
      <c r="G105" s="70">
        <f t="shared" si="3"/>
        <v>2.3137920454064821E-7</v>
      </c>
    </row>
    <row r="106" spans="1:7" x14ac:dyDescent="0.2">
      <c r="A106" s="12" t="s">
        <v>275</v>
      </c>
      <c r="B106" s="13">
        <v>210600.47</v>
      </c>
      <c r="C106" s="13">
        <v>86307.17</v>
      </c>
      <c r="D106" s="70">
        <f t="shared" si="2"/>
        <v>1.7139841443716726E-5</v>
      </c>
      <c r="F106" s="8" t="str">
        <v>Camboya (ex Kampuchea)</v>
      </c>
      <c r="G106" s="70">
        <f t="shared" si="3"/>
        <v>2.8383998412357943E-4</v>
      </c>
    </row>
    <row r="107" spans="1:7" x14ac:dyDescent="0.2">
      <c r="A107" s="12" t="s">
        <v>374</v>
      </c>
      <c r="B107" s="13">
        <v>2843</v>
      </c>
      <c r="C107" s="13">
        <v>88.67</v>
      </c>
      <c r="D107" s="70">
        <f t="shared" si="2"/>
        <v>2.3137920454064821E-7</v>
      </c>
      <c r="F107" s="8" t="str">
        <v>Corea Republicana</v>
      </c>
      <c r="G107" s="70">
        <f t="shared" si="3"/>
        <v>1.3529694465179046E-2</v>
      </c>
    </row>
    <row r="108" spans="1:7" x14ac:dyDescent="0.2">
      <c r="A108" s="12" t="s">
        <v>291</v>
      </c>
      <c r="B108" s="13">
        <v>3487595.51</v>
      </c>
      <c r="C108" s="13">
        <v>245752.61</v>
      </c>
      <c r="D108" s="70">
        <f t="shared" si="2"/>
        <v>2.8383998412357943E-4</v>
      </c>
      <c r="F108" s="8" t="str">
        <v>China</v>
      </c>
      <c r="G108" s="70">
        <f t="shared" si="3"/>
        <v>0.10882687219999743</v>
      </c>
    </row>
    <row r="109" spans="1:7" x14ac:dyDescent="0.2">
      <c r="A109" s="12" t="s">
        <v>350</v>
      </c>
      <c r="B109" s="13">
        <v>166241912.02000001</v>
      </c>
      <c r="C109" s="13">
        <v>324147345.47000003</v>
      </c>
      <c r="D109" s="70">
        <f t="shared" si="2"/>
        <v>1.3529694465179046E-2</v>
      </c>
      <c r="F109" s="8" t="str">
        <v>Filipinas</v>
      </c>
      <c r="G109" s="70">
        <f t="shared" si="3"/>
        <v>1.806075913344277E-2</v>
      </c>
    </row>
    <row r="110" spans="1:7" x14ac:dyDescent="0.2">
      <c r="A110" s="12" t="s">
        <v>297</v>
      </c>
      <c r="B110" s="13">
        <v>1337176339.0699999</v>
      </c>
      <c r="C110" s="13">
        <v>2191383636.0900002</v>
      </c>
      <c r="D110" s="70">
        <f t="shared" si="2"/>
        <v>0.10882687219999743</v>
      </c>
      <c r="F110" s="8" t="str">
        <v>Taiwan</v>
      </c>
      <c r="G110" s="70">
        <f t="shared" si="3"/>
        <v>9.3200209648561553E-4</v>
      </c>
    </row>
    <row r="111" spans="1:7" x14ac:dyDescent="0.2">
      <c r="A111" s="12" t="s">
        <v>391</v>
      </c>
      <c r="B111" s="13">
        <v>221915959.63999999</v>
      </c>
      <c r="C111" s="13">
        <v>583000215.04999995</v>
      </c>
      <c r="D111" s="70">
        <f t="shared" si="2"/>
        <v>1.806075913344277E-2</v>
      </c>
      <c r="F111" s="8" t="str">
        <v>India</v>
      </c>
      <c r="G111" s="70">
        <f t="shared" si="3"/>
        <v>3.1346856298397091E-2</v>
      </c>
    </row>
    <row r="112" spans="1:7" x14ac:dyDescent="0.2">
      <c r="A112" s="12" t="s">
        <v>421</v>
      </c>
      <c r="B112" s="13">
        <v>11451685.84</v>
      </c>
      <c r="C112" s="13">
        <v>6959789.5700000003</v>
      </c>
      <c r="D112" s="70">
        <f t="shared" si="2"/>
        <v>9.3200209648561553E-4</v>
      </c>
      <c r="F112" s="8" t="str">
        <v>Indonesia</v>
      </c>
      <c r="G112" s="70">
        <f t="shared" si="3"/>
        <v>2.446033825250225E-2</v>
      </c>
    </row>
    <row r="113" spans="1:7" x14ac:dyDescent="0.2">
      <c r="A113" s="12" t="s">
        <v>338</v>
      </c>
      <c r="B113" s="13">
        <v>385164745.61000001</v>
      </c>
      <c r="C113" s="13">
        <v>505981519.19</v>
      </c>
      <c r="D113" s="70">
        <f t="shared" si="2"/>
        <v>3.1346856298397091E-2</v>
      </c>
      <c r="F113" s="8" t="str">
        <v>Iraq</v>
      </c>
      <c r="G113" s="70">
        <f t="shared" si="3"/>
        <v>4.5816340933523269E-4</v>
      </c>
    </row>
    <row r="114" spans="1:7" x14ac:dyDescent="0.2">
      <c r="A114" s="12" t="s">
        <v>339</v>
      </c>
      <c r="B114" s="13">
        <v>300548797.32999998</v>
      </c>
      <c r="C114" s="13">
        <v>780411151.96000004</v>
      </c>
      <c r="D114" s="70">
        <f t="shared" si="2"/>
        <v>2.446033825250225E-2</v>
      </c>
      <c r="F114" s="8" t="str">
        <v>Irán</v>
      </c>
      <c r="G114" s="70">
        <f t="shared" si="3"/>
        <v>2.7553848552166728E-2</v>
      </c>
    </row>
    <row r="115" spans="1:7" x14ac:dyDescent="0.2">
      <c r="A115" s="12" t="s">
        <v>341</v>
      </c>
      <c r="B115" s="13">
        <v>5629540.3700000001</v>
      </c>
      <c r="C115" s="13">
        <v>10706312.949999999</v>
      </c>
      <c r="D115" s="70">
        <f t="shared" si="2"/>
        <v>4.5816340933523269E-4</v>
      </c>
      <c r="F115" s="8" t="str">
        <v>Israel</v>
      </c>
      <c r="G115" s="70">
        <f t="shared" si="3"/>
        <v>2.5350651702948659E-3</v>
      </c>
    </row>
    <row r="116" spans="1:7" x14ac:dyDescent="0.2">
      <c r="A116" s="12" t="s">
        <v>340</v>
      </c>
      <c r="B116" s="13">
        <v>338559342.82999998</v>
      </c>
      <c r="C116" s="13">
        <v>889666489.36000001</v>
      </c>
      <c r="D116" s="70">
        <f t="shared" si="2"/>
        <v>2.7553848552166728E-2</v>
      </c>
      <c r="F116" s="8" t="str">
        <v>Japón</v>
      </c>
      <c r="G116" s="70">
        <f t="shared" si="3"/>
        <v>4.9705173170365982E-3</v>
      </c>
    </row>
    <row r="117" spans="1:7" x14ac:dyDescent="0.2">
      <c r="A117" s="12" t="s">
        <v>343</v>
      </c>
      <c r="B117" s="13">
        <v>31148824.690000001</v>
      </c>
      <c r="C117" s="13">
        <v>17815054.079999998</v>
      </c>
      <c r="D117" s="70">
        <f t="shared" si="2"/>
        <v>2.5350651702948659E-3</v>
      </c>
      <c r="F117" s="8" t="str">
        <v>Jordania</v>
      </c>
      <c r="G117" s="70">
        <f t="shared" si="3"/>
        <v>7.859404064893507E-4</v>
      </c>
    </row>
    <row r="118" spans="1:7" x14ac:dyDescent="0.2">
      <c r="A118" s="12" t="s">
        <v>346</v>
      </c>
      <c r="B118" s="13">
        <v>61073685.340000004</v>
      </c>
      <c r="C118" s="13">
        <v>165957902.81999999</v>
      </c>
      <c r="D118" s="70">
        <f t="shared" si="2"/>
        <v>4.9705173170365982E-3</v>
      </c>
      <c r="F118" s="8" t="str">
        <v>Qatar</v>
      </c>
      <c r="G118" s="70">
        <f t="shared" si="3"/>
        <v>8.0228562110199124E-6</v>
      </c>
    </row>
    <row r="119" spans="1:7" x14ac:dyDescent="0.2">
      <c r="A119" s="12" t="s">
        <v>347</v>
      </c>
      <c r="B119" s="13">
        <v>9656998.2599999998</v>
      </c>
      <c r="C119" s="13">
        <v>28135252.530000001</v>
      </c>
      <c r="D119" s="70">
        <f t="shared" si="2"/>
        <v>7.859404064893507E-4</v>
      </c>
      <c r="F119" s="8" t="str">
        <v>Kuwait</v>
      </c>
      <c r="G119" s="70">
        <f t="shared" si="3"/>
        <v>2.3965822837622954E-4</v>
      </c>
    </row>
    <row r="120" spans="1:7" x14ac:dyDescent="0.2">
      <c r="A120" s="12" t="s">
        <v>395</v>
      </c>
      <c r="B120" s="13">
        <v>98578.35</v>
      </c>
      <c r="C120" s="13">
        <v>54704.05</v>
      </c>
      <c r="D120" s="70">
        <f t="shared" si="2"/>
        <v>8.0228562110199124E-6</v>
      </c>
      <c r="F120" s="8" t="str">
        <v>Líbano</v>
      </c>
      <c r="G120" s="70">
        <f t="shared" si="3"/>
        <v>1.0466898276141345E-3</v>
      </c>
    </row>
    <row r="121" spans="1:7" x14ac:dyDescent="0.2">
      <c r="A121" s="12" t="s">
        <v>351</v>
      </c>
      <c r="B121" s="13">
        <v>2944725.93</v>
      </c>
      <c r="C121" s="13">
        <v>5834345.3799999999</v>
      </c>
      <c r="D121" s="70">
        <f t="shared" si="2"/>
        <v>2.3965822837622954E-4</v>
      </c>
      <c r="F121" s="8" t="str">
        <v>Malasia</v>
      </c>
      <c r="G121" s="70">
        <f t="shared" si="3"/>
        <v>2.4408252463490987E-2</v>
      </c>
    </row>
    <row r="122" spans="1:7" x14ac:dyDescent="0.2">
      <c r="A122" s="12" t="s">
        <v>353</v>
      </c>
      <c r="B122" s="13">
        <v>12860875.66</v>
      </c>
      <c r="C122" s="13">
        <v>31816882.120000001</v>
      </c>
      <c r="D122" s="70">
        <f t="shared" si="2"/>
        <v>1.0466898276141345E-3</v>
      </c>
      <c r="F122" s="8" t="str">
        <v>Omán</v>
      </c>
      <c r="G122" s="70">
        <f t="shared" si="3"/>
        <v>1.3207450488669696E-3</v>
      </c>
    </row>
    <row r="123" spans="1:7" x14ac:dyDescent="0.2">
      <c r="A123" s="12" t="s">
        <v>362</v>
      </c>
      <c r="B123" s="13">
        <v>299908809.39999998</v>
      </c>
      <c r="C123" s="13">
        <v>819451632.63999999</v>
      </c>
      <c r="D123" s="70">
        <f t="shared" si="2"/>
        <v>2.4408252463490987E-2</v>
      </c>
      <c r="F123" s="8" t="str">
        <v>Mongolia</v>
      </c>
      <c r="G123" s="70">
        <f t="shared" si="3"/>
        <v>3.246145252306822E-6</v>
      </c>
    </row>
    <row r="124" spans="1:7" x14ac:dyDescent="0.2">
      <c r="A124" s="12" t="s">
        <v>385</v>
      </c>
      <c r="B124" s="13">
        <v>16228243.939999999</v>
      </c>
      <c r="C124" s="13">
        <v>20551749.859999999</v>
      </c>
      <c r="D124" s="70">
        <f t="shared" si="2"/>
        <v>1.3207450488669696E-3</v>
      </c>
      <c r="F124" s="8" t="str">
        <v>Nepal</v>
      </c>
      <c r="G124" s="70">
        <f t="shared" si="3"/>
        <v>4.0844981140631417E-7</v>
      </c>
    </row>
    <row r="125" spans="1:7" x14ac:dyDescent="0.2">
      <c r="A125" s="12" t="s">
        <v>370</v>
      </c>
      <c r="B125" s="13">
        <v>39886</v>
      </c>
      <c r="C125" s="13">
        <v>17602.849999999999</v>
      </c>
      <c r="D125" s="70">
        <f t="shared" si="2"/>
        <v>3.246145252306822E-6</v>
      </c>
      <c r="F125" s="8" t="str">
        <v>Emiratos Arabes Unidos</v>
      </c>
      <c r="G125" s="70">
        <f t="shared" si="3"/>
        <v>5.4251421838900759E-3</v>
      </c>
    </row>
    <row r="126" spans="1:7" x14ac:dyDescent="0.2">
      <c r="A126" s="12" t="s">
        <v>376</v>
      </c>
      <c r="B126" s="13">
        <v>5018.7</v>
      </c>
      <c r="C126" s="13">
        <v>9187.5</v>
      </c>
      <c r="D126" s="70">
        <f t="shared" si="2"/>
        <v>4.0844981140631417E-7</v>
      </c>
      <c r="F126" s="8" t="str">
        <v>Paquistán</v>
      </c>
      <c r="G126" s="70">
        <f t="shared" si="3"/>
        <v>1.0878955161571086E-3</v>
      </c>
    </row>
    <row r="127" spans="1:7" x14ac:dyDescent="0.2">
      <c r="A127" s="12" t="s">
        <v>430</v>
      </c>
      <c r="B127" s="13">
        <v>66659746.969999999</v>
      </c>
      <c r="C127" s="13">
        <v>97733603.989999995</v>
      </c>
      <c r="D127" s="70">
        <f t="shared" si="2"/>
        <v>5.4251421838900759E-3</v>
      </c>
      <c r="F127" s="8" t="str">
        <v>Singapur</v>
      </c>
      <c r="G127" s="70">
        <f t="shared" si="3"/>
        <v>3.0712363278371477E-4</v>
      </c>
    </row>
    <row r="128" spans="1:7" x14ac:dyDescent="0.2">
      <c r="A128" s="12" t="s">
        <v>386</v>
      </c>
      <c r="B128" s="13">
        <v>13367177.74</v>
      </c>
      <c r="C128" s="13">
        <v>20163567.699999999</v>
      </c>
      <c r="D128" s="70">
        <f t="shared" si="2"/>
        <v>1.0878955161571086E-3</v>
      </c>
      <c r="F128" s="8" t="str">
        <v>Siria</v>
      </c>
      <c r="G128" s="70">
        <f t="shared" si="3"/>
        <v>1.1683436282405358E-2</v>
      </c>
    </row>
    <row r="129" spans="1:7" x14ac:dyDescent="0.2">
      <c r="A129" s="12" t="s">
        <v>405</v>
      </c>
      <c r="B129" s="13">
        <v>3773686.1</v>
      </c>
      <c r="C129" s="13">
        <v>3441999.26</v>
      </c>
      <c r="D129" s="70">
        <f t="shared" si="2"/>
        <v>3.0712363278371477E-4</v>
      </c>
      <c r="F129" s="8" t="str">
        <v>Tailandia</v>
      </c>
      <c r="G129" s="70">
        <f t="shared" si="3"/>
        <v>1.989093335419943E-2</v>
      </c>
    </row>
    <row r="130" spans="1:7" x14ac:dyDescent="0.2">
      <c r="A130" s="12" t="s">
        <v>420</v>
      </c>
      <c r="B130" s="13">
        <v>143556588.91999999</v>
      </c>
      <c r="C130" s="13">
        <v>364098025.51999998</v>
      </c>
      <c r="D130" s="70">
        <f t="shared" si="2"/>
        <v>1.1683436282405358E-2</v>
      </c>
      <c r="F130" s="8" t="str">
        <v>Vietnam</v>
      </c>
      <c r="G130" s="70">
        <f t="shared" si="3"/>
        <v>2.3036937834088961E-2</v>
      </c>
    </row>
    <row r="131" spans="1:7" x14ac:dyDescent="0.2">
      <c r="A131" s="12" t="s">
        <v>423</v>
      </c>
      <c r="B131" s="13">
        <v>244403656.06</v>
      </c>
      <c r="C131" s="13">
        <v>646492276.69000006</v>
      </c>
      <c r="D131" s="70">
        <f t="shared" si="2"/>
        <v>1.989093335419943E-2</v>
      </c>
      <c r="F131" s="8" t="str">
        <v>Hong Kong</v>
      </c>
      <c r="G131" s="70">
        <f t="shared" si="3"/>
        <v>5.3421367872897134E-3</v>
      </c>
    </row>
    <row r="132" spans="1:7" x14ac:dyDescent="0.2">
      <c r="A132" s="12" t="s">
        <v>436</v>
      </c>
      <c r="B132" s="13">
        <v>283059207.47000003</v>
      </c>
      <c r="C132" s="13">
        <v>729856449.14999998</v>
      </c>
      <c r="D132" s="70">
        <f t="shared" si="2"/>
        <v>2.3036937834088961E-2</v>
      </c>
      <c r="F132" s="8" t="str">
        <v>Macao</v>
      </c>
      <c r="G132" s="70">
        <f t="shared" si="3"/>
        <v>7.4449087209865904E-8</v>
      </c>
    </row>
    <row r="133" spans="1:7" x14ac:dyDescent="0.2">
      <c r="A133" s="12" t="s">
        <v>335</v>
      </c>
      <c r="B133" s="13">
        <v>65639843.979999997</v>
      </c>
      <c r="C133" s="13">
        <v>23592652.829999998</v>
      </c>
      <c r="D133" s="70">
        <f t="shared" si="2"/>
        <v>5.3421367872897134E-3</v>
      </c>
      <c r="F133" s="8" t="str">
        <v>Bangladesh</v>
      </c>
      <c r="G133" s="70">
        <f t="shared" si="3"/>
        <v>1.3366048607536188E-2</v>
      </c>
    </row>
    <row r="134" spans="1:7" x14ac:dyDescent="0.2">
      <c r="A134" s="12" t="s">
        <v>473</v>
      </c>
      <c r="B134" s="13">
        <v>914.77</v>
      </c>
      <c r="C134" s="13">
        <v>30</v>
      </c>
      <c r="D134" s="70">
        <f t="shared" si="2"/>
        <v>7.4449087209865904E-8</v>
      </c>
      <c r="F134" s="8" t="str">
        <v>República de Yemen</v>
      </c>
      <c r="G134" s="70">
        <f t="shared" si="3"/>
        <v>3.5434598766415919E-3</v>
      </c>
    </row>
    <row r="135" spans="1:7" x14ac:dyDescent="0.2">
      <c r="A135" s="12" t="s">
        <v>276</v>
      </c>
      <c r="B135" s="13">
        <v>164231164.44999999</v>
      </c>
      <c r="C135" s="13">
        <v>213920054.05000001</v>
      </c>
      <c r="D135" s="70">
        <f t="shared" si="2"/>
        <v>1.3366048607536188E-2</v>
      </c>
      <c r="F135" s="8" t="str">
        <v>Armenia</v>
      </c>
      <c r="G135" s="70">
        <f t="shared" si="3"/>
        <v>1.2060626794204752E-6</v>
      </c>
    </row>
    <row r="136" spans="1:7" x14ac:dyDescent="0.2">
      <c r="A136" s="12" t="s">
        <v>437</v>
      </c>
      <c r="B136" s="13">
        <v>43539160.960000001</v>
      </c>
      <c r="C136" s="13">
        <v>141531275.38</v>
      </c>
      <c r="D136" s="70">
        <f t="shared" si="2"/>
        <v>3.5434598766415919E-3</v>
      </c>
      <c r="F136" s="8" t="str">
        <v>Azerbaiján</v>
      </c>
      <c r="G136" s="70">
        <f t="shared" si="3"/>
        <v>4.7800030054326361E-5</v>
      </c>
    </row>
    <row r="137" spans="1:7" x14ac:dyDescent="0.2">
      <c r="A137" s="12" t="s">
        <v>269</v>
      </c>
      <c r="B137" s="13">
        <v>14819.12</v>
      </c>
      <c r="C137" s="13">
        <v>7352.52</v>
      </c>
      <c r="D137" s="70">
        <f t="shared" si="2"/>
        <v>1.2060626794204752E-6</v>
      </c>
      <c r="F137" s="8" t="str">
        <v>Georgia</v>
      </c>
      <c r="G137" s="70">
        <f t="shared" si="3"/>
        <v>1.9918773240281488E-5</v>
      </c>
    </row>
    <row r="138" spans="1:7" x14ac:dyDescent="0.2">
      <c r="A138" s="12" t="s">
        <v>273</v>
      </c>
      <c r="B138" s="13">
        <v>587328</v>
      </c>
      <c r="C138" s="13">
        <v>127680</v>
      </c>
      <c r="D138" s="70">
        <f t="shared" si="2"/>
        <v>4.7800030054326361E-5</v>
      </c>
      <c r="F138" s="8" t="str">
        <v>Kazajstán</v>
      </c>
      <c r="G138" s="70">
        <f t="shared" si="3"/>
        <v>2.5720020166876076E-4</v>
      </c>
    </row>
    <row r="139" spans="1:7" x14ac:dyDescent="0.2">
      <c r="A139" s="12" t="s">
        <v>323</v>
      </c>
      <c r="B139" s="13">
        <v>244745.73</v>
      </c>
      <c r="C139" s="13">
        <v>161531.51999999999</v>
      </c>
      <c r="D139" s="70">
        <f t="shared" ref="D139:D155" si="4">+B139/$B$8</f>
        <v>1.9918773240281488E-5</v>
      </c>
      <c r="F139" s="8" t="str">
        <v>Territorios Autónomos Palestinos (Gaza y Jericó)</v>
      </c>
      <c r="G139" s="70">
        <f t="shared" ref="G139:G151" si="5">+SUMIF(A139:A284,F139,D139:D284)</f>
        <v>1.5154938294213621E-5</v>
      </c>
    </row>
    <row r="140" spans="1:7" x14ac:dyDescent="0.2">
      <c r="A140" s="12" t="s">
        <v>348</v>
      </c>
      <c r="B140" s="13">
        <v>3160267.47</v>
      </c>
      <c r="C140" s="13">
        <v>518463.08</v>
      </c>
      <c r="D140" s="70">
        <f t="shared" si="4"/>
        <v>2.5720020166876076E-4</v>
      </c>
      <c r="F140" s="8" t="str">
        <v xml:space="preserve">   EUROPA</v>
      </c>
      <c r="G140" s="70">
        <f t="shared" si="5"/>
        <v>0.33681735072634439</v>
      </c>
    </row>
    <row r="141" spans="1:7" x14ac:dyDescent="0.2">
      <c r="A141" s="12" t="s">
        <v>159</v>
      </c>
      <c r="B141" s="13">
        <v>186211.59</v>
      </c>
      <c r="C141" s="13">
        <v>86253.27</v>
      </c>
      <c r="D141" s="70">
        <f t="shared" si="4"/>
        <v>1.5154938294213621E-5</v>
      </c>
      <c r="F141" s="8" t="str">
        <v>Albania</v>
      </c>
      <c r="G141" s="70">
        <f t="shared" si="5"/>
        <v>2.2617539426482338E-4</v>
      </c>
    </row>
    <row r="142" spans="1:7" x14ac:dyDescent="0.2">
      <c r="A142" s="12" t="s">
        <v>1</v>
      </c>
      <c r="B142" s="13" t="s">
        <v>466</v>
      </c>
      <c r="C142" s="13" t="s">
        <v>466</v>
      </c>
      <c r="D142" s="70" t="e">
        <f t="shared" si="4"/>
        <v>#VALUE!</v>
      </c>
      <c r="F142" s="8" t="str">
        <v>Austria</v>
      </c>
      <c r="G142" s="70">
        <f t="shared" si="5"/>
        <v>1.1798906312891118E-4</v>
      </c>
    </row>
    <row r="143" spans="1:7" x14ac:dyDescent="0.2">
      <c r="A143" s="12" t="s">
        <v>5</v>
      </c>
      <c r="B143" s="13">
        <v>4138538422.3099999</v>
      </c>
      <c r="C143" s="13">
        <v>9915243420.1200008</v>
      </c>
      <c r="D143" s="70">
        <f t="shared" si="4"/>
        <v>0.33681735072634439</v>
      </c>
      <c r="F143" s="8" t="str">
        <v>Bélgica</v>
      </c>
      <c r="G143" s="70">
        <f t="shared" si="5"/>
        <v>1.2497651147931709E-2</v>
      </c>
    </row>
    <row r="144" spans="1:7" x14ac:dyDescent="0.2">
      <c r="A144" s="12" t="s">
        <v>264</v>
      </c>
      <c r="B144" s="13">
        <v>2779059.8</v>
      </c>
      <c r="C144" s="13">
        <v>892908.52</v>
      </c>
      <c r="D144" s="70">
        <f t="shared" si="4"/>
        <v>2.2617539426482338E-4</v>
      </c>
      <c r="F144" s="8" t="str">
        <v>Bulgaria</v>
      </c>
      <c r="G144" s="70">
        <f t="shared" si="5"/>
        <v>2.0934834771852327E-5</v>
      </c>
    </row>
    <row r="145" spans="1:7" x14ac:dyDescent="0.2">
      <c r="A145" s="12" t="s">
        <v>272</v>
      </c>
      <c r="B145" s="13">
        <v>1449753.91</v>
      </c>
      <c r="C145" s="13">
        <v>92213.04</v>
      </c>
      <c r="D145" s="70">
        <f t="shared" si="4"/>
        <v>1.1798906312891118E-4</v>
      </c>
      <c r="F145" s="8" t="str">
        <v>Dinamarca</v>
      </c>
      <c r="G145" s="70">
        <f t="shared" si="5"/>
        <v>2.7924268958900326E-2</v>
      </c>
    </row>
    <row r="146" spans="1:7" x14ac:dyDescent="0.2">
      <c r="A146" s="12" t="s">
        <v>279</v>
      </c>
      <c r="B146" s="13">
        <v>153561000.80000001</v>
      </c>
      <c r="C146" s="13">
        <v>365086143.47000003</v>
      </c>
      <c r="D146" s="70">
        <f t="shared" si="4"/>
        <v>1.2497651147931709E-2</v>
      </c>
      <c r="F146" s="8" t="str">
        <v>España</v>
      </c>
      <c r="G146" s="70">
        <f t="shared" si="5"/>
        <v>5.9397134509631883E-2</v>
      </c>
    </row>
    <row r="147" spans="1:7" x14ac:dyDescent="0.2">
      <c r="A147" s="12" t="s">
        <v>287</v>
      </c>
      <c r="B147" s="13">
        <v>257230.27</v>
      </c>
      <c r="C147" s="13">
        <v>330589.17</v>
      </c>
      <c r="D147" s="70">
        <f t="shared" si="4"/>
        <v>2.0934834771852327E-5</v>
      </c>
      <c r="F147" s="8" t="str">
        <v>Finlandia</v>
      </c>
      <c r="G147" s="70">
        <f t="shared" si="5"/>
        <v>7.484834858926637E-6</v>
      </c>
    </row>
    <row r="148" spans="1:7" x14ac:dyDescent="0.2">
      <c r="A148" s="12" t="s">
        <v>308</v>
      </c>
      <c r="B148" s="13">
        <v>343110768.35000002</v>
      </c>
      <c r="C148" s="13">
        <v>914740882.51999998</v>
      </c>
      <c r="D148" s="70">
        <f t="shared" si="4"/>
        <v>2.7924268958900326E-2</v>
      </c>
      <c r="F148" s="8" t="str">
        <v>Francia</v>
      </c>
      <c r="G148" s="70">
        <f t="shared" si="5"/>
        <v>8.480332857902801E-3</v>
      </c>
    </row>
    <row r="149" spans="1:7" x14ac:dyDescent="0.2">
      <c r="A149" s="12" t="s">
        <v>411</v>
      </c>
      <c r="B149" s="13">
        <v>729823813.45000005</v>
      </c>
      <c r="C149" s="13">
        <v>1935310322.4300001</v>
      </c>
      <c r="D149" s="70">
        <f t="shared" si="4"/>
        <v>5.9397134509631883E-2</v>
      </c>
      <c r="F149" s="8" t="str">
        <v>Grecia</v>
      </c>
      <c r="G149" s="70">
        <f t="shared" si="5"/>
        <v>3.3700413695577497E-3</v>
      </c>
    </row>
    <row r="150" spans="1:7" x14ac:dyDescent="0.2">
      <c r="A150" s="12" t="s">
        <v>319</v>
      </c>
      <c r="B150" s="13">
        <v>91967.58</v>
      </c>
      <c r="C150" s="13">
        <v>26304.25</v>
      </c>
      <c r="D150" s="70">
        <f t="shared" si="4"/>
        <v>7.484834858926637E-6</v>
      </c>
      <c r="F150" s="8" t="str">
        <v>Hungría</v>
      </c>
      <c r="G150" s="70">
        <f t="shared" si="5"/>
        <v>6.254048054093779E-6</v>
      </c>
    </row>
    <row r="151" spans="1:7" x14ac:dyDescent="0.2">
      <c r="A151" s="12" t="s">
        <v>320</v>
      </c>
      <c r="B151" s="13">
        <v>104199451.98999999</v>
      </c>
      <c r="C151" s="13">
        <v>218889513.69</v>
      </c>
      <c r="D151" s="70">
        <f t="shared" si="4"/>
        <v>8.480332857902801E-3</v>
      </c>
      <c r="F151" s="8" t="str">
        <v>Irlanda</v>
      </c>
      <c r="G151" s="70">
        <f t="shared" si="5"/>
        <v>2.1585712726723003E-3</v>
      </c>
    </row>
    <row r="152" spans="1:7" x14ac:dyDescent="0.2">
      <c r="A152" s="12" t="s">
        <v>326</v>
      </c>
      <c r="B152" s="13">
        <v>41408335</v>
      </c>
      <c r="C152" s="13">
        <v>108289017.58</v>
      </c>
      <c r="D152" s="70">
        <f t="shared" si="4"/>
        <v>3.3700413695577497E-3</v>
      </c>
      <c r="F152" s="8" t="str">
        <v>Islandia</v>
      </c>
    </row>
    <row r="153" spans="1:7" x14ac:dyDescent="0.2">
      <c r="A153" s="12" t="s">
        <v>336</v>
      </c>
      <c r="B153" s="13">
        <v>76844.67</v>
      </c>
      <c r="C153" s="13">
        <v>43981.65</v>
      </c>
      <c r="D153" s="70">
        <f t="shared" si="4"/>
        <v>6.254048054093779E-6</v>
      </c>
    </row>
    <row r="154" spans="1:7" x14ac:dyDescent="0.2">
      <c r="A154" s="12" t="s">
        <v>342</v>
      </c>
      <c r="B154" s="13">
        <v>26522773.039999999</v>
      </c>
      <c r="C154" s="13">
        <v>91009488.269999996</v>
      </c>
      <c r="D154" s="70">
        <f t="shared" si="4"/>
        <v>2.1585712726723003E-3</v>
      </c>
    </row>
    <row r="155" spans="1:7" x14ac:dyDescent="0.2">
      <c r="A155" s="12" t="s">
        <v>337</v>
      </c>
      <c r="B155" s="13">
        <v>45.72</v>
      </c>
      <c r="C155" s="13">
        <v>3.36</v>
      </c>
      <c r="D155" s="70">
        <f t="shared" si="4"/>
        <v>3.7209487272593868E-9</v>
      </c>
    </row>
    <row r="156" spans="1:7" x14ac:dyDescent="0.2">
      <c r="A156" s="12" t="s">
        <v>344</v>
      </c>
      <c r="B156" s="13">
        <v>743551004.22000003</v>
      </c>
      <c r="C156" s="13">
        <v>1808048093.47</v>
      </c>
    </row>
    <row r="157" spans="1:7" x14ac:dyDescent="0.2">
      <c r="A157" s="12" t="s">
        <v>358</v>
      </c>
      <c r="B157" s="13">
        <v>319871.56</v>
      </c>
      <c r="C157" s="13">
        <v>26156.59</v>
      </c>
    </row>
    <row r="158" spans="1:7" x14ac:dyDescent="0.2">
      <c r="A158" s="12" t="s">
        <v>365</v>
      </c>
      <c r="B158" s="13">
        <v>1660534.73</v>
      </c>
      <c r="C158" s="13">
        <v>124422.76</v>
      </c>
    </row>
    <row r="159" spans="1:7" x14ac:dyDescent="0.2">
      <c r="A159" s="12" t="s">
        <v>384</v>
      </c>
      <c r="B159" s="13">
        <v>2331165.37</v>
      </c>
      <c r="C159" s="13">
        <v>634917.6</v>
      </c>
    </row>
    <row r="160" spans="1:7" x14ac:dyDescent="0.2">
      <c r="A160" s="12" t="s">
        <v>378</v>
      </c>
      <c r="B160" s="13">
        <v>902073740.88999999</v>
      </c>
      <c r="C160" s="13">
        <v>2177212591.6799998</v>
      </c>
    </row>
    <row r="161" spans="1:3" x14ac:dyDescent="0.2">
      <c r="A161" s="12" t="s">
        <v>392</v>
      </c>
      <c r="B161" s="13">
        <v>341230860.62</v>
      </c>
      <c r="C161" s="13">
        <v>898609393.13999999</v>
      </c>
    </row>
    <row r="162" spans="1:3" x14ac:dyDescent="0.2">
      <c r="A162" s="12" t="s">
        <v>393</v>
      </c>
      <c r="B162" s="13">
        <v>32160133.219999999</v>
      </c>
      <c r="C162" s="13">
        <v>73875462.939999998</v>
      </c>
    </row>
    <row r="163" spans="1:3" x14ac:dyDescent="0.2">
      <c r="A163" s="12" t="s">
        <v>431</v>
      </c>
      <c r="B163" s="13">
        <v>268288020.18000001</v>
      </c>
      <c r="C163" s="13">
        <v>725134992.36000001</v>
      </c>
    </row>
    <row r="164" spans="1:3" x14ac:dyDescent="0.2">
      <c r="A164" s="12" t="s">
        <v>396</v>
      </c>
      <c r="B164" s="13">
        <v>19186224.02</v>
      </c>
      <c r="C164" s="13">
        <v>50097403.579999998</v>
      </c>
    </row>
    <row r="165" spans="1:3" x14ac:dyDescent="0.2">
      <c r="A165" s="12" t="s">
        <v>418</v>
      </c>
      <c r="B165" s="13">
        <v>4365631.6500000004</v>
      </c>
      <c r="C165" s="13">
        <v>681709.32</v>
      </c>
    </row>
    <row r="166" spans="1:3" x14ac:dyDescent="0.2">
      <c r="A166" s="12" t="s">
        <v>419</v>
      </c>
      <c r="B166" s="13">
        <v>2750544.04</v>
      </c>
      <c r="C166" s="13">
        <v>453003.83</v>
      </c>
    </row>
    <row r="167" spans="1:3" x14ac:dyDescent="0.2">
      <c r="A167" s="12" t="s">
        <v>306</v>
      </c>
      <c r="B167" s="13">
        <v>18469474.41</v>
      </c>
      <c r="C167" s="13">
        <v>47535616.75</v>
      </c>
    </row>
    <row r="168" spans="1:3" x14ac:dyDescent="0.2">
      <c r="A168" s="12" t="s">
        <v>427</v>
      </c>
      <c r="B168" s="13">
        <v>50648178.299999997</v>
      </c>
      <c r="C168" s="13">
        <v>122669904.81</v>
      </c>
    </row>
    <row r="169" spans="1:3" x14ac:dyDescent="0.2">
      <c r="A169" s="12" t="s">
        <v>324</v>
      </c>
      <c r="B169" s="13">
        <v>192995429.74000001</v>
      </c>
      <c r="C169" s="13">
        <v>251963296.09</v>
      </c>
    </row>
    <row r="170" spans="1:3" x14ac:dyDescent="0.2">
      <c r="A170" s="12" t="s">
        <v>316</v>
      </c>
      <c r="B170" s="13">
        <v>1363788.38</v>
      </c>
      <c r="C170" s="13">
        <v>64773.25</v>
      </c>
    </row>
    <row r="171" spans="1:3" x14ac:dyDescent="0.2">
      <c r="A171" s="12" t="s">
        <v>352</v>
      </c>
      <c r="B171" s="13">
        <v>4683056.83</v>
      </c>
      <c r="C171" s="13">
        <v>17262221.07</v>
      </c>
    </row>
    <row r="172" spans="1:3" x14ac:dyDescent="0.2">
      <c r="A172" s="12" t="s">
        <v>357</v>
      </c>
      <c r="B172" s="13">
        <v>387651.78</v>
      </c>
      <c r="C172" s="13">
        <v>138234.29999999999</v>
      </c>
    </row>
    <row r="173" spans="1:3" x14ac:dyDescent="0.2">
      <c r="A173" s="12" t="s">
        <v>397</v>
      </c>
      <c r="B173" s="13">
        <v>137448348.86000001</v>
      </c>
      <c r="C173" s="13">
        <v>86488646.859999999</v>
      </c>
    </row>
    <row r="174" spans="1:3" x14ac:dyDescent="0.2">
      <c r="A174" s="12" t="s">
        <v>429</v>
      </c>
      <c r="B174" s="13">
        <v>1408641.34</v>
      </c>
      <c r="C174" s="13">
        <v>616058.57999999996</v>
      </c>
    </row>
    <row r="175" spans="1:3" x14ac:dyDescent="0.2">
      <c r="A175" s="12" t="s">
        <v>283</v>
      </c>
      <c r="B175" s="13">
        <v>487090.69</v>
      </c>
      <c r="C175" s="13">
        <v>171625.48</v>
      </c>
    </row>
    <row r="176" spans="1:3" x14ac:dyDescent="0.2">
      <c r="A176" s="12" t="s">
        <v>304</v>
      </c>
      <c r="B176" s="13">
        <v>1174822.74</v>
      </c>
      <c r="C176" s="13">
        <v>332576.99</v>
      </c>
    </row>
    <row r="177" spans="1:3" x14ac:dyDescent="0.2">
      <c r="A177" s="12" t="s">
        <v>406</v>
      </c>
      <c r="B177" s="13">
        <v>1674.61</v>
      </c>
      <c r="C177" s="13">
        <v>3039.23</v>
      </c>
    </row>
    <row r="178" spans="1:3" x14ac:dyDescent="0.2">
      <c r="A178" s="12" t="s">
        <v>407</v>
      </c>
      <c r="B178" s="13">
        <v>6322732.6900000004</v>
      </c>
      <c r="C178" s="13">
        <v>17739946.25</v>
      </c>
    </row>
    <row r="179" spans="1:3" x14ac:dyDescent="0.2">
      <c r="A179" s="12" t="s">
        <v>383</v>
      </c>
      <c r="B179" s="13">
        <v>290597.59999999998</v>
      </c>
      <c r="C179" s="13">
        <v>90320.5</v>
      </c>
    </row>
    <row r="180" spans="1:3" x14ac:dyDescent="0.2">
      <c r="A180" s="12" t="s">
        <v>307</v>
      </c>
      <c r="B180" s="13">
        <v>963763.94</v>
      </c>
      <c r="C180" s="13">
        <v>299777.11</v>
      </c>
    </row>
    <row r="181" spans="1:3" x14ac:dyDescent="0.2">
      <c r="A181" s="12" t="s">
        <v>371</v>
      </c>
      <c r="B181" s="13">
        <v>11520.82</v>
      </c>
      <c r="C181" s="13">
        <v>21491.279999999999</v>
      </c>
    </row>
    <row r="182" spans="1:3" x14ac:dyDescent="0.2">
      <c r="A182" s="12" t="s">
        <v>402</v>
      </c>
      <c r="B182" s="13">
        <v>682874.5</v>
      </c>
      <c r="C182" s="13">
        <v>236376.35</v>
      </c>
    </row>
    <row r="183" spans="1:3" x14ac:dyDescent="0.2">
      <c r="A183" s="12" t="s">
        <v>1</v>
      </c>
      <c r="B183" s="13" t="s">
        <v>466</v>
      </c>
      <c r="C183" s="13" t="s">
        <v>466</v>
      </c>
    </row>
    <row r="184" spans="1:3" x14ac:dyDescent="0.2">
      <c r="A184" s="12" t="s">
        <v>6</v>
      </c>
      <c r="B184" s="13">
        <v>156674002.69</v>
      </c>
      <c r="C184" s="13">
        <v>371239690.39999998</v>
      </c>
    </row>
    <row r="185" spans="1:3" x14ac:dyDescent="0.2">
      <c r="A185" s="12" t="s">
        <v>271</v>
      </c>
      <c r="B185" s="13">
        <v>128510647.5</v>
      </c>
      <c r="C185" s="13">
        <v>295893946.72000003</v>
      </c>
    </row>
    <row r="186" spans="1:3" x14ac:dyDescent="0.2">
      <c r="A186" s="12" t="s">
        <v>379</v>
      </c>
      <c r="B186" s="13">
        <v>28143856.239999998</v>
      </c>
      <c r="C186" s="13">
        <v>75338805.010000005</v>
      </c>
    </row>
    <row r="187" spans="1:3" x14ac:dyDescent="0.2">
      <c r="A187" s="12" t="s">
        <v>66</v>
      </c>
      <c r="B187" s="13">
        <v>19498.95</v>
      </c>
      <c r="C187" s="13">
        <v>6938.67</v>
      </c>
    </row>
    <row r="188" spans="1:3" x14ac:dyDescent="0.2">
      <c r="A188" s="12" t="s">
        <v>1</v>
      </c>
      <c r="B188" s="13" t="s">
        <v>466</v>
      </c>
      <c r="C188" s="13" t="s">
        <v>466</v>
      </c>
    </row>
    <row r="189" spans="1:3" x14ac:dyDescent="0.2">
      <c r="A189" s="16" t="s">
        <v>17</v>
      </c>
      <c r="B189" s="13">
        <v>1121.25</v>
      </c>
      <c r="C189" s="13">
        <v>375</v>
      </c>
    </row>
    <row r="190" spans="1:3" x14ac:dyDescent="0.2">
      <c r="A190" s="14" t="s">
        <v>7</v>
      </c>
      <c r="B190" s="15">
        <v>1121.25</v>
      </c>
      <c r="C190" s="15">
        <v>375</v>
      </c>
    </row>
    <row r="192" spans="1:3" x14ac:dyDescent="0.2">
      <c r="A192" s="7" t="s">
        <v>16</v>
      </c>
    </row>
  </sheetData>
  <mergeCells count="2">
    <mergeCell ref="A1:C2"/>
    <mergeCell ref="B4:C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84"/>
  <sheetViews>
    <sheetView workbookViewId="0">
      <selection activeCell="D1" sqref="D1:G1048576"/>
    </sheetView>
  </sheetViews>
  <sheetFormatPr baseColWidth="10" defaultRowHeight="15" x14ac:dyDescent="0.2"/>
  <cols>
    <col min="1" max="1" width="63.375" style="8" customWidth="1"/>
    <col min="2" max="3" width="20" style="9" customWidth="1"/>
    <col min="4" max="16384" width="11" style="8"/>
  </cols>
  <sheetData>
    <row r="1" spans="1:7" x14ac:dyDescent="0.2">
      <c r="A1" s="66" t="s">
        <v>251</v>
      </c>
      <c r="B1" s="66"/>
      <c r="C1" s="66"/>
    </row>
    <row r="2" spans="1:7" x14ac:dyDescent="0.2">
      <c r="A2" s="66"/>
      <c r="B2" s="66"/>
      <c r="C2" s="66"/>
    </row>
    <row r="3" spans="1:7" x14ac:dyDescent="0.2">
      <c r="A3" s="1"/>
      <c r="B3" s="1"/>
      <c r="C3" s="1"/>
    </row>
    <row r="4" spans="1:7" x14ac:dyDescent="0.2">
      <c r="A4" s="2"/>
      <c r="B4" s="67" t="s">
        <v>18</v>
      </c>
      <c r="C4" s="67"/>
    </row>
    <row r="5" spans="1:7" x14ac:dyDescent="0.2">
      <c r="A5" s="3" t="s">
        <v>465</v>
      </c>
      <c r="B5" s="4" t="s">
        <v>10</v>
      </c>
      <c r="C5" s="4" t="s">
        <v>11</v>
      </c>
    </row>
    <row r="6" spans="1:7" x14ac:dyDescent="0.2">
      <c r="A6" s="5"/>
      <c r="B6" s="6" t="s">
        <v>13</v>
      </c>
      <c r="C6" s="6" t="s">
        <v>14</v>
      </c>
    </row>
    <row r="8" spans="1:7" x14ac:dyDescent="0.2">
      <c r="A8" s="10" t="s">
        <v>0</v>
      </c>
      <c r="B8" s="11">
        <v>15243845942.879999</v>
      </c>
      <c r="C8" s="11">
        <v>29962249941.169998</v>
      </c>
    </row>
    <row r="9" spans="1:7" x14ac:dyDescent="0.2">
      <c r="A9" s="12" t="s">
        <v>1</v>
      </c>
      <c r="B9" s="13" t="s">
        <v>466</v>
      </c>
      <c r="C9" s="13" t="s">
        <v>466</v>
      </c>
    </row>
    <row r="10" spans="1:7" x14ac:dyDescent="0.2">
      <c r="A10" s="12" t="s">
        <v>2</v>
      </c>
      <c r="B10" s="13">
        <v>1647947480</v>
      </c>
      <c r="C10" s="13">
        <v>3337858980.21</v>
      </c>
      <c r="D10" s="70">
        <f>+B10/$B$8</f>
        <v>0.10810575534382864</v>
      </c>
      <c r="F10" s="8" t="str" cm="1">
        <f t="array" ref="F10:F152">+_xlfn.UNIQUE(A10:A155)</f>
        <v xml:space="preserve">   AFRICA</v>
      </c>
      <c r="G10" s="70">
        <f>+SUMIF(A10:A155,F10,D10:D155)</f>
        <v>0.10810575534382864</v>
      </c>
    </row>
    <row r="11" spans="1:7" x14ac:dyDescent="0.2">
      <c r="A11" s="12" t="s">
        <v>288</v>
      </c>
      <c r="B11" s="13">
        <v>2085250</v>
      </c>
      <c r="C11" s="13">
        <v>500000</v>
      </c>
      <c r="D11" s="70">
        <f t="shared" ref="D11:D74" si="0">+B11/$B$8</f>
        <v>1.3679290697463166E-4</v>
      </c>
      <c r="F11" s="8" t="str">
        <v>Burkina Faso</v>
      </c>
      <c r="G11" s="70">
        <f t="shared" ref="G11:G74" si="1">+SUMIF(A11:A156,F11,D11:D156)</f>
        <v>1.3679290697463166E-4</v>
      </c>
    </row>
    <row r="12" spans="1:7" x14ac:dyDescent="0.2">
      <c r="A12" s="12" t="s">
        <v>265</v>
      </c>
      <c r="B12" s="13">
        <v>313508762.23000002</v>
      </c>
      <c r="C12" s="13">
        <v>729859509.54999995</v>
      </c>
      <c r="D12" s="70">
        <f t="shared" si="0"/>
        <v>2.0566251023839015E-2</v>
      </c>
      <c r="F12" s="8" t="str">
        <v>Argelia</v>
      </c>
      <c r="G12" s="70">
        <f t="shared" si="1"/>
        <v>2.0566251023839015E-2</v>
      </c>
    </row>
    <row r="13" spans="1:7" x14ac:dyDescent="0.2">
      <c r="A13" s="12" t="s">
        <v>292</v>
      </c>
      <c r="B13" s="13">
        <v>4446201.0199999996</v>
      </c>
      <c r="C13" s="13">
        <v>3134288.86</v>
      </c>
      <c r="D13" s="70">
        <f t="shared" si="0"/>
        <v>2.9167186789083913E-4</v>
      </c>
      <c r="F13" s="8" t="str">
        <v>Camerún</v>
      </c>
      <c r="G13" s="70">
        <f t="shared" si="1"/>
        <v>2.9167186789083913E-4</v>
      </c>
    </row>
    <row r="14" spans="1:7" x14ac:dyDescent="0.2">
      <c r="A14" s="12" t="s">
        <v>301</v>
      </c>
      <c r="B14" s="13">
        <v>6852436.6699999999</v>
      </c>
      <c r="C14" s="13">
        <v>13451270.66</v>
      </c>
      <c r="D14" s="70">
        <f t="shared" si="0"/>
        <v>4.4952151154483382E-4</v>
      </c>
      <c r="F14" s="8" t="str">
        <v>Congo</v>
      </c>
      <c r="G14" s="70">
        <f t="shared" si="1"/>
        <v>4.4952151154483382E-4</v>
      </c>
    </row>
    <row r="15" spans="1:7" x14ac:dyDescent="0.2">
      <c r="A15" s="12" t="s">
        <v>300</v>
      </c>
      <c r="B15" s="13">
        <v>10331078.220000001</v>
      </c>
      <c r="C15" s="13">
        <v>14639233.48</v>
      </c>
      <c r="D15" s="70">
        <f t="shared" si="0"/>
        <v>6.7772124296660034E-4</v>
      </c>
      <c r="F15" s="8" t="str">
        <v>Rep. Democrática del Congo (ex Zaire)</v>
      </c>
      <c r="G15" s="70">
        <f t="shared" si="1"/>
        <v>6.7772124296660034E-4</v>
      </c>
    </row>
    <row r="16" spans="1:7" x14ac:dyDescent="0.2">
      <c r="A16" s="12" t="s">
        <v>303</v>
      </c>
      <c r="B16" s="13">
        <v>13806554.82</v>
      </c>
      <c r="C16" s="13">
        <v>21552278.170000002</v>
      </c>
      <c r="D16" s="70">
        <f t="shared" si="0"/>
        <v>9.0571335289889104E-4</v>
      </c>
      <c r="F16" s="8" t="str">
        <v>Costa de Marfil</v>
      </c>
      <c r="G16" s="70">
        <f t="shared" si="1"/>
        <v>9.0571335289889104E-4</v>
      </c>
    </row>
    <row r="17" spans="1:7" x14ac:dyDescent="0.2">
      <c r="A17" s="12" t="s">
        <v>295</v>
      </c>
      <c r="B17" s="13">
        <v>180000</v>
      </c>
      <c r="C17" s="13">
        <v>50000</v>
      </c>
      <c r="D17" s="70">
        <f t="shared" si="0"/>
        <v>1.1808043762346817E-5</v>
      </c>
      <c r="F17" s="8" t="str">
        <v>Chad</v>
      </c>
      <c r="G17" s="70">
        <f t="shared" si="1"/>
        <v>1.1808043762346817E-5</v>
      </c>
    </row>
    <row r="18" spans="1:7" x14ac:dyDescent="0.2">
      <c r="A18" s="12" t="s">
        <v>281</v>
      </c>
      <c r="B18" s="13">
        <v>389563.4</v>
      </c>
      <c r="C18" s="13">
        <v>186392.18</v>
      </c>
      <c r="D18" s="70">
        <f t="shared" si="0"/>
        <v>2.55554537522701E-5</v>
      </c>
      <c r="F18" s="8" t="str">
        <v>Benin</v>
      </c>
      <c r="G18" s="70">
        <f t="shared" si="1"/>
        <v>2.55554537522701E-5</v>
      </c>
    </row>
    <row r="19" spans="1:7" x14ac:dyDescent="0.2">
      <c r="A19" s="12" t="s">
        <v>313</v>
      </c>
      <c r="B19" s="13">
        <v>429676731.63</v>
      </c>
      <c r="C19" s="13">
        <v>634441567.37</v>
      </c>
      <c r="D19" s="70">
        <f t="shared" si="0"/>
        <v>2.8186898059717715E-2</v>
      </c>
      <c r="F19" s="8" t="str">
        <v>Egipto</v>
      </c>
      <c r="G19" s="70">
        <f t="shared" si="1"/>
        <v>2.8186898059717715E-2</v>
      </c>
    </row>
    <row r="20" spans="1:7" x14ac:dyDescent="0.2">
      <c r="A20" s="12" t="s">
        <v>321</v>
      </c>
      <c r="B20" s="13">
        <v>1175858.8799999999</v>
      </c>
      <c r="C20" s="13">
        <v>511433.73</v>
      </c>
      <c r="D20" s="70">
        <f t="shared" si="0"/>
        <v>7.713662840768952E-5</v>
      </c>
      <c r="F20" s="8" t="str">
        <v>Gabón</v>
      </c>
      <c r="G20" s="70">
        <f t="shared" si="1"/>
        <v>7.713662840768952E-5</v>
      </c>
    </row>
    <row r="21" spans="1:7" x14ac:dyDescent="0.2">
      <c r="A21" s="12" t="s">
        <v>322</v>
      </c>
      <c r="B21" s="13">
        <v>143095.16</v>
      </c>
      <c r="C21" s="13">
        <v>314021</v>
      </c>
      <c r="D21" s="70">
        <f t="shared" si="0"/>
        <v>9.3870772858889992E-6</v>
      </c>
      <c r="F21" s="8" t="str">
        <v>Gambia</v>
      </c>
      <c r="G21" s="70">
        <f t="shared" si="1"/>
        <v>9.3870772858889992E-6</v>
      </c>
    </row>
    <row r="22" spans="1:7" x14ac:dyDescent="0.2">
      <c r="A22" s="12" t="s">
        <v>325</v>
      </c>
      <c r="B22" s="13">
        <v>6988224.21</v>
      </c>
      <c r="C22" s="13">
        <v>15781799.060000001</v>
      </c>
      <c r="D22" s="70">
        <f t="shared" si="0"/>
        <v>4.5842920718206393E-4</v>
      </c>
      <c r="F22" s="8" t="str">
        <v>Ghana</v>
      </c>
      <c r="G22" s="70">
        <f t="shared" si="1"/>
        <v>4.5842920718206393E-4</v>
      </c>
    </row>
    <row r="23" spans="1:7" x14ac:dyDescent="0.2">
      <c r="A23" s="12" t="s">
        <v>329</v>
      </c>
      <c r="B23" s="13">
        <v>523220.08</v>
      </c>
      <c r="C23" s="13">
        <v>127940.15</v>
      </c>
      <c r="D23" s="70">
        <f t="shared" si="0"/>
        <v>3.4323364455436679E-5</v>
      </c>
      <c r="F23" s="8" t="str">
        <v>Guinea</v>
      </c>
      <c r="G23" s="70">
        <f t="shared" si="1"/>
        <v>3.4323364455436679E-5</v>
      </c>
    </row>
    <row r="24" spans="1:7" x14ac:dyDescent="0.2">
      <c r="A24" s="12" t="s">
        <v>330</v>
      </c>
      <c r="B24" s="13">
        <v>254920.7</v>
      </c>
      <c r="C24" s="13">
        <v>156317.9</v>
      </c>
      <c r="D24" s="70">
        <f t="shared" si="0"/>
        <v>1.6722859897378244E-5</v>
      </c>
      <c r="F24" s="8" t="str">
        <v>Guinea Ecuatorial</v>
      </c>
      <c r="G24" s="70">
        <f t="shared" si="1"/>
        <v>1.6722859897378244E-5</v>
      </c>
    </row>
    <row r="25" spans="1:7" x14ac:dyDescent="0.2">
      <c r="A25" s="12" t="s">
        <v>349</v>
      </c>
      <c r="B25" s="13">
        <v>14869196.91</v>
      </c>
      <c r="C25" s="13">
        <v>48590552.770000003</v>
      </c>
      <c r="D25" s="70">
        <f t="shared" si="0"/>
        <v>9.7542293235684482E-4</v>
      </c>
      <c r="F25" s="8" t="str">
        <v>Kenya</v>
      </c>
      <c r="G25" s="70">
        <f t="shared" si="1"/>
        <v>9.7542293235684482E-4</v>
      </c>
    </row>
    <row r="26" spans="1:7" x14ac:dyDescent="0.2">
      <c r="A26" s="12" t="s">
        <v>355</v>
      </c>
      <c r="B26" s="13">
        <v>883473.39</v>
      </c>
      <c r="C26" s="13">
        <v>224610.56</v>
      </c>
      <c r="D26" s="70">
        <f t="shared" si="0"/>
        <v>5.7956069177716092E-5</v>
      </c>
      <c r="F26" s="8" t="str">
        <v>Liberia</v>
      </c>
      <c r="G26" s="70">
        <f t="shared" si="1"/>
        <v>5.7956069177716092E-5</v>
      </c>
    </row>
    <row r="27" spans="1:7" x14ac:dyDescent="0.2">
      <c r="A27" s="12" t="s">
        <v>356</v>
      </c>
      <c r="B27" s="13">
        <v>28528884.739999998</v>
      </c>
      <c r="C27" s="13">
        <v>97276038.299999997</v>
      </c>
      <c r="D27" s="70">
        <f t="shared" si="0"/>
        <v>1.8715017750048236E-3</v>
      </c>
      <c r="F27" s="8" t="str">
        <v>Libia</v>
      </c>
      <c r="G27" s="70">
        <f t="shared" si="1"/>
        <v>1.8715017750048236E-3</v>
      </c>
    </row>
    <row r="28" spans="1:7" x14ac:dyDescent="0.2">
      <c r="A28" s="12" t="s">
        <v>360</v>
      </c>
      <c r="B28" s="13">
        <v>15626710.34</v>
      </c>
      <c r="C28" s="13">
        <v>23369629.989999998</v>
      </c>
      <c r="D28" s="70">
        <f t="shared" si="0"/>
        <v>1.0251159975346528E-3</v>
      </c>
      <c r="F28" s="8" t="str">
        <v>Madagascar</v>
      </c>
      <c r="G28" s="70">
        <f t="shared" si="1"/>
        <v>1.0251159975346528E-3</v>
      </c>
    </row>
    <row r="29" spans="1:7" x14ac:dyDescent="0.2">
      <c r="A29" s="12" t="s">
        <v>361</v>
      </c>
      <c r="B29" s="13">
        <v>931444.11</v>
      </c>
      <c r="C29" s="13">
        <v>2393368.1</v>
      </c>
      <c r="D29" s="70">
        <f t="shared" si="0"/>
        <v>6.1102960072556569E-5</v>
      </c>
      <c r="F29" s="8" t="str">
        <v>Malawi</v>
      </c>
      <c r="G29" s="70">
        <f t="shared" si="1"/>
        <v>6.1102960072556569E-5</v>
      </c>
    </row>
    <row r="30" spans="1:7" x14ac:dyDescent="0.2">
      <c r="A30" s="12" t="s">
        <v>364</v>
      </c>
      <c r="B30" s="13">
        <v>215786.74</v>
      </c>
      <c r="C30" s="13">
        <v>68269.7</v>
      </c>
      <c r="D30" s="70">
        <f t="shared" si="0"/>
        <v>1.4155662606967523E-5</v>
      </c>
      <c r="F30" s="8" t="str">
        <v>Mali</v>
      </c>
      <c r="G30" s="70">
        <f t="shared" si="1"/>
        <v>1.4155662606967523E-5</v>
      </c>
    </row>
    <row r="31" spans="1:7" x14ac:dyDescent="0.2">
      <c r="A31" s="12" t="s">
        <v>372</v>
      </c>
      <c r="B31" s="13">
        <v>156965459.44</v>
      </c>
      <c r="C31" s="13">
        <v>287076320.64999998</v>
      </c>
      <c r="D31" s="70">
        <f t="shared" si="0"/>
        <v>1.0296972301357746E-2</v>
      </c>
      <c r="F31" s="8" t="str">
        <v>Marruecos</v>
      </c>
      <c r="G31" s="70">
        <f t="shared" si="1"/>
        <v>1.0296972301357746E-2</v>
      </c>
    </row>
    <row r="32" spans="1:7" x14ac:dyDescent="0.2">
      <c r="A32" s="12" t="s">
        <v>367</v>
      </c>
      <c r="B32" s="13">
        <v>8429098.6300000008</v>
      </c>
      <c r="C32" s="13">
        <v>22992058.16</v>
      </c>
      <c r="D32" s="70">
        <f t="shared" si="0"/>
        <v>5.5295091944543111E-4</v>
      </c>
      <c r="F32" s="8" t="str">
        <v>Mauricio</v>
      </c>
      <c r="G32" s="70">
        <f t="shared" si="1"/>
        <v>5.5295091944543111E-4</v>
      </c>
    </row>
    <row r="33" spans="1:7" x14ac:dyDescent="0.2">
      <c r="A33" s="12" t="s">
        <v>366</v>
      </c>
      <c r="B33" s="13">
        <v>558441.56000000006</v>
      </c>
      <c r="C33" s="13">
        <v>869961.28</v>
      </c>
      <c r="D33" s="70">
        <f t="shared" si="0"/>
        <v>3.6633902106629034E-5</v>
      </c>
      <c r="F33" s="8" t="str">
        <v>Mauritania</v>
      </c>
      <c r="G33" s="70">
        <f t="shared" si="1"/>
        <v>3.6633902106629034E-5</v>
      </c>
    </row>
    <row r="34" spans="1:7" x14ac:dyDescent="0.2">
      <c r="A34" s="12" t="s">
        <v>381</v>
      </c>
      <c r="B34" s="13">
        <v>8485066.4000000004</v>
      </c>
      <c r="C34" s="13">
        <v>2075536</v>
      </c>
      <c r="D34" s="70">
        <f t="shared" si="0"/>
        <v>5.5662241876454756E-4</v>
      </c>
      <c r="F34" s="8" t="str">
        <v>Níger</v>
      </c>
      <c r="G34" s="70">
        <f t="shared" si="1"/>
        <v>5.5662241876454756E-4</v>
      </c>
    </row>
    <row r="35" spans="1:7" x14ac:dyDescent="0.2">
      <c r="A35" s="12" t="s">
        <v>382</v>
      </c>
      <c r="B35" s="13">
        <v>30024071.949999999</v>
      </c>
      <c r="C35" s="13">
        <v>62240992.649999999</v>
      </c>
      <c r="D35" s="70">
        <f t="shared" si="0"/>
        <v>1.9695864194969417E-3</v>
      </c>
      <c r="F35" s="8" t="str">
        <v>Nigeria</v>
      </c>
      <c r="G35" s="70">
        <f t="shared" si="1"/>
        <v>1.9695864194969417E-3</v>
      </c>
    </row>
    <row r="36" spans="1:7" x14ac:dyDescent="0.2">
      <c r="A36" s="12" t="s">
        <v>439</v>
      </c>
      <c r="B36" s="13">
        <v>43329.279999999999</v>
      </c>
      <c r="C36" s="13">
        <v>8879</v>
      </c>
      <c r="D36" s="70">
        <f t="shared" si="0"/>
        <v>2.8424113023943258E-6</v>
      </c>
      <c r="F36" s="8" t="str">
        <v>Zimbabwe</v>
      </c>
      <c r="G36" s="70">
        <f t="shared" si="1"/>
        <v>2.8424113023943258E-6</v>
      </c>
    </row>
    <row r="37" spans="1:7" x14ac:dyDescent="0.2">
      <c r="A37" s="12" t="s">
        <v>398</v>
      </c>
      <c r="B37" s="13">
        <v>7170288.6399999997</v>
      </c>
      <c r="C37" s="13">
        <v>5399162</v>
      </c>
      <c r="D37" s="70">
        <f t="shared" si="0"/>
        <v>4.7037267805432351E-4</v>
      </c>
      <c r="F37" s="8" t="str">
        <v>Rwanda</v>
      </c>
      <c r="G37" s="70">
        <f t="shared" si="1"/>
        <v>4.7037267805432351E-4</v>
      </c>
    </row>
    <row r="38" spans="1:7" x14ac:dyDescent="0.2">
      <c r="A38" s="12" t="s">
        <v>401</v>
      </c>
      <c r="B38" s="13">
        <v>46882186.649999999</v>
      </c>
      <c r="C38" s="13">
        <v>60058516.869999997</v>
      </c>
      <c r="D38" s="70">
        <f t="shared" si="0"/>
        <v>3.0754828424317316E-3</v>
      </c>
      <c r="F38" s="8" t="str">
        <v>Senegal</v>
      </c>
      <c r="G38" s="70">
        <f t="shared" si="1"/>
        <v>3.0754828424317316E-3</v>
      </c>
    </row>
    <row r="39" spans="1:7" x14ac:dyDescent="0.2">
      <c r="A39" s="12" t="s">
        <v>404</v>
      </c>
      <c r="B39" s="13">
        <v>591136.94999999995</v>
      </c>
      <c r="C39" s="13">
        <v>859970.3</v>
      </c>
      <c r="D39" s="70">
        <f t="shared" si="0"/>
        <v>3.8778727639667893E-5</v>
      </c>
      <c r="F39" s="8" t="str">
        <v>Sierra Leona</v>
      </c>
      <c r="G39" s="70">
        <f t="shared" si="1"/>
        <v>3.8778727639667893E-5</v>
      </c>
    </row>
    <row r="40" spans="1:7" x14ac:dyDescent="0.2">
      <c r="A40" s="12" t="s">
        <v>416</v>
      </c>
      <c r="B40" s="13">
        <v>706935.21</v>
      </c>
      <c r="C40" s="13">
        <v>343544.57</v>
      </c>
      <c r="D40" s="70">
        <f t="shared" si="0"/>
        <v>4.6375121649021317E-5</v>
      </c>
      <c r="F40" s="8" t="str">
        <v>Sudán</v>
      </c>
      <c r="G40" s="70">
        <f t="shared" si="1"/>
        <v>4.6375121649021317E-5</v>
      </c>
    </row>
    <row r="41" spans="1:7" x14ac:dyDescent="0.2">
      <c r="A41" s="12" t="s">
        <v>422</v>
      </c>
      <c r="B41" s="13">
        <v>8522073.0700000003</v>
      </c>
      <c r="C41" s="13">
        <v>22890440.399999999</v>
      </c>
      <c r="D41" s="70">
        <f t="shared" si="0"/>
        <v>5.5905006531376271E-4</v>
      </c>
      <c r="F41" s="8" t="str">
        <v>Tanzania</v>
      </c>
      <c r="G41" s="70">
        <f t="shared" si="1"/>
        <v>5.5905006531376271E-4</v>
      </c>
    </row>
    <row r="42" spans="1:7" x14ac:dyDescent="0.2">
      <c r="A42" s="12" t="s">
        <v>424</v>
      </c>
      <c r="B42" s="13">
        <v>3387170.31</v>
      </c>
      <c r="C42" s="13">
        <v>1019528.67</v>
      </c>
      <c r="D42" s="70">
        <f t="shared" si="0"/>
        <v>2.2219919583889907E-4</v>
      </c>
      <c r="F42" s="8" t="str">
        <v>Togo</v>
      </c>
      <c r="G42" s="70">
        <f t="shared" si="1"/>
        <v>2.2219919583889907E-4</v>
      </c>
    </row>
    <row r="43" spans="1:7" x14ac:dyDescent="0.2">
      <c r="A43" s="12" t="s">
        <v>426</v>
      </c>
      <c r="B43" s="13">
        <v>199064807.05000001</v>
      </c>
      <c r="C43" s="13">
        <v>436660914.73000002</v>
      </c>
      <c r="D43" s="70">
        <f t="shared" si="0"/>
        <v>1.3058699739941807E-2</v>
      </c>
      <c r="F43" s="8" t="str">
        <v>Túnez</v>
      </c>
      <c r="G43" s="70">
        <f t="shared" si="1"/>
        <v>1.3058699739941807E-2</v>
      </c>
    </row>
    <row r="44" spans="1:7" x14ac:dyDescent="0.2">
      <c r="A44" s="12" t="s">
        <v>428</v>
      </c>
      <c r="B44" s="13">
        <v>924463.91</v>
      </c>
      <c r="C44" s="13">
        <v>3091300</v>
      </c>
      <c r="D44" s="70">
        <f t="shared" si="0"/>
        <v>6.0645057255501385E-5</v>
      </c>
      <c r="F44" s="8" t="str">
        <v>Uganda</v>
      </c>
      <c r="G44" s="70">
        <f t="shared" si="1"/>
        <v>6.0645057255501385E-5</v>
      </c>
    </row>
    <row r="45" spans="1:7" x14ac:dyDescent="0.2">
      <c r="A45" s="12" t="s">
        <v>438</v>
      </c>
      <c r="B45" s="13">
        <v>105031</v>
      </c>
      <c r="C45" s="13">
        <v>25158</v>
      </c>
      <c r="D45" s="70">
        <f t="shared" si="0"/>
        <v>6.8900591355724918E-6</v>
      </c>
      <c r="F45" s="8" t="str">
        <v>Zambia</v>
      </c>
      <c r="G45" s="70">
        <f t="shared" si="1"/>
        <v>6.8900591355724918E-6</v>
      </c>
    </row>
    <row r="46" spans="1:7" x14ac:dyDescent="0.2">
      <c r="A46" s="12" t="s">
        <v>65</v>
      </c>
      <c r="B46" s="13">
        <v>618616.79</v>
      </c>
      <c r="C46" s="13">
        <v>62220.82</v>
      </c>
      <c r="D46" s="70">
        <f t="shared" si="0"/>
        <v>4.0581411824680616E-5</v>
      </c>
      <c r="F46" s="8" t="str">
        <v>Territorios vinculados a España</v>
      </c>
      <c r="G46" s="70">
        <f t="shared" si="1"/>
        <v>4.0581411824680616E-5</v>
      </c>
    </row>
    <row r="47" spans="1:7" x14ac:dyDescent="0.2">
      <c r="A47" s="12" t="s">
        <v>66</v>
      </c>
      <c r="B47" s="13">
        <v>9110759.6799999997</v>
      </c>
      <c r="C47" s="13">
        <v>31196200</v>
      </c>
      <c r="D47" s="70">
        <f t="shared" si="0"/>
        <v>5.976680500536937E-4</v>
      </c>
      <c r="F47" s="8" t="str">
        <v>Territorios vinculados a Francia</v>
      </c>
      <c r="G47" s="70">
        <f t="shared" si="1"/>
        <v>6.0291346517397362E-4</v>
      </c>
    </row>
    <row r="48" spans="1:7" x14ac:dyDescent="0.2">
      <c r="A48" s="12" t="s">
        <v>267</v>
      </c>
      <c r="B48" s="13">
        <v>10673354.939999999</v>
      </c>
      <c r="C48" s="13">
        <v>10111252.939999999</v>
      </c>
      <c r="D48" s="70">
        <f t="shared" si="0"/>
        <v>7.0017467901433653E-4</v>
      </c>
      <c r="F48" s="8" t="str">
        <v>Angola</v>
      </c>
      <c r="G48" s="70"/>
    </row>
    <row r="49" spans="1:7" x14ac:dyDescent="0.2">
      <c r="A49" s="12" t="s">
        <v>290</v>
      </c>
      <c r="B49" s="13">
        <v>751304.93</v>
      </c>
      <c r="C49" s="13">
        <v>3107391.94</v>
      </c>
      <c r="D49" s="70">
        <f t="shared" si="0"/>
        <v>4.9285786068371737E-5</v>
      </c>
      <c r="F49" s="8" t="str">
        <v>Cabo Verde</v>
      </c>
      <c r="G49" s="70">
        <f t="shared" si="1"/>
        <v>4.9285786068371737E-5</v>
      </c>
    </row>
    <row r="50" spans="1:7" x14ac:dyDescent="0.2">
      <c r="A50" s="12" t="s">
        <v>373</v>
      </c>
      <c r="B50" s="13">
        <v>20876855.079999998</v>
      </c>
      <c r="C50" s="13">
        <v>37665073.579999998</v>
      </c>
      <c r="D50" s="70">
        <f t="shared" si="0"/>
        <v>1.3695267689156246E-3</v>
      </c>
      <c r="F50" s="8" t="str">
        <v>Mozambique</v>
      </c>
      <c r="G50" s="70">
        <f t="shared" si="1"/>
        <v>1.3695267689156246E-3</v>
      </c>
    </row>
    <row r="51" spans="1:7" x14ac:dyDescent="0.2">
      <c r="A51" s="12" t="s">
        <v>309</v>
      </c>
      <c r="B51" s="13">
        <v>115083.53</v>
      </c>
      <c r="C51" s="13">
        <v>237727.8</v>
      </c>
      <c r="D51" s="70">
        <f t="shared" si="0"/>
        <v>7.5495075475852928E-6</v>
      </c>
      <c r="F51" s="8" t="str">
        <v>Djibouti</v>
      </c>
      <c r="G51" s="70">
        <f t="shared" si="1"/>
        <v>7.5495075475852928E-6</v>
      </c>
    </row>
    <row r="52" spans="1:7" x14ac:dyDescent="0.2">
      <c r="A52" s="12" t="s">
        <v>299</v>
      </c>
      <c r="B52" s="13">
        <v>20390.16</v>
      </c>
      <c r="C52" s="13">
        <v>26323.200000000001</v>
      </c>
      <c r="D52" s="70">
        <f t="shared" si="0"/>
        <v>1.3375994533402975E-6</v>
      </c>
      <c r="F52" s="8" t="str">
        <v>Comoras</v>
      </c>
      <c r="G52" s="70">
        <f t="shared" si="1"/>
        <v>1.3375994533402975E-6</v>
      </c>
    </row>
    <row r="53" spans="1:7" x14ac:dyDescent="0.2">
      <c r="A53" s="12" t="s">
        <v>375</v>
      </c>
      <c r="B53" s="13">
        <v>1016195.26</v>
      </c>
      <c r="C53" s="13">
        <v>2890298</v>
      </c>
      <c r="D53" s="70">
        <f t="shared" si="0"/>
        <v>6.6662656117607788E-5</v>
      </c>
      <c r="F53" s="8" t="str">
        <v>Namibia</v>
      </c>
      <c r="G53" s="70">
        <f t="shared" si="1"/>
        <v>6.6662656117607788E-5</v>
      </c>
    </row>
    <row r="54" spans="1:7" x14ac:dyDescent="0.2">
      <c r="A54" s="12" t="s">
        <v>409</v>
      </c>
      <c r="B54" s="13">
        <v>281487465.93000001</v>
      </c>
      <c r="C54" s="13">
        <v>740321663.12</v>
      </c>
      <c r="D54" s="70">
        <f t="shared" si="0"/>
        <v>1.8465646201408604E-2</v>
      </c>
      <c r="F54" s="8" t="str">
        <v>Sudáfrica</v>
      </c>
      <c r="G54" s="70">
        <f t="shared" si="1"/>
        <v>1.8465646201408604E-2</v>
      </c>
    </row>
    <row r="55" spans="1:7" x14ac:dyDescent="0.2">
      <c r="A55" s="12" t="s">
        <v>317</v>
      </c>
      <c r="B55" s="13">
        <v>500.4</v>
      </c>
      <c r="C55" s="13">
        <v>24</v>
      </c>
      <c r="D55" s="70">
        <f t="shared" si="0"/>
        <v>3.2826361659324151E-8</v>
      </c>
      <c r="F55" s="8" t="str">
        <v>Etiopía</v>
      </c>
      <c r="G55" s="70">
        <f t="shared" si="1"/>
        <v>3.2826361659324151E-8</v>
      </c>
    </row>
    <row r="56" spans="1:7" x14ac:dyDescent="0.2">
      <c r="A56" s="12" t="s">
        <v>1</v>
      </c>
      <c r="B56" s="13" t="s">
        <v>466</v>
      </c>
      <c r="C56" s="13" t="s">
        <v>466</v>
      </c>
      <c r="D56" s="70" t="e">
        <f t="shared" si="0"/>
        <v>#VALUE!</v>
      </c>
      <c r="F56" s="8" t="str">
        <v xml:space="preserve">   </v>
      </c>
      <c r="G56" s="70" t="e">
        <f t="shared" si="1"/>
        <v>#VALUE!</v>
      </c>
    </row>
    <row r="57" spans="1:7" x14ac:dyDescent="0.2">
      <c r="A57" s="12" t="s">
        <v>3</v>
      </c>
      <c r="B57" s="13">
        <v>4243434775.1399999</v>
      </c>
      <c r="C57" s="13">
        <v>4504157072.2200003</v>
      </c>
      <c r="D57" s="70">
        <f t="shared" si="0"/>
        <v>0.27837035293065243</v>
      </c>
      <c r="F57" s="8" t="str">
        <v xml:space="preserve">   AMERICA</v>
      </c>
      <c r="G57" s="70">
        <f t="shared" si="1"/>
        <v>0.27837035293065243</v>
      </c>
    </row>
    <row r="58" spans="1:7" x14ac:dyDescent="0.2">
      <c r="A58" s="12" t="s">
        <v>277</v>
      </c>
      <c r="B58" s="13">
        <v>1042055.75</v>
      </c>
      <c r="C58" s="13">
        <v>272941.71999999997</v>
      </c>
      <c r="D58" s="70">
        <f t="shared" si="0"/>
        <v>6.8359110548917406E-5</v>
      </c>
      <c r="F58" s="8" t="str">
        <v>Barbados</v>
      </c>
      <c r="G58" s="70">
        <f t="shared" si="1"/>
        <v>6.8359110548917406E-5</v>
      </c>
    </row>
    <row r="59" spans="1:7" x14ac:dyDescent="0.2">
      <c r="A59" s="12" t="s">
        <v>282</v>
      </c>
      <c r="B59" s="13">
        <v>79743380.950000003</v>
      </c>
      <c r="C59" s="13">
        <v>78727122.540000007</v>
      </c>
      <c r="D59" s="70">
        <f t="shared" si="0"/>
        <v>5.2311851778616301E-3</v>
      </c>
      <c r="F59" s="8" t="str">
        <v>Bolivia</v>
      </c>
      <c r="G59" s="70">
        <f t="shared" si="1"/>
        <v>5.2311851778616301E-3</v>
      </c>
    </row>
    <row r="60" spans="1:7" x14ac:dyDescent="0.2">
      <c r="A60" s="12" t="s">
        <v>285</v>
      </c>
      <c r="B60" s="13">
        <v>1528960292.53</v>
      </c>
      <c r="C60" s="13">
        <v>1356824894.28</v>
      </c>
      <c r="D60" s="70">
        <f t="shared" si="0"/>
        <v>0.10030016691713795</v>
      </c>
      <c r="F60" s="8" t="str">
        <v>Brasil</v>
      </c>
      <c r="G60" s="70">
        <f t="shared" si="1"/>
        <v>0.10030016691713795</v>
      </c>
    </row>
    <row r="61" spans="1:7" x14ac:dyDescent="0.2">
      <c r="A61" s="12" t="s">
        <v>293</v>
      </c>
      <c r="B61" s="13">
        <v>16671456.460000001</v>
      </c>
      <c r="C61" s="13">
        <v>3592704.69</v>
      </c>
      <c r="D61" s="70">
        <f t="shared" si="0"/>
        <v>1.0936515970096641E-3</v>
      </c>
      <c r="F61" s="8" t="str">
        <v>Canadá</v>
      </c>
      <c r="G61" s="70">
        <f t="shared" si="1"/>
        <v>1.0936515970096641E-3</v>
      </c>
    </row>
    <row r="62" spans="1:7" x14ac:dyDescent="0.2">
      <c r="A62" s="12" t="s">
        <v>298</v>
      </c>
      <c r="B62" s="13">
        <v>175638865.56999999</v>
      </c>
      <c r="C62" s="13">
        <v>407102902.50999999</v>
      </c>
      <c r="D62" s="70">
        <f t="shared" si="0"/>
        <v>1.152195228344172E-2</v>
      </c>
      <c r="F62" s="8" t="str">
        <v>Colombia</v>
      </c>
      <c r="G62" s="70">
        <f t="shared" si="1"/>
        <v>1.152195228344172E-2</v>
      </c>
    </row>
    <row r="63" spans="1:7" x14ac:dyDescent="0.2">
      <c r="A63" s="12" t="s">
        <v>302</v>
      </c>
      <c r="B63" s="13">
        <v>4226630.47</v>
      </c>
      <c r="C63" s="13">
        <v>569541.34</v>
      </c>
      <c r="D63" s="70">
        <f t="shared" si="0"/>
        <v>2.7726798642793607E-4</v>
      </c>
      <c r="F63" s="8" t="str">
        <v>Costa Rica</v>
      </c>
      <c r="G63" s="70">
        <f t="shared" si="1"/>
        <v>2.7726798642793607E-4</v>
      </c>
    </row>
    <row r="64" spans="1:7" x14ac:dyDescent="0.2">
      <c r="A64" s="12" t="s">
        <v>442</v>
      </c>
      <c r="B64" s="13">
        <v>7002903.4699999997</v>
      </c>
      <c r="C64" s="13">
        <v>1599292.41</v>
      </c>
      <c r="D64" s="70">
        <f t="shared" si="0"/>
        <v>4.593921702069465E-4</v>
      </c>
      <c r="F64" s="8" t="str">
        <v>Cuba</v>
      </c>
      <c r="G64" s="70">
        <f t="shared" si="1"/>
        <v>4.593921702069465E-4</v>
      </c>
    </row>
    <row r="65" spans="1:7" x14ac:dyDescent="0.2">
      <c r="A65" s="12" t="s">
        <v>296</v>
      </c>
      <c r="B65" s="13">
        <v>392912279.38</v>
      </c>
      <c r="C65" s="13">
        <v>705862426.49000001</v>
      </c>
      <c r="D65" s="70">
        <f t="shared" si="0"/>
        <v>2.5775141053791549E-2</v>
      </c>
      <c r="F65" s="8" t="str">
        <v>Chile</v>
      </c>
      <c r="G65" s="70">
        <f t="shared" si="1"/>
        <v>2.5775141053791549E-2</v>
      </c>
    </row>
    <row r="66" spans="1:7" x14ac:dyDescent="0.2">
      <c r="A66" s="12" t="s">
        <v>311</v>
      </c>
      <c r="B66" s="13">
        <v>87572628.209999993</v>
      </c>
      <c r="C66" s="13">
        <v>65184785.450000003</v>
      </c>
      <c r="D66" s="70">
        <f t="shared" si="0"/>
        <v>5.7447857015967075E-3</v>
      </c>
      <c r="F66" s="8" t="str">
        <v>República Dominicana</v>
      </c>
      <c r="G66" s="70">
        <f t="shared" si="1"/>
        <v>5.7447857015967075E-3</v>
      </c>
    </row>
    <row r="67" spans="1:7" x14ac:dyDescent="0.2">
      <c r="A67" s="12" t="s">
        <v>312</v>
      </c>
      <c r="B67" s="13">
        <v>174369447.66</v>
      </c>
      <c r="C67" s="13">
        <v>306261117.57999998</v>
      </c>
      <c r="D67" s="70">
        <f t="shared" si="0"/>
        <v>1.143867815991957E-2</v>
      </c>
      <c r="F67" s="8" t="str">
        <v>Ecuador</v>
      </c>
      <c r="G67" s="70">
        <f t="shared" si="1"/>
        <v>1.143867815991957E-2</v>
      </c>
    </row>
    <row r="68" spans="1:7" x14ac:dyDescent="0.2">
      <c r="A68" s="12" t="s">
        <v>314</v>
      </c>
      <c r="B68" s="13">
        <v>2033655.2</v>
      </c>
      <c r="C68" s="13">
        <v>506396.44</v>
      </c>
      <c r="D68" s="70">
        <f t="shared" si="0"/>
        <v>1.3340827555068983E-4</v>
      </c>
      <c r="F68" s="8" t="str">
        <v>El Salvador</v>
      </c>
      <c r="G68" s="70">
        <f t="shared" si="1"/>
        <v>1.3340827555068983E-4</v>
      </c>
    </row>
    <row r="69" spans="1:7" x14ac:dyDescent="0.2">
      <c r="A69" s="12" t="s">
        <v>432</v>
      </c>
      <c r="B69" s="13">
        <v>360455481.05000001</v>
      </c>
      <c r="C69" s="13">
        <v>187773950.03999999</v>
      </c>
      <c r="D69" s="70">
        <f t="shared" si="0"/>
        <v>2.3645967192312076E-2</v>
      </c>
      <c r="F69" s="8" t="str">
        <v>Estados Unidos</v>
      </c>
      <c r="G69" s="70">
        <f t="shared" si="1"/>
        <v>2.3645967192312076E-2</v>
      </c>
    </row>
    <row r="70" spans="1:7" x14ac:dyDescent="0.2">
      <c r="A70" s="12" t="s">
        <v>328</v>
      </c>
      <c r="B70" s="13">
        <v>29755235.629999999</v>
      </c>
      <c r="C70" s="13">
        <v>27989060.800000001</v>
      </c>
      <c r="D70" s="70">
        <f t="shared" si="0"/>
        <v>1.9519506915443403E-3</v>
      </c>
      <c r="F70" s="8" t="str">
        <v>Guatemala</v>
      </c>
      <c r="G70" s="70">
        <f t="shared" si="1"/>
        <v>1.9519506915443403E-3</v>
      </c>
    </row>
    <row r="71" spans="1:7" x14ac:dyDescent="0.2">
      <c r="A71" s="12" t="s">
        <v>332</v>
      </c>
      <c r="B71" s="13">
        <v>672053.25</v>
      </c>
      <c r="C71" s="13">
        <v>1588528.68</v>
      </c>
      <c r="D71" s="70">
        <f t="shared" si="0"/>
        <v>4.4086856592374476E-5</v>
      </c>
      <c r="F71" s="8" t="str">
        <v>Guyana</v>
      </c>
      <c r="G71" s="70">
        <f t="shared" si="1"/>
        <v>4.4086856592374476E-5</v>
      </c>
    </row>
    <row r="72" spans="1:7" x14ac:dyDescent="0.2">
      <c r="A72" s="12" t="s">
        <v>333</v>
      </c>
      <c r="B72" s="13">
        <v>1298507.17</v>
      </c>
      <c r="C72" s="13">
        <v>1151523.1499999999</v>
      </c>
      <c r="D72" s="70">
        <f t="shared" si="0"/>
        <v>8.5182386050450652E-5</v>
      </c>
      <c r="F72" s="8" t="str">
        <v>Haití</v>
      </c>
      <c r="G72" s="70">
        <f t="shared" si="1"/>
        <v>8.5182386050450652E-5</v>
      </c>
    </row>
    <row r="73" spans="1:7" x14ac:dyDescent="0.2">
      <c r="A73" s="12" t="s">
        <v>334</v>
      </c>
      <c r="B73" s="13">
        <v>1493546.17</v>
      </c>
      <c r="C73" s="13">
        <v>558748.26</v>
      </c>
      <c r="D73" s="70">
        <f t="shared" si="0"/>
        <v>9.7976991869141533E-5</v>
      </c>
      <c r="F73" s="8" t="str">
        <v>Honduras</v>
      </c>
      <c r="G73" s="70">
        <f t="shared" si="1"/>
        <v>9.7976991869141533E-5</v>
      </c>
    </row>
    <row r="74" spans="1:7" x14ac:dyDescent="0.2">
      <c r="A74" s="12" t="s">
        <v>345</v>
      </c>
      <c r="B74" s="13">
        <v>1264268.7</v>
      </c>
      <c r="C74" s="13">
        <v>221920.94</v>
      </c>
      <c r="D74" s="70">
        <f t="shared" si="0"/>
        <v>8.2936334094251769E-5</v>
      </c>
      <c r="F74" s="8" t="str">
        <v>Jamaica</v>
      </c>
      <c r="G74" s="70">
        <f t="shared" si="1"/>
        <v>8.2936334094251769E-5</v>
      </c>
    </row>
    <row r="75" spans="1:7" x14ac:dyDescent="0.2">
      <c r="A75" s="12" t="s">
        <v>368</v>
      </c>
      <c r="B75" s="13">
        <v>96232517.969999999</v>
      </c>
      <c r="C75" s="13">
        <v>30291309.960000001</v>
      </c>
      <c r="D75" s="70">
        <f t="shared" ref="D75:D138" si="2">+B75/$B$8</f>
        <v>6.3128765752810357E-3</v>
      </c>
      <c r="F75" s="8" t="str">
        <v>México</v>
      </c>
      <c r="G75" s="70">
        <f t="shared" ref="G75:G138" si="3">+SUMIF(A75:A220,F75,D75:D220)</f>
        <v>6.3128765752810357E-3</v>
      </c>
    </row>
    <row r="76" spans="1:7" x14ac:dyDescent="0.2">
      <c r="A76" s="12" t="s">
        <v>380</v>
      </c>
      <c r="B76" s="13">
        <v>2087398.22</v>
      </c>
      <c r="C76" s="13">
        <v>253612.86</v>
      </c>
      <c r="D76" s="70">
        <f t="shared" si="2"/>
        <v>1.3693383072891583E-4</v>
      </c>
      <c r="F76" s="8" t="str">
        <v>Nicaragua</v>
      </c>
      <c r="G76" s="70">
        <f t="shared" si="3"/>
        <v>1.3693383072891583E-4</v>
      </c>
    </row>
    <row r="77" spans="1:7" x14ac:dyDescent="0.2">
      <c r="A77" s="12" t="s">
        <v>387</v>
      </c>
      <c r="B77" s="13">
        <v>6704059.6799999997</v>
      </c>
      <c r="C77" s="13">
        <v>4365841.93</v>
      </c>
      <c r="D77" s="70">
        <f t="shared" si="2"/>
        <v>4.3978794492680441E-4</v>
      </c>
      <c r="F77" s="8" t="str">
        <v>Panamá</v>
      </c>
      <c r="G77" s="70">
        <f t="shared" si="3"/>
        <v>4.3978794492680441E-4</v>
      </c>
    </row>
    <row r="78" spans="1:7" x14ac:dyDescent="0.2">
      <c r="A78" s="12" t="s">
        <v>389</v>
      </c>
      <c r="B78" s="13">
        <v>132794108</v>
      </c>
      <c r="C78" s="13">
        <v>100837485.44</v>
      </c>
      <c r="D78" s="70">
        <f t="shared" si="2"/>
        <v>8.711325770254498E-3</v>
      </c>
      <c r="F78" s="8" t="str">
        <v>Paraguay</v>
      </c>
      <c r="G78" s="70">
        <f t="shared" si="3"/>
        <v>8.711325770254498E-3</v>
      </c>
    </row>
    <row r="79" spans="1:7" x14ac:dyDescent="0.2">
      <c r="A79" s="12" t="s">
        <v>390</v>
      </c>
      <c r="B79" s="13">
        <v>416199491.72000003</v>
      </c>
      <c r="C79" s="13">
        <v>627554178.95000005</v>
      </c>
      <c r="D79" s="70">
        <f t="shared" si="2"/>
        <v>2.7302787844979231E-2</v>
      </c>
      <c r="F79" s="8" t="str">
        <v>Perú</v>
      </c>
      <c r="G79" s="70">
        <f t="shared" si="3"/>
        <v>2.7302787844979231E-2</v>
      </c>
    </row>
    <row r="80" spans="1:7" x14ac:dyDescent="0.2">
      <c r="A80" s="12" t="s">
        <v>394</v>
      </c>
      <c r="B80" s="13">
        <v>2632078.5299999998</v>
      </c>
      <c r="C80" s="13">
        <v>1570780.66</v>
      </c>
      <c r="D80" s="70">
        <f t="shared" si="2"/>
        <v>1.7266499148985265E-4</v>
      </c>
      <c r="F80" s="8" t="str">
        <v>Puerto Rico(Estado Asociado)</v>
      </c>
      <c r="G80" s="70">
        <f t="shared" si="3"/>
        <v>1.7266499148985265E-4</v>
      </c>
    </row>
    <row r="81" spans="1:7" x14ac:dyDescent="0.2">
      <c r="A81" s="12" t="s">
        <v>425</v>
      </c>
      <c r="B81" s="13">
        <v>4745364.04</v>
      </c>
      <c r="C81" s="13">
        <v>1374863.5</v>
      </c>
      <c r="D81" s="70">
        <f t="shared" si="2"/>
        <v>3.1129703473659385E-4</v>
      </c>
      <c r="F81" s="8" t="str">
        <v>Trinidad y Tobago</v>
      </c>
      <c r="G81" s="70">
        <f t="shared" si="3"/>
        <v>3.1129703473659385E-4</v>
      </c>
    </row>
    <row r="82" spans="1:7" x14ac:dyDescent="0.2">
      <c r="A82" s="12" t="s">
        <v>433</v>
      </c>
      <c r="B82" s="13">
        <v>194202483.99000001</v>
      </c>
      <c r="C82" s="13">
        <v>231122210.21000001</v>
      </c>
      <c r="D82" s="70">
        <f t="shared" si="2"/>
        <v>1.2739730165057651E-2</v>
      </c>
      <c r="F82" s="8" t="str">
        <v>Uruguay</v>
      </c>
      <c r="G82" s="70">
        <f t="shared" si="3"/>
        <v>1.2739730165057651E-2</v>
      </c>
    </row>
    <row r="83" spans="1:7" x14ac:dyDescent="0.2">
      <c r="A83" s="12" t="s">
        <v>435</v>
      </c>
      <c r="B83" s="13">
        <v>417191562.26999998</v>
      </c>
      <c r="C83" s="13">
        <v>178344341.24000001</v>
      </c>
      <c r="D83" s="70">
        <f t="shared" si="2"/>
        <v>2.7367867914255536E-2</v>
      </c>
      <c r="F83" s="8" t="str">
        <v>Venezuela</v>
      </c>
      <c r="G83" s="70">
        <f t="shared" si="3"/>
        <v>2.7367867914255536E-2</v>
      </c>
    </row>
    <row r="84" spans="1:7" x14ac:dyDescent="0.2">
      <c r="A84" s="12" t="s">
        <v>218</v>
      </c>
      <c r="B84" s="13">
        <v>11550.72</v>
      </c>
      <c r="C84" s="13">
        <v>18048</v>
      </c>
      <c r="D84" s="70">
        <f t="shared" si="2"/>
        <v>7.5773004025897004E-7</v>
      </c>
      <c r="F84" s="8" t="str">
        <v>Territorios vinculados al Reino Unido</v>
      </c>
      <c r="G84" s="70">
        <f t="shared" si="3"/>
        <v>7.5773004025897004E-7</v>
      </c>
    </row>
    <row r="85" spans="1:7" x14ac:dyDescent="0.2">
      <c r="A85" s="12" t="s">
        <v>66</v>
      </c>
      <c r="B85" s="13">
        <v>79960.3</v>
      </c>
      <c r="C85" s="13">
        <v>4649</v>
      </c>
      <c r="D85" s="70">
        <f t="shared" si="2"/>
        <v>5.2454151202798898E-6</v>
      </c>
      <c r="F85" s="8" t="str">
        <v>Suriname</v>
      </c>
      <c r="G85" s="70">
        <f t="shared" si="3"/>
        <v>8.2022555507653943E-6</v>
      </c>
    </row>
    <row r="86" spans="1:7" x14ac:dyDescent="0.2">
      <c r="A86" s="12" t="s">
        <v>417</v>
      </c>
      <c r="B86" s="13">
        <v>125033.92</v>
      </c>
      <c r="C86" s="13">
        <v>57344.7</v>
      </c>
      <c r="D86" s="70">
        <f t="shared" si="2"/>
        <v>8.2022555507653943E-6</v>
      </c>
      <c r="F86" s="8" t="str">
        <v>Dominica</v>
      </c>
      <c r="G86" s="70">
        <f t="shared" si="3"/>
        <v>1.7318464184775332E-7</v>
      </c>
    </row>
    <row r="87" spans="1:7" x14ac:dyDescent="0.2">
      <c r="A87" s="12" t="s">
        <v>310</v>
      </c>
      <c r="B87" s="13">
        <v>2640</v>
      </c>
      <c r="C87" s="13">
        <v>194.4</v>
      </c>
      <c r="D87" s="70">
        <f t="shared" si="2"/>
        <v>1.7318464184775332E-7</v>
      </c>
      <c r="F87" s="8" t="str">
        <v>Santa Lucía</v>
      </c>
      <c r="G87" s="70">
        <f t="shared" si="3"/>
        <v>1.2685444390122583E-5</v>
      </c>
    </row>
    <row r="88" spans="1:7" x14ac:dyDescent="0.2">
      <c r="A88" s="12" t="s">
        <v>468</v>
      </c>
      <c r="B88" s="13">
        <v>193374.96</v>
      </c>
      <c r="C88" s="13">
        <v>242184.3</v>
      </c>
      <c r="D88" s="70">
        <f t="shared" si="2"/>
        <v>1.2685444390122583E-5</v>
      </c>
      <c r="F88" s="8" t="str">
        <v>San Vicente y las Granadinas</v>
      </c>
      <c r="G88" s="70">
        <f t="shared" si="3"/>
        <v>1.689450096550529E-5</v>
      </c>
    </row>
    <row r="89" spans="1:7" x14ac:dyDescent="0.2">
      <c r="A89" s="12" t="s">
        <v>415</v>
      </c>
      <c r="B89" s="13">
        <v>257537.17</v>
      </c>
      <c r="C89" s="13">
        <v>109763.28</v>
      </c>
      <c r="D89" s="70">
        <f t="shared" si="2"/>
        <v>1.689450096550529E-5</v>
      </c>
      <c r="F89" s="8" t="str">
        <v>Belice</v>
      </c>
      <c r="G89" s="70">
        <f t="shared" si="3"/>
        <v>3.5632608859688994E-7</v>
      </c>
    </row>
    <row r="90" spans="1:7" x14ac:dyDescent="0.2">
      <c r="A90" s="12" t="s">
        <v>280</v>
      </c>
      <c r="B90" s="13">
        <v>5431.78</v>
      </c>
      <c r="C90" s="13">
        <v>162.43</v>
      </c>
      <c r="D90" s="70">
        <f t="shared" si="2"/>
        <v>3.5632608859688994E-7</v>
      </c>
      <c r="F90" s="8" t="str">
        <v>Antigua y Barbuda</v>
      </c>
      <c r="G90" s="70">
        <f t="shared" si="3"/>
        <v>4.8334888896206966E-6</v>
      </c>
    </row>
    <row r="91" spans="1:7" x14ac:dyDescent="0.2">
      <c r="A91" s="12" t="s">
        <v>268</v>
      </c>
      <c r="B91" s="13">
        <v>73680.960000000006</v>
      </c>
      <c r="C91" s="13">
        <v>114379.2</v>
      </c>
      <c r="D91" s="70">
        <f t="shared" si="2"/>
        <v>4.8334888896206966E-6</v>
      </c>
      <c r="F91" s="8" t="str">
        <v>San Cristóbal y Nevis</v>
      </c>
      <c r="G91" s="70">
        <f t="shared" si="3"/>
        <v>3.1232931753838573E-6</v>
      </c>
    </row>
    <row r="92" spans="1:7" x14ac:dyDescent="0.2">
      <c r="A92" s="12" t="s">
        <v>472</v>
      </c>
      <c r="B92" s="13">
        <v>47611</v>
      </c>
      <c r="C92" s="13">
        <v>16098.44</v>
      </c>
      <c r="D92" s="70">
        <f t="shared" si="2"/>
        <v>3.1232931753838573E-6</v>
      </c>
      <c r="F92" s="8" t="str">
        <v>Bahamas</v>
      </c>
      <c r="G92" s="70">
        <f t="shared" si="3"/>
        <v>4.1950699475462035E-6</v>
      </c>
    </row>
    <row r="93" spans="1:7" x14ac:dyDescent="0.2">
      <c r="A93" s="12" t="s">
        <v>274</v>
      </c>
      <c r="B93" s="13">
        <v>63949</v>
      </c>
      <c r="C93" s="13">
        <v>17074.88</v>
      </c>
      <c r="D93" s="70">
        <f t="shared" si="2"/>
        <v>4.1950699475462035E-6</v>
      </c>
      <c r="F93" s="8" t="str">
        <v>Grenada</v>
      </c>
      <c r="G93" s="70">
        <f t="shared" si="3"/>
        <v>3.7664510790216383E-6</v>
      </c>
    </row>
    <row r="94" spans="1:7" x14ac:dyDescent="0.2">
      <c r="A94" s="12" t="s">
        <v>327</v>
      </c>
      <c r="B94" s="13">
        <v>57415.199999999997</v>
      </c>
      <c r="C94" s="13">
        <v>39310.800000000003</v>
      </c>
      <c r="D94" s="70">
        <f t="shared" si="2"/>
        <v>3.7664510790216383E-6</v>
      </c>
      <c r="F94" s="8" t="str">
        <v>Antillas Holandesas</v>
      </c>
      <c r="G94" s="70">
        <f t="shared" si="3"/>
        <v>6.7795129659041281E-3</v>
      </c>
    </row>
    <row r="95" spans="1:7" x14ac:dyDescent="0.2">
      <c r="A95" s="12" t="s">
        <v>377</v>
      </c>
      <c r="B95" s="13">
        <v>103345851.22</v>
      </c>
      <c r="C95" s="13">
        <v>181717484.19</v>
      </c>
      <c r="D95" s="70">
        <f t="shared" si="2"/>
        <v>6.7795129659041281E-3</v>
      </c>
      <c r="F95" s="8" t="str">
        <v>Aruba</v>
      </c>
      <c r="G95" s="70">
        <f t="shared" si="3"/>
        <v>6.26142919297747E-5</v>
      </c>
    </row>
    <row r="96" spans="1:7" x14ac:dyDescent="0.2">
      <c r="A96" s="12" t="s">
        <v>270</v>
      </c>
      <c r="B96" s="13">
        <v>954482.62</v>
      </c>
      <c r="C96" s="13">
        <v>245380.22</v>
      </c>
      <c r="D96" s="70">
        <f t="shared" si="2"/>
        <v>6.26142919297747E-5</v>
      </c>
      <c r="F96" s="8" t="str">
        <v>Iquique (Chile)</v>
      </c>
      <c r="G96" s="70">
        <f t="shared" si="3"/>
        <v>1.3959469335846405E-6</v>
      </c>
    </row>
    <row r="97" spans="1:7" x14ac:dyDescent="0.2">
      <c r="A97" s="12" t="s">
        <v>445</v>
      </c>
      <c r="B97" s="13">
        <v>21279.599999999999</v>
      </c>
      <c r="C97" s="13">
        <v>3605.72</v>
      </c>
      <c r="D97" s="70">
        <f t="shared" si="2"/>
        <v>1.3959469335846405E-6</v>
      </c>
      <c r="F97" s="8" t="str">
        <v>Punta Arenas (Chile)</v>
      </c>
      <c r="G97" s="70">
        <f t="shared" si="3"/>
        <v>1.9042022012534128E-5</v>
      </c>
    </row>
    <row r="98" spans="1:7" x14ac:dyDescent="0.2">
      <c r="A98" s="12" t="s">
        <v>446</v>
      </c>
      <c r="B98" s="13">
        <v>290273.65000000002</v>
      </c>
      <c r="C98" s="13">
        <v>68414.59</v>
      </c>
      <c r="D98" s="70">
        <f t="shared" si="2"/>
        <v>1.9042022012534128E-5</v>
      </c>
      <c r="F98" s="8" t="str">
        <v>Florida (Uruguay)</v>
      </c>
      <c r="G98" s="70">
        <f t="shared" si="3"/>
        <v>1.9358631745936363E-7</v>
      </c>
    </row>
    <row r="99" spans="1:7" x14ac:dyDescent="0.2">
      <c r="A99" s="12" t="s">
        <v>469</v>
      </c>
      <c r="B99" s="13">
        <v>2951</v>
      </c>
      <c r="C99" s="13">
        <v>496</v>
      </c>
      <c r="D99" s="70">
        <f t="shared" si="2"/>
        <v>1.9358631745936363E-7</v>
      </c>
      <c r="F99" s="8" t="str">
        <v xml:space="preserve">   ASIA</v>
      </c>
      <c r="G99" s="70">
        <f t="shared" si="3"/>
        <v>0.30260803905621791</v>
      </c>
    </row>
    <row r="100" spans="1:7" x14ac:dyDescent="0.2">
      <c r="A100" s="12" t="s">
        <v>1</v>
      </c>
      <c r="B100" s="13" t="s">
        <v>466</v>
      </c>
      <c r="C100" s="13" t="s">
        <v>466</v>
      </c>
      <c r="D100" s="70" t="e">
        <f t="shared" si="2"/>
        <v>#VALUE!</v>
      </c>
      <c r="F100" s="8" t="str">
        <v>Afganistán</v>
      </c>
      <c r="G100" s="70">
        <f t="shared" si="3"/>
        <v>1.6390825578810228E-5</v>
      </c>
    </row>
    <row r="101" spans="1:7" x14ac:dyDescent="0.2">
      <c r="A101" s="12" t="s">
        <v>4</v>
      </c>
      <c r="B101" s="13">
        <v>4612910328.4499998</v>
      </c>
      <c r="C101" s="13">
        <v>9249253274.5599995</v>
      </c>
      <c r="D101" s="70">
        <f t="shared" si="2"/>
        <v>0.30260803905621791</v>
      </c>
      <c r="F101" s="8" t="str">
        <v>Arabia Saudita</v>
      </c>
      <c r="G101" s="70">
        <f t="shared" si="3"/>
        <v>3.631212779728612E-3</v>
      </c>
    </row>
    <row r="102" spans="1:7" x14ac:dyDescent="0.2">
      <c r="A102" s="12" t="s">
        <v>263</v>
      </c>
      <c r="B102" s="13">
        <v>249859.22</v>
      </c>
      <c r="C102" s="13">
        <v>96070.66</v>
      </c>
      <c r="D102" s="70">
        <f t="shared" si="2"/>
        <v>1.6390825578810228E-5</v>
      </c>
      <c r="F102" s="8" t="str">
        <v>Bahrein</v>
      </c>
      <c r="G102" s="70">
        <f t="shared" si="3"/>
        <v>3.4671934627289001E-5</v>
      </c>
    </row>
    <row r="103" spans="1:7" x14ac:dyDescent="0.2">
      <c r="A103" s="12" t="s">
        <v>400</v>
      </c>
      <c r="B103" s="13">
        <v>55353648.200000003</v>
      </c>
      <c r="C103" s="13">
        <v>181171253.50999999</v>
      </c>
      <c r="D103" s="70">
        <f t="shared" si="2"/>
        <v>3.631212779728612E-3</v>
      </c>
      <c r="F103" s="8" t="str">
        <v>Myanmar (ex Birmania) Unión de</v>
      </c>
      <c r="G103" s="70">
        <f t="shared" si="3"/>
        <v>1.5721754267133545E-7</v>
      </c>
    </row>
    <row r="104" spans="1:7" x14ac:dyDescent="0.2">
      <c r="A104" s="12" t="s">
        <v>275</v>
      </c>
      <c r="B104" s="13">
        <v>528533.63</v>
      </c>
      <c r="C104" s="13">
        <v>1509309.2</v>
      </c>
      <c r="D104" s="70">
        <f t="shared" si="2"/>
        <v>3.4671934627289001E-5</v>
      </c>
      <c r="F104" s="8" t="str">
        <v>Camboya (ex Kampuchea)</v>
      </c>
      <c r="G104" s="70">
        <f t="shared" si="3"/>
        <v>1.1705093364797501E-4</v>
      </c>
    </row>
    <row r="105" spans="1:7" x14ac:dyDescent="0.2">
      <c r="A105" s="12" t="s">
        <v>374</v>
      </c>
      <c r="B105" s="13">
        <v>2396.6</v>
      </c>
      <c r="C105" s="13">
        <v>47.23</v>
      </c>
      <c r="D105" s="70">
        <f t="shared" si="2"/>
        <v>1.5721754267133545E-7</v>
      </c>
      <c r="F105" s="8" t="str">
        <v>Sri Lanka</v>
      </c>
      <c r="G105" s="70">
        <f t="shared" si="3"/>
        <v>1.0510081091106263E-4</v>
      </c>
    </row>
    <row r="106" spans="1:7" x14ac:dyDescent="0.2">
      <c r="A106" s="12" t="s">
        <v>291</v>
      </c>
      <c r="B106" s="13">
        <v>1784306.4</v>
      </c>
      <c r="C106" s="13">
        <v>93636.55</v>
      </c>
      <c r="D106" s="70">
        <f t="shared" si="2"/>
        <v>1.1705093364797501E-4</v>
      </c>
      <c r="F106" s="8" t="str">
        <v>Corea Republicana</v>
      </c>
      <c r="G106" s="70">
        <f t="shared" si="3"/>
        <v>1.5808061523512933E-2</v>
      </c>
    </row>
    <row r="107" spans="1:7" x14ac:dyDescent="0.2">
      <c r="A107" s="12" t="s">
        <v>412</v>
      </c>
      <c r="B107" s="13">
        <v>1602140.57</v>
      </c>
      <c r="C107" s="13">
        <v>3839824</v>
      </c>
      <c r="D107" s="70">
        <f t="shared" si="2"/>
        <v>1.0510081091106263E-4</v>
      </c>
      <c r="F107" s="8" t="str">
        <v>China</v>
      </c>
      <c r="G107" s="70">
        <f t="shared" si="3"/>
        <v>0.13385564700705022</v>
      </c>
    </row>
    <row r="108" spans="1:7" x14ac:dyDescent="0.2">
      <c r="A108" s="12" t="s">
        <v>350</v>
      </c>
      <c r="B108" s="13">
        <v>240975654.52000001</v>
      </c>
      <c r="C108" s="13">
        <v>558196477.14999998</v>
      </c>
      <c r="D108" s="70">
        <f t="shared" si="2"/>
        <v>1.5808061523512933E-2</v>
      </c>
      <c r="F108" s="8" t="str">
        <v>Filipinas</v>
      </c>
      <c r="G108" s="70">
        <f t="shared" si="3"/>
        <v>1.4922782178617477E-2</v>
      </c>
    </row>
    <row r="109" spans="1:7" x14ac:dyDescent="0.2">
      <c r="A109" s="12" t="s">
        <v>297</v>
      </c>
      <c r="B109" s="13">
        <v>2040474861.5599999</v>
      </c>
      <c r="C109" s="13">
        <v>3355559800.9299998</v>
      </c>
      <c r="D109" s="70">
        <f t="shared" si="2"/>
        <v>0.13385564700705022</v>
      </c>
      <c r="F109" s="8" t="str">
        <v>Taiwan</v>
      </c>
      <c r="G109" s="70">
        <f t="shared" si="3"/>
        <v>8.969128651149889E-4</v>
      </c>
    </row>
    <row r="110" spans="1:7" x14ac:dyDescent="0.2">
      <c r="A110" s="12" t="s">
        <v>391</v>
      </c>
      <c r="B110" s="13">
        <v>227480592.56999999</v>
      </c>
      <c r="C110" s="13">
        <v>749096376.78999996</v>
      </c>
      <c r="D110" s="70">
        <f t="shared" si="2"/>
        <v>1.4922782178617477E-2</v>
      </c>
      <c r="F110" s="8" t="str">
        <v>India</v>
      </c>
      <c r="G110" s="70">
        <f t="shared" si="3"/>
        <v>3.4421497153418891E-2</v>
      </c>
    </row>
    <row r="111" spans="1:7" x14ac:dyDescent="0.2">
      <c r="A111" s="12" t="s">
        <v>421</v>
      </c>
      <c r="B111" s="13">
        <v>13672401.539999999</v>
      </c>
      <c r="C111" s="13">
        <v>6356051.6699999999</v>
      </c>
      <c r="D111" s="70">
        <f t="shared" si="2"/>
        <v>8.969128651149889E-4</v>
      </c>
      <c r="F111" s="8" t="str">
        <v>Indonesia</v>
      </c>
      <c r="G111" s="70">
        <f t="shared" si="3"/>
        <v>1.197741435161113E-2</v>
      </c>
    </row>
    <row r="112" spans="1:7" x14ac:dyDescent="0.2">
      <c r="A112" s="12" t="s">
        <v>338</v>
      </c>
      <c r="B112" s="13">
        <v>524715999.73000002</v>
      </c>
      <c r="C112" s="13">
        <v>562688712.88999999</v>
      </c>
      <c r="D112" s="70">
        <f t="shared" si="2"/>
        <v>3.4421497153418891E-2</v>
      </c>
      <c r="F112" s="8" t="str">
        <v>Iraq</v>
      </c>
      <c r="G112" s="70">
        <f t="shared" si="3"/>
        <v>1.1788727639558424E-4</v>
      </c>
    </row>
    <row r="113" spans="1:7" x14ac:dyDescent="0.2">
      <c r="A113" s="12" t="s">
        <v>339</v>
      </c>
      <c r="B113" s="13">
        <v>182581859.16999999</v>
      </c>
      <c r="C113" s="13">
        <v>558687128.09000003</v>
      </c>
      <c r="D113" s="70">
        <f t="shared" si="2"/>
        <v>1.197741435161113E-2</v>
      </c>
      <c r="F113" s="8" t="str">
        <v>Irán</v>
      </c>
      <c r="G113" s="70">
        <f t="shared" si="3"/>
        <v>2.1906536388605697E-2</v>
      </c>
    </row>
    <row r="114" spans="1:7" x14ac:dyDescent="0.2">
      <c r="A114" s="12" t="s">
        <v>341</v>
      </c>
      <c r="B114" s="13">
        <v>1797055.48</v>
      </c>
      <c r="C114" s="13">
        <v>3310202.93</v>
      </c>
      <c r="D114" s="70">
        <f t="shared" si="2"/>
        <v>1.1788727639558424E-4</v>
      </c>
      <c r="F114" s="8" t="str">
        <v>Israel</v>
      </c>
      <c r="G114" s="70">
        <f t="shared" si="3"/>
        <v>1.7480789408296483E-3</v>
      </c>
    </row>
    <row r="115" spans="1:7" x14ac:dyDescent="0.2">
      <c r="A115" s="12" t="s">
        <v>340</v>
      </c>
      <c r="B115" s="13">
        <v>333939865.85000002</v>
      </c>
      <c r="C115" s="13">
        <v>838273379.04999995</v>
      </c>
      <c r="D115" s="70">
        <f t="shared" si="2"/>
        <v>2.1906536388605697E-2</v>
      </c>
      <c r="F115" s="8" t="str">
        <v>Japón</v>
      </c>
      <c r="G115" s="70">
        <f t="shared" si="3"/>
        <v>1.997432657355195E-3</v>
      </c>
    </row>
    <row r="116" spans="1:7" x14ac:dyDescent="0.2">
      <c r="A116" s="12" t="s">
        <v>343</v>
      </c>
      <c r="B116" s="13">
        <v>26647446.07</v>
      </c>
      <c r="C116" s="13">
        <v>43783129.560000002</v>
      </c>
      <c r="D116" s="70">
        <f t="shared" si="2"/>
        <v>1.7480789408296483E-3</v>
      </c>
      <c r="F116" s="8" t="str">
        <v>Jordania</v>
      </c>
      <c r="G116" s="70">
        <f t="shared" si="3"/>
        <v>1.0035610867049831E-4</v>
      </c>
    </row>
    <row r="117" spans="1:7" x14ac:dyDescent="0.2">
      <c r="A117" s="12" t="s">
        <v>346</v>
      </c>
      <c r="B117" s="13">
        <v>30448555.710000001</v>
      </c>
      <c r="C117" s="13">
        <v>37004801.450000003</v>
      </c>
      <c r="D117" s="70">
        <f t="shared" si="2"/>
        <v>1.997432657355195E-3</v>
      </c>
      <c r="F117" s="8" t="str">
        <v>Kuwait</v>
      </c>
      <c r="G117" s="70">
        <f t="shared" si="3"/>
        <v>4.0244799330745203E-4</v>
      </c>
    </row>
    <row r="118" spans="1:7" x14ac:dyDescent="0.2">
      <c r="A118" s="12" t="s">
        <v>347</v>
      </c>
      <c r="B118" s="13">
        <v>1529813.06</v>
      </c>
      <c r="C118" s="13">
        <v>689273.14</v>
      </c>
      <c r="D118" s="70">
        <f t="shared" si="2"/>
        <v>1.0035610867049831E-4</v>
      </c>
      <c r="F118" s="8" t="str">
        <v>Líbano</v>
      </c>
      <c r="G118" s="70">
        <f t="shared" si="3"/>
        <v>1.3098046152405396E-3</v>
      </c>
    </row>
    <row r="119" spans="1:7" x14ac:dyDescent="0.2">
      <c r="A119" s="12" t="s">
        <v>351</v>
      </c>
      <c r="B119" s="13">
        <v>6134855.21</v>
      </c>
      <c r="C119" s="13">
        <v>12593942.42</v>
      </c>
      <c r="D119" s="70">
        <f t="shared" si="2"/>
        <v>4.0244799330745203E-4</v>
      </c>
      <c r="F119" s="8" t="str">
        <v>Malasia</v>
      </c>
      <c r="G119" s="70">
        <f t="shared" si="3"/>
        <v>1.5720780371172145E-2</v>
      </c>
    </row>
    <row r="120" spans="1:7" x14ac:dyDescent="0.2">
      <c r="A120" s="12" t="s">
        <v>353</v>
      </c>
      <c r="B120" s="13">
        <v>19966459.77</v>
      </c>
      <c r="C120" s="13">
        <v>51840056.200000003</v>
      </c>
      <c r="D120" s="70">
        <f t="shared" si="2"/>
        <v>1.3098046152405396E-3</v>
      </c>
      <c r="F120" s="8" t="str">
        <v>Omán</v>
      </c>
      <c r="G120" s="70">
        <f t="shared" si="3"/>
        <v>7.3215054926561442E-4</v>
      </c>
    </row>
    <row r="121" spans="1:7" x14ac:dyDescent="0.2">
      <c r="A121" s="12" t="s">
        <v>362</v>
      </c>
      <c r="B121" s="13">
        <v>239645154.08000001</v>
      </c>
      <c r="C121" s="13">
        <v>684006845.91999996</v>
      </c>
      <c r="D121" s="70">
        <f t="shared" si="2"/>
        <v>1.5720780371172145E-2</v>
      </c>
      <c r="F121" s="8" t="str">
        <v>Mongolia</v>
      </c>
      <c r="G121" s="70">
        <f t="shared" si="3"/>
        <v>7.229754250532547E-6</v>
      </c>
    </row>
    <row r="122" spans="1:7" x14ac:dyDescent="0.2">
      <c r="A122" s="12" t="s">
        <v>385</v>
      </c>
      <c r="B122" s="13">
        <v>11160790.18</v>
      </c>
      <c r="C122" s="13">
        <v>17791714.190000001</v>
      </c>
      <c r="D122" s="70">
        <f t="shared" si="2"/>
        <v>7.3215054926561442E-4</v>
      </c>
      <c r="F122" s="8" t="str">
        <v>Emiratos Arabes Unidos</v>
      </c>
      <c r="G122" s="70">
        <f t="shared" si="3"/>
        <v>4.7810208042702558E-3</v>
      </c>
    </row>
    <row r="123" spans="1:7" x14ac:dyDescent="0.2">
      <c r="A123" s="12" t="s">
        <v>370</v>
      </c>
      <c r="B123" s="13">
        <v>110209.26</v>
      </c>
      <c r="C123" s="13">
        <v>41617.25</v>
      </c>
      <c r="D123" s="70">
        <f t="shared" si="2"/>
        <v>7.229754250532547E-6</v>
      </c>
      <c r="F123" s="8" t="str">
        <v>Paquistán</v>
      </c>
      <c r="G123" s="70">
        <f t="shared" si="3"/>
        <v>1.4214334073692609E-3</v>
      </c>
    </row>
    <row r="124" spans="1:7" x14ac:dyDescent="0.2">
      <c r="A124" s="12" t="s">
        <v>430</v>
      </c>
      <c r="B124" s="13">
        <v>72881144.590000004</v>
      </c>
      <c r="C124" s="13">
        <v>155216972.83000001</v>
      </c>
      <c r="D124" s="70">
        <f t="shared" si="2"/>
        <v>4.7810208042702558E-3</v>
      </c>
      <c r="F124" s="8" t="str">
        <v>Singapur</v>
      </c>
      <c r="G124" s="70">
        <f t="shared" si="3"/>
        <v>7.4412142201542948E-4</v>
      </c>
    </row>
    <row r="125" spans="1:7" x14ac:dyDescent="0.2">
      <c r="A125" s="12" t="s">
        <v>386</v>
      </c>
      <c r="B125" s="13">
        <v>21668111.879999999</v>
      </c>
      <c r="C125" s="13">
        <v>69576466.090000004</v>
      </c>
      <c r="D125" s="70">
        <f t="shared" si="2"/>
        <v>1.4214334073692609E-3</v>
      </c>
      <c r="F125" s="8" t="str">
        <v>Siria</v>
      </c>
      <c r="G125" s="70">
        <f t="shared" si="3"/>
        <v>5.8908096419029062E-3</v>
      </c>
    </row>
    <row r="126" spans="1:7" x14ac:dyDescent="0.2">
      <c r="A126" s="12" t="s">
        <v>405</v>
      </c>
      <c r="B126" s="13">
        <v>11343272.32</v>
      </c>
      <c r="C126" s="13">
        <v>27989724.18</v>
      </c>
      <c r="D126" s="70">
        <f t="shared" si="2"/>
        <v>7.4412142201542948E-4</v>
      </c>
      <c r="F126" s="8" t="str">
        <v>Tailandia</v>
      </c>
      <c r="G126" s="70">
        <f t="shared" si="3"/>
        <v>1.6533712607986573E-2</v>
      </c>
    </row>
    <row r="127" spans="1:7" x14ac:dyDescent="0.2">
      <c r="A127" s="12" t="s">
        <v>420</v>
      </c>
      <c r="B127" s="13">
        <v>89798594.659999996</v>
      </c>
      <c r="C127" s="13">
        <v>303067358.77999997</v>
      </c>
      <c r="D127" s="70">
        <f t="shared" si="2"/>
        <v>5.8908096419029062E-3</v>
      </c>
      <c r="F127" s="8" t="str">
        <v>Vietnam</v>
      </c>
      <c r="G127" s="70">
        <f t="shared" si="3"/>
        <v>4.6815487867963293E-3</v>
      </c>
    </row>
    <row r="128" spans="1:7" x14ac:dyDescent="0.2">
      <c r="A128" s="12" t="s">
        <v>423</v>
      </c>
      <c r="B128" s="13">
        <v>252037367.86000001</v>
      </c>
      <c r="C128" s="13">
        <v>687542540.59000003</v>
      </c>
      <c r="D128" s="70">
        <f t="shared" si="2"/>
        <v>1.6533712607986573E-2</v>
      </c>
      <c r="F128" s="8" t="str">
        <v>Hong Kong</v>
      </c>
      <c r="G128" s="70">
        <f t="shared" si="3"/>
        <v>1.3365850183966524E-3</v>
      </c>
    </row>
    <row r="129" spans="1:7" x14ac:dyDescent="0.2">
      <c r="A129" s="12" t="s">
        <v>436</v>
      </c>
      <c r="B129" s="13">
        <v>71364808.480000004</v>
      </c>
      <c r="C129" s="13">
        <v>176492885.68000001</v>
      </c>
      <c r="D129" s="70">
        <f t="shared" si="2"/>
        <v>4.6815487867963293E-3</v>
      </c>
      <c r="F129" s="8" t="str">
        <v>Bangladesh</v>
      </c>
      <c r="G129" s="70">
        <f t="shared" si="3"/>
        <v>6.4207453261304909E-3</v>
      </c>
    </row>
    <row r="130" spans="1:7" x14ac:dyDescent="0.2">
      <c r="A130" s="12" t="s">
        <v>335</v>
      </c>
      <c r="B130" s="13">
        <v>20374696.109999999</v>
      </c>
      <c r="C130" s="13">
        <v>7087951.8799999999</v>
      </c>
      <c r="D130" s="70">
        <f t="shared" si="2"/>
        <v>1.3365850183966524E-3</v>
      </c>
      <c r="F130" s="8" t="str">
        <v>República de Yemen</v>
      </c>
      <c r="G130" s="70">
        <f t="shared" si="3"/>
        <v>5.4963456278652551E-4</v>
      </c>
    </row>
    <row r="131" spans="1:7" x14ac:dyDescent="0.2">
      <c r="A131" s="12" t="s">
        <v>276</v>
      </c>
      <c r="B131" s="13">
        <v>97876852.590000004</v>
      </c>
      <c r="C131" s="13">
        <v>120233534.86</v>
      </c>
      <c r="D131" s="70">
        <f t="shared" si="2"/>
        <v>6.4207453261304909E-3</v>
      </c>
      <c r="F131" s="8" t="str">
        <v>Armenia</v>
      </c>
      <c r="G131" s="70">
        <f t="shared" si="3"/>
        <v>5.3123011281692723E-7</v>
      </c>
    </row>
    <row r="132" spans="1:7" x14ac:dyDescent="0.2">
      <c r="A132" s="12" t="s">
        <v>437</v>
      </c>
      <c r="B132" s="13">
        <v>8378544.5999999996</v>
      </c>
      <c r="C132" s="13">
        <v>33546394.34</v>
      </c>
      <c r="D132" s="70">
        <f t="shared" si="2"/>
        <v>5.4963456278652551E-4</v>
      </c>
      <c r="F132" s="8" t="str">
        <v>Azerbaiján</v>
      </c>
      <c r="G132" s="70">
        <f t="shared" si="3"/>
        <v>7.9451157177673541E-5</v>
      </c>
    </row>
    <row r="133" spans="1:7" x14ac:dyDescent="0.2">
      <c r="A133" s="12" t="s">
        <v>269</v>
      </c>
      <c r="B133" s="13">
        <v>8097.99</v>
      </c>
      <c r="C133" s="13">
        <v>400.42</v>
      </c>
      <c r="D133" s="70">
        <f t="shared" si="2"/>
        <v>5.3123011281692723E-7</v>
      </c>
      <c r="F133" s="8" t="str">
        <v>Georgia</v>
      </c>
      <c r="G133" s="70">
        <f t="shared" si="3"/>
        <v>1.5589221439947395E-5</v>
      </c>
    </row>
    <row r="134" spans="1:7" x14ac:dyDescent="0.2">
      <c r="A134" s="12" t="s">
        <v>273</v>
      </c>
      <c r="B134" s="13">
        <v>1211141.2</v>
      </c>
      <c r="C134" s="13">
        <v>261002.78</v>
      </c>
      <c r="D134" s="70">
        <f t="shared" si="2"/>
        <v>7.9451157177673541E-5</v>
      </c>
      <c r="F134" s="8" t="str">
        <v>Kazajstán</v>
      </c>
      <c r="G134" s="70">
        <f t="shared" si="3"/>
        <v>2.8967668963241513E-4</v>
      </c>
    </row>
    <row r="135" spans="1:7" x14ac:dyDescent="0.2">
      <c r="A135" s="12" t="s">
        <v>323</v>
      </c>
      <c r="B135" s="13">
        <v>237639.69</v>
      </c>
      <c r="C135" s="13">
        <v>651848.9</v>
      </c>
      <c r="D135" s="70">
        <f t="shared" si="2"/>
        <v>1.5589221439947395E-5</v>
      </c>
      <c r="F135" s="8" t="str">
        <v>Territorios Autónomos Palestinos (Gaza y Jericó)</v>
      </c>
      <c r="G135" s="70">
        <f t="shared" si="3"/>
        <v>3.3574943745679458E-5</v>
      </c>
    </row>
    <row r="136" spans="1:7" x14ac:dyDescent="0.2">
      <c r="A136" s="12" t="s">
        <v>348</v>
      </c>
      <c r="B136" s="13">
        <v>4415786.83</v>
      </c>
      <c r="C136" s="13">
        <v>785263.9</v>
      </c>
      <c r="D136" s="70">
        <f t="shared" si="2"/>
        <v>2.8967668963241513E-4</v>
      </c>
      <c r="F136" s="8" t="str">
        <v xml:space="preserve">   EUROPA</v>
      </c>
      <c r="G136" s="70">
        <f t="shared" si="3"/>
        <v>0.30188897170792056</v>
      </c>
    </row>
    <row r="137" spans="1:7" x14ac:dyDescent="0.2">
      <c r="A137" s="12" t="s">
        <v>159</v>
      </c>
      <c r="B137" s="13">
        <v>511811.27</v>
      </c>
      <c r="C137" s="13">
        <v>171278.55</v>
      </c>
      <c r="D137" s="70">
        <f t="shared" si="2"/>
        <v>3.3574943745679458E-5</v>
      </c>
      <c r="F137" s="8" t="str">
        <v>Albania</v>
      </c>
      <c r="G137" s="70">
        <f t="shared" si="3"/>
        <v>5.7564311741805418E-5</v>
      </c>
    </row>
    <row r="138" spans="1:7" x14ac:dyDescent="0.2">
      <c r="A138" s="12" t="s">
        <v>1</v>
      </c>
      <c r="B138" s="13" t="s">
        <v>466</v>
      </c>
      <c r="C138" s="13" t="s">
        <v>466</v>
      </c>
      <c r="D138" s="70" t="e">
        <f t="shared" si="2"/>
        <v>#VALUE!</v>
      </c>
      <c r="F138" s="8" t="str">
        <v>Austria</v>
      </c>
      <c r="G138" s="70">
        <f t="shared" si="3"/>
        <v>8.9891856368440283E-5</v>
      </c>
    </row>
    <row r="139" spans="1:7" x14ac:dyDescent="0.2">
      <c r="A139" s="12" t="s">
        <v>5</v>
      </c>
      <c r="B139" s="13">
        <v>4601948976.5699997</v>
      </c>
      <c r="C139" s="13">
        <v>12578483462.110001</v>
      </c>
      <c r="D139" s="70">
        <f t="shared" ref="D139:D155" si="4">+B139/$B$8</f>
        <v>0.30188897170792056</v>
      </c>
      <c r="F139" s="8" t="str">
        <v>Bélgica</v>
      </c>
      <c r="G139" s="70">
        <f t="shared" ref="G139:G151" si="5">+SUMIF(A139:A284,F139,D139:D284)</f>
        <v>1.1642725399156648E-2</v>
      </c>
    </row>
    <row r="140" spans="1:7" x14ac:dyDescent="0.2">
      <c r="A140" s="12" t="s">
        <v>264</v>
      </c>
      <c r="B140" s="13">
        <v>877501.5</v>
      </c>
      <c r="C140" s="13">
        <v>496590.97</v>
      </c>
      <c r="D140" s="70">
        <f t="shared" si="4"/>
        <v>5.7564311741805418E-5</v>
      </c>
      <c r="F140" s="8" t="str">
        <v>Bulgaria</v>
      </c>
      <c r="G140" s="70">
        <f t="shared" si="5"/>
        <v>1.3433697163257408E-5</v>
      </c>
    </row>
    <row r="141" spans="1:7" x14ac:dyDescent="0.2">
      <c r="A141" s="12" t="s">
        <v>272</v>
      </c>
      <c r="B141" s="13">
        <v>1370297.61</v>
      </c>
      <c r="C141" s="13">
        <v>46811.05</v>
      </c>
      <c r="D141" s="70">
        <f t="shared" si="4"/>
        <v>8.9891856368440283E-5</v>
      </c>
      <c r="F141" s="8" t="str">
        <v>Dinamarca</v>
      </c>
      <c r="G141" s="70">
        <f t="shared" si="5"/>
        <v>1.691741964438128E-2</v>
      </c>
    </row>
    <row r="142" spans="1:7" x14ac:dyDescent="0.2">
      <c r="A142" s="12" t="s">
        <v>279</v>
      </c>
      <c r="B142" s="13">
        <v>177479912.34</v>
      </c>
      <c r="C142" s="13">
        <v>532828112.87</v>
      </c>
      <c r="D142" s="70">
        <f t="shared" si="4"/>
        <v>1.1642725399156648E-2</v>
      </c>
      <c r="F142" s="8" t="str">
        <v>España</v>
      </c>
      <c r="G142" s="70">
        <f t="shared" si="5"/>
        <v>6.3408523648290263E-2</v>
      </c>
    </row>
    <row r="143" spans="1:7" x14ac:dyDescent="0.2">
      <c r="A143" s="12" t="s">
        <v>287</v>
      </c>
      <c r="B143" s="13">
        <v>204781.21</v>
      </c>
      <c r="C143" s="13">
        <v>209881.7</v>
      </c>
      <c r="D143" s="70">
        <f t="shared" si="4"/>
        <v>1.3433697163257408E-5</v>
      </c>
      <c r="F143" s="8" t="str">
        <v>Finlandia</v>
      </c>
      <c r="G143" s="70">
        <f t="shared" si="5"/>
        <v>6.9645816021637132E-5</v>
      </c>
    </row>
    <row r="144" spans="1:7" x14ac:dyDescent="0.2">
      <c r="A144" s="12" t="s">
        <v>308</v>
      </c>
      <c r="B144" s="13">
        <v>257886538.81</v>
      </c>
      <c r="C144" s="13">
        <v>844679968.27999997</v>
      </c>
      <c r="D144" s="70">
        <f t="shared" si="4"/>
        <v>1.691741964438128E-2</v>
      </c>
      <c r="F144" s="8" t="str">
        <v>Francia</v>
      </c>
      <c r="G144" s="70">
        <f t="shared" si="5"/>
        <v>1.551531723990356E-2</v>
      </c>
    </row>
    <row r="145" spans="1:7" x14ac:dyDescent="0.2">
      <c r="A145" s="12" t="s">
        <v>411</v>
      </c>
      <c r="B145" s="13">
        <v>966589765.96000004</v>
      </c>
      <c r="C145" s="13">
        <v>3166397419.8800001</v>
      </c>
      <c r="D145" s="70">
        <f t="shared" si="4"/>
        <v>6.3408523648290263E-2</v>
      </c>
      <c r="F145" s="8" t="str">
        <v>Grecia</v>
      </c>
      <c r="G145" s="70">
        <f t="shared" si="5"/>
        <v>1.5780719596707729E-3</v>
      </c>
    </row>
    <row r="146" spans="1:7" x14ac:dyDescent="0.2">
      <c r="A146" s="12" t="s">
        <v>319</v>
      </c>
      <c r="B146" s="13">
        <v>1061670.0900000001</v>
      </c>
      <c r="C146" s="13">
        <v>80272.91</v>
      </c>
      <c r="D146" s="70">
        <f t="shared" si="4"/>
        <v>6.9645816021637132E-5</v>
      </c>
      <c r="F146" s="8" t="str">
        <v>Hungría</v>
      </c>
      <c r="G146" s="70">
        <f t="shared" si="5"/>
        <v>9.7423734506688377E-6</v>
      </c>
    </row>
    <row r="147" spans="1:7" x14ac:dyDescent="0.2">
      <c r="A147" s="12" t="s">
        <v>320</v>
      </c>
      <c r="B147" s="13">
        <v>236513105.75999999</v>
      </c>
      <c r="C147" s="13">
        <v>351834023.44999999</v>
      </c>
      <c r="D147" s="70">
        <f t="shared" si="4"/>
        <v>1.551531723990356E-2</v>
      </c>
      <c r="F147" s="8" t="str">
        <v>Irlanda</v>
      </c>
      <c r="G147" s="70">
        <f t="shared" si="5"/>
        <v>4.7576214146846764E-3</v>
      </c>
    </row>
    <row r="148" spans="1:7" x14ac:dyDescent="0.2">
      <c r="A148" s="12" t="s">
        <v>326</v>
      </c>
      <c r="B148" s="13">
        <v>24055885.84</v>
      </c>
      <c r="C148" s="13">
        <v>77655698.069999993</v>
      </c>
      <c r="D148" s="70">
        <f t="shared" si="4"/>
        <v>1.5780719596707729E-3</v>
      </c>
      <c r="F148" s="8" t="str">
        <v>Italia</v>
      </c>
      <c r="G148" s="70">
        <f t="shared" si="5"/>
        <v>4.3507923914028829E-2</v>
      </c>
    </row>
    <row r="149" spans="1:7" x14ac:dyDescent="0.2">
      <c r="A149" s="12" t="s">
        <v>336</v>
      </c>
      <c r="B149" s="13">
        <v>148511.24</v>
      </c>
      <c r="C149" s="13">
        <v>28530.48</v>
      </c>
      <c r="D149" s="70">
        <f t="shared" si="4"/>
        <v>9.7423734506688377E-6</v>
      </c>
      <c r="F149" s="8" t="str">
        <v>Luxemburgo</v>
      </c>
      <c r="G149" s="70">
        <f t="shared" si="5"/>
        <v>3.54886963583281E-5</v>
      </c>
    </row>
    <row r="150" spans="1:7" x14ac:dyDescent="0.2">
      <c r="A150" s="12" t="s">
        <v>342</v>
      </c>
      <c r="B150" s="13">
        <v>72524447.900000006</v>
      </c>
      <c r="C150" s="13">
        <v>276514644.38999999</v>
      </c>
      <c r="D150" s="70">
        <f t="shared" si="4"/>
        <v>4.7576214146846764E-3</v>
      </c>
      <c r="F150" s="8" t="str">
        <v>Malta</v>
      </c>
      <c r="G150" s="70">
        <f t="shared" si="5"/>
        <v>5.0763839578255424E-5</v>
      </c>
    </row>
    <row r="151" spans="1:7" x14ac:dyDescent="0.2">
      <c r="A151" s="12" t="s">
        <v>344</v>
      </c>
      <c r="B151" s="13">
        <v>663228089.44000006</v>
      </c>
      <c r="C151" s="13">
        <v>1852260241.53</v>
      </c>
      <c r="D151" s="70">
        <f t="shared" si="4"/>
        <v>4.3507923914028829E-2</v>
      </c>
      <c r="F151" s="8" t="str">
        <v>Noruega</v>
      </c>
      <c r="G151" s="70">
        <f t="shared" si="5"/>
        <v>1.194923303361502E-3</v>
      </c>
    </row>
    <row r="152" spans="1:7" x14ac:dyDescent="0.2">
      <c r="A152" s="12" t="s">
        <v>358</v>
      </c>
      <c r="B152" s="13">
        <v>540984.22</v>
      </c>
      <c r="C152" s="13">
        <v>27977.48</v>
      </c>
      <c r="D152" s="70">
        <f t="shared" si="4"/>
        <v>3.54886963583281E-5</v>
      </c>
      <c r="F152" s="8" t="str">
        <v>Países Bajos</v>
      </c>
    </row>
    <row r="153" spans="1:7" x14ac:dyDescent="0.2">
      <c r="A153" s="12" t="s">
        <v>365</v>
      </c>
      <c r="B153" s="13">
        <v>773836.15</v>
      </c>
      <c r="C153" s="13">
        <v>2225013.23</v>
      </c>
      <c r="D153" s="70">
        <f t="shared" si="4"/>
        <v>5.0763839578255424E-5</v>
      </c>
    </row>
    <row r="154" spans="1:7" x14ac:dyDescent="0.2">
      <c r="A154" s="12" t="s">
        <v>384</v>
      </c>
      <c r="B154" s="13">
        <v>18215226.75</v>
      </c>
      <c r="C154" s="13">
        <v>13902723.33</v>
      </c>
      <c r="D154" s="70">
        <f t="shared" si="4"/>
        <v>1.194923303361502E-3</v>
      </c>
    </row>
    <row r="155" spans="1:7" x14ac:dyDescent="0.2">
      <c r="A155" s="12" t="s">
        <v>378</v>
      </c>
      <c r="B155" s="13">
        <v>903302278.32000005</v>
      </c>
      <c r="C155" s="13">
        <v>2535399946.1700001</v>
      </c>
      <c r="D155" s="70">
        <f t="shared" si="4"/>
        <v>5.9256849072389692E-2</v>
      </c>
    </row>
    <row r="156" spans="1:7" x14ac:dyDescent="0.2">
      <c r="A156" s="12" t="s">
        <v>392</v>
      </c>
      <c r="B156" s="13">
        <v>313233268.32999998</v>
      </c>
      <c r="C156" s="13">
        <v>1017726108.91</v>
      </c>
    </row>
    <row r="157" spans="1:7" x14ac:dyDescent="0.2">
      <c r="A157" s="12" t="s">
        <v>393</v>
      </c>
      <c r="B157" s="13">
        <v>89699879.859999999</v>
      </c>
      <c r="C157" s="13">
        <v>285307558.02999997</v>
      </c>
    </row>
    <row r="158" spans="1:7" x14ac:dyDescent="0.2">
      <c r="A158" s="12" t="s">
        <v>431</v>
      </c>
      <c r="B158" s="13">
        <v>281852039.82999998</v>
      </c>
      <c r="C158" s="13">
        <v>789862863.11000001</v>
      </c>
    </row>
    <row r="159" spans="1:7" x14ac:dyDescent="0.2">
      <c r="A159" s="12" t="s">
        <v>396</v>
      </c>
      <c r="B159" s="13">
        <v>20103940.079999998</v>
      </c>
      <c r="C159" s="13">
        <v>53251292.119999997</v>
      </c>
    </row>
    <row r="160" spans="1:7" x14ac:dyDescent="0.2">
      <c r="A160" s="12" t="s">
        <v>418</v>
      </c>
      <c r="B160" s="13">
        <v>5813587.0700000003</v>
      </c>
      <c r="C160" s="13">
        <v>599878.40000000002</v>
      </c>
    </row>
    <row r="161" spans="1:3" x14ac:dyDescent="0.2">
      <c r="A161" s="12" t="s">
        <v>419</v>
      </c>
      <c r="B161" s="13">
        <v>2908755.61</v>
      </c>
      <c r="C161" s="13">
        <v>633912.36</v>
      </c>
    </row>
    <row r="162" spans="1:3" x14ac:dyDescent="0.2">
      <c r="A162" s="12" t="s">
        <v>306</v>
      </c>
      <c r="B162" s="13">
        <v>17104670.25</v>
      </c>
      <c r="C162" s="13">
        <v>55701017.009999998</v>
      </c>
    </row>
    <row r="163" spans="1:3" x14ac:dyDescent="0.2">
      <c r="A163" s="12" t="s">
        <v>427</v>
      </c>
      <c r="B163" s="13">
        <v>188618589.88</v>
      </c>
      <c r="C163" s="13">
        <v>362004786.20999998</v>
      </c>
    </row>
    <row r="164" spans="1:3" x14ac:dyDescent="0.2">
      <c r="A164" s="12" t="s">
        <v>324</v>
      </c>
      <c r="B164" s="13">
        <v>220257355.84999999</v>
      </c>
      <c r="C164" s="13">
        <v>249501876.69</v>
      </c>
    </row>
    <row r="165" spans="1:3" x14ac:dyDescent="0.2">
      <c r="A165" s="12" t="s">
        <v>316</v>
      </c>
      <c r="B165" s="13">
        <v>548590.97</v>
      </c>
      <c r="C165" s="13">
        <v>29605.52</v>
      </c>
    </row>
    <row r="166" spans="1:3" x14ac:dyDescent="0.2">
      <c r="A166" s="12" t="s">
        <v>352</v>
      </c>
      <c r="B166" s="13">
        <v>8670242.6099999994</v>
      </c>
      <c r="C166" s="13">
        <v>32645595.620000001</v>
      </c>
    </row>
    <row r="167" spans="1:3" x14ac:dyDescent="0.2">
      <c r="A167" s="12" t="s">
        <v>357</v>
      </c>
      <c r="B167" s="13">
        <v>2919244.3</v>
      </c>
      <c r="C167" s="13">
        <v>433480.66</v>
      </c>
    </row>
    <row r="168" spans="1:3" x14ac:dyDescent="0.2">
      <c r="A168" s="12" t="s">
        <v>369</v>
      </c>
      <c r="B168" s="13">
        <v>2250000</v>
      </c>
      <c r="C168" s="13">
        <v>235420.5</v>
      </c>
    </row>
    <row r="169" spans="1:3" x14ac:dyDescent="0.2">
      <c r="A169" s="12" t="s">
        <v>397</v>
      </c>
      <c r="B169" s="13">
        <v>98813438.739999995</v>
      </c>
      <c r="C169" s="13">
        <v>55909774.030000001</v>
      </c>
    </row>
    <row r="170" spans="1:3" x14ac:dyDescent="0.2">
      <c r="A170" s="12" t="s">
        <v>429</v>
      </c>
      <c r="B170" s="13">
        <v>12214020.109999999</v>
      </c>
      <c r="C170" s="13">
        <v>2749650.64</v>
      </c>
    </row>
    <row r="171" spans="1:3" x14ac:dyDescent="0.2">
      <c r="A171" s="12" t="s">
        <v>283</v>
      </c>
      <c r="B171" s="13">
        <v>465416.53</v>
      </c>
      <c r="C171" s="13">
        <v>170922.01</v>
      </c>
    </row>
    <row r="172" spans="1:3" x14ac:dyDescent="0.2">
      <c r="A172" s="12" t="s">
        <v>304</v>
      </c>
      <c r="B172" s="13">
        <v>6246805.3700000001</v>
      </c>
      <c r="C172" s="13">
        <v>5506126.1200000001</v>
      </c>
    </row>
    <row r="173" spans="1:3" x14ac:dyDescent="0.2">
      <c r="A173" s="12" t="s">
        <v>406</v>
      </c>
      <c r="B173" s="13">
        <v>4991.34</v>
      </c>
      <c r="C173" s="13">
        <v>11253.28</v>
      </c>
    </row>
    <row r="174" spans="1:3" x14ac:dyDescent="0.2">
      <c r="A174" s="12" t="s">
        <v>407</v>
      </c>
      <c r="B174" s="13">
        <v>3355252.8</v>
      </c>
      <c r="C174" s="13">
        <v>11259868.800000001</v>
      </c>
    </row>
    <row r="175" spans="1:3" x14ac:dyDescent="0.2">
      <c r="A175" s="12" t="s">
        <v>307</v>
      </c>
      <c r="B175" s="13">
        <v>1658438.21</v>
      </c>
      <c r="C175" s="13">
        <v>304627.40000000002</v>
      </c>
    </row>
    <row r="176" spans="1:3" x14ac:dyDescent="0.2">
      <c r="A176" s="12" t="s">
        <v>371</v>
      </c>
      <c r="B176" s="13">
        <v>437417.4</v>
      </c>
      <c r="C176" s="13">
        <v>49748.53</v>
      </c>
    </row>
    <row r="177" spans="1:3" x14ac:dyDescent="0.2">
      <c r="A177" s="12" t="s">
        <v>402</v>
      </c>
      <c r="B177" s="13">
        <v>198.29</v>
      </c>
      <c r="C177" s="13">
        <v>240.37</v>
      </c>
    </row>
    <row r="178" spans="1:3" x14ac:dyDescent="0.2">
      <c r="A178" s="12" t="s">
        <v>1</v>
      </c>
      <c r="B178" s="13" t="s">
        <v>466</v>
      </c>
      <c r="C178" s="13" t="s">
        <v>466</v>
      </c>
    </row>
    <row r="179" spans="1:3" x14ac:dyDescent="0.2">
      <c r="A179" s="12" t="s">
        <v>6</v>
      </c>
      <c r="B179" s="13">
        <v>137604382.72</v>
      </c>
      <c r="C179" s="13">
        <v>292497152.06999999</v>
      </c>
    </row>
    <row r="180" spans="1:3" x14ac:dyDescent="0.2">
      <c r="A180" s="12" t="s">
        <v>271</v>
      </c>
      <c r="B180" s="13">
        <v>116902075.41</v>
      </c>
      <c r="C180" s="13">
        <v>237813407.69999999</v>
      </c>
    </row>
    <row r="181" spans="1:3" x14ac:dyDescent="0.2">
      <c r="A181" s="12" t="s">
        <v>379</v>
      </c>
      <c r="B181" s="13">
        <v>20616432.309999999</v>
      </c>
      <c r="C181" s="13">
        <v>54642344.369999997</v>
      </c>
    </row>
    <row r="182" spans="1:3" x14ac:dyDescent="0.2">
      <c r="A182" s="14" t="s">
        <v>66</v>
      </c>
      <c r="B182" s="15">
        <v>85875</v>
      </c>
      <c r="C182" s="15">
        <v>41400</v>
      </c>
    </row>
    <row r="184" spans="1:3" x14ac:dyDescent="0.2">
      <c r="A184" s="7" t="s">
        <v>16</v>
      </c>
    </row>
  </sheetData>
  <mergeCells count="2">
    <mergeCell ref="A1:C2"/>
    <mergeCell ref="B4:C4"/>
  </mergeCells>
  <pageMargins left="0.75" right="0.75" top="1" bottom="1" header="0.5" footer="0.5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89"/>
  <sheetViews>
    <sheetView workbookViewId="0">
      <selection activeCell="D1" sqref="D1:G1048576"/>
    </sheetView>
  </sheetViews>
  <sheetFormatPr baseColWidth="10" defaultRowHeight="15" x14ac:dyDescent="0.2"/>
  <cols>
    <col min="1" max="1" width="80.625" style="8" customWidth="1"/>
    <col min="2" max="3" width="20" style="9" customWidth="1"/>
    <col min="4" max="16384" width="11" style="8"/>
  </cols>
  <sheetData>
    <row r="1" spans="1:7" x14ac:dyDescent="0.2">
      <c r="A1" s="66" t="s">
        <v>252</v>
      </c>
      <c r="B1" s="66"/>
      <c r="C1" s="66"/>
    </row>
    <row r="2" spans="1:7" x14ac:dyDescent="0.2">
      <c r="A2" s="66"/>
      <c r="B2" s="66"/>
      <c r="C2" s="66"/>
    </row>
    <row r="3" spans="1:7" x14ac:dyDescent="0.2">
      <c r="A3" s="1"/>
      <c r="B3" s="1"/>
      <c r="C3" s="1"/>
    </row>
    <row r="4" spans="1:7" x14ac:dyDescent="0.2">
      <c r="A4" s="2"/>
      <c r="B4" s="67" t="s">
        <v>19</v>
      </c>
      <c r="C4" s="67"/>
    </row>
    <row r="5" spans="1:7" x14ac:dyDescent="0.2">
      <c r="A5" s="3" t="s">
        <v>465</v>
      </c>
      <c r="B5" s="4" t="s">
        <v>10</v>
      </c>
      <c r="C5" s="4" t="s">
        <v>11</v>
      </c>
    </row>
    <row r="6" spans="1:7" x14ac:dyDescent="0.2">
      <c r="A6" s="5"/>
      <c r="B6" s="6" t="s">
        <v>13</v>
      </c>
      <c r="C6" s="6" t="s">
        <v>14</v>
      </c>
    </row>
    <row r="8" spans="1:7" x14ac:dyDescent="0.2">
      <c r="A8" s="10" t="s">
        <v>0</v>
      </c>
      <c r="B8" s="11">
        <v>12567216153.26</v>
      </c>
      <c r="C8" s="11">
        <v>33765493091.939999</v>
      </c>
    </row>
    <row r="9" spans="1:7" x14ac:dyDescent="0.2">
      <c r="A9" s="12" t="s">
        <v>1</v>
      </c>
      <c r="B9" s="13" t="s">
        <v>466</v>
      </c>
      <c r="C9" s="13" t="s">
        <v>466</v>
      </c>
    </row>
    <row r="10" spans="1:7" x14ac:dyDescent="0.2">
      <c r="A10" s="12" t="s">
        <v>2</v>
      </c>
      <c r="B10" s="13">
        <v>1194393899.1500001</v>
      </c>
      <c r="C10" s="13">
        <v>3471185813.3299999</v>
      </c>
      <c r="D10" s="70">
        <f>+B10/$B$8</f>
        <v>9.5040451646896215E-2</v>
      </c>
      <c r="F10" s="8" t="str" cm="1">
        <f t="array" ref="F10:F152">+_xlfn.UNIQUE(A10:A155)</f>
        <v xml:space="preserve">   AFRICA</v>
      </c>
      <c r="G10" s="70">
        <f>+SUMIF(A10:A155,F10,D10:D155)</f>
        <v>9.5040451646896215E-2</v>
      </c>
    </row>
    <row r="11" spans="1:7" x14ac:dyDescent="0.2">
      <c r="A11" s="12" t="s">
        <v>288</v>
      </c>
      <c r="B11" s="13">
        <v>263150</v>
      </c>
      <c r="C11" s="13">
        <v>66480</v>
      </c>
      <c r="D11" s="70">
        <f t="shared" ref="D11:D74" si="0">+B11/$B$8</f>
        <v>2.0939402711851785E-5</v>
      </c>
      <c r="F11" s="8" t="str">
        <v>Burkina Faso</v>
      </c>
      <c r="G11" s="70">
        <f t="shared" ref="G11:G74" si="1">+SUMIF(A11:A156,F11,D11:D156)</f>
        <v>2.0939402711851785E-5</v>
      </c>
    </row>
    <row r="12" spans="1:7" x14ac:dyDescent="0.2">
      <c r="A12" s="12" t="s">
        <v>265</v>
      </c>
      <c r="B12" s="13">
        <v>297987882.86000001</v>
      </c>
      <c r="C12" s="13">
        <v>793899532.79999995</v>
      </c>
      <c r="D12" s="70">
        <f t="shared" si="0"/>
        <v>2.3711526819143666E-2</v>
      </c>
      <c r="F12" s="8" t="str">
        <v>Argelia</v>
      </c>
      <c r="G12" s="70">
        <f t="shared" si="1"/>
        <v>2.3711526819143666E-2</v>
      </c>
    </row>
    <row r="13" spans="1:7" x14ac:dyDescent="0.2">
      <c r="A13" s="12" t="s">
        <v>292</v>
      </c>
      <c r="B13" s="13">
        <v>1371168.32</v>
      </c>
      <c r="C13" s="13">
        <v>538908.15</v>
      </c>
      <c r="D13" s="70">
        <f t="shared" si="0"/>
        <v>1.0910676662820922E-4</v>
      </c>
      <c r="F13" s="8" t="str">
        <v>Camerún</v>
      </c>
      <c r="G13" s="70">
        <f t="shared" si="1"/>
        <v>1.0910676662820922E-4</v>
      </c>
    </row>
    <row r="14" spans="1:7" x14ac:dyDescent="0.2">
      <c r="A14" s="12" t="s">
        <v>470</v>
      </c>
      <c r="B14" s="13">
        <v>28531</v>
      </c>
      <c r="C14" s="13">
        <v>11080</v>
      </c>
      <c r="D14" s="70">
        <f t="shared" si="0"/>
        <v>2.2702720834955093E-6</v>
      </c>
      <c r="F14" s="8" t="str">
        <v>República Centroafricana</v>
      </c>
      <c r="G14" s="70">
        <f t="shared" si="1"/>
        <v>2.2702720834955093E-6</v>
      </c>
    </row>
    <row r="15" spans="1:7" x14ac:dyDescent="0.2">
      <c r="A15" s="12" t="s">
        <v>301</v>
      </c>
      <c r="B15" s="13">
        <v>7794047.2999999998</v>
      </c>
      <c r="C15" s="13">
        <v>15502221.23</v>
      </c>
      <c r="D15" s="70">
        <f t="shared" si="0"/>
        <v>6.2018884731111941E-4</v>
      </c>
      <c r="F15" s="8" t="str">
        <v>Congo</v>
      </c>
      <c r="G15" s="70">
        <f t="shared" si="1"/>
        <v>6.2018884731111941E-4</v>
      </c>
    </row>
    <row r="16" spans="1:7" x14ac:dyDescent="0.2">
      <c r="A16" s="12" t="s">
        <v>300</v>
      </c>
      <c r="B16" s="13">
        <v>3140333.73</v>
      </c>
      <c r="C16" s="13">
        <v>13365753.800000001</v>
      </c>
      <c r="D16" s="70">
        <f t="shared" si="0"/>
        <v>2.498830044540438E-4</v>
      </c>
      <c r="F16" s="8" t="str">
        <v>Rep. Democrática del Congo (ex Zaire)</v>
      </c>
      <c r="G16" s="70">
        <f t="shared" si="1"/>
        <v>2.498830044540438E-4</v>
      </c>
    </row>
    <row r="17" spans="1:7" x14ac:dyDescent="0.2">
      <c r="A17" s="12" t="s">
        <v>303</v>
      </c>
      <c r="B17" s="13">
        <v>2954248.38</v>
      </c>
      <c r="C17" s="13">
        <v>4009940.48</v>
      </c>
      <c r="D17" s="70">
        <f t="shared" si="0"/>
        <v>2.3507579912466554E-4</v>
      </c>
      <c r="F17" s="8" t="str">
        <v>Costa de Marfil</v>
      </c>
      <c r="G17" s="70">
        <f t="shared" si="1"/>
        <v>2.3507579912466554E-4</v>
      </c>
    </row>
    <row r="18" spans="1:7" x14ac:dyDescent="0.2">
      <c r="A18" s="12" t="s">
        <v>295</v>
      </c>
      <c r="B18" s="13">
        <v>248521.02</v>
      </c>
      <c r="C18" s="13">
        <v>95056.55</v>
      </c>
      <c r="D18" s="70">
        <f t="shared" si="0"/>
        <v>1.9775343796846558E-5</v>
      </c>
      <c r="F18" s="8" t="str">
        <v>Chad</v>
      </c>
      <c r="G18" s="70">
        <f t="shared" si="1"/>
        <v>1.9775343796846558E-5</v>
      </c>
    </row>
    <row r="19" spans="1:7" x14ac:dyDescent="0.2">
      <c r="A19" s="12" t="s">
        <v>281</v>
      </c>
      <c r="B19" s="13">
        <v>218812.6</v>
      </c>
      <c r="C19" s="13">
        <v>104184.98</v>
      </c>
      <c r="D19" s="70">
        <f t="shared" si="0"/>
        <v>1.7411381910801215E-5</v>
      </c>
      <c r="F19" s="8" t="str">
        <v>Benin</v>
      </c>
      <c r="G19" s="70">
        <f t="shared" si="1"/>
        <v>1.7411381910801215E-5</v>
      </c>
    </row>
    <row r="20" spans="1:7" x14ac:dyDescent="0.2">
      <c r="A20" s="12" t="s">
        <v>313</v>
      </c>
      <c r="B20" s="13">
        <v>159618457.59999999</v>
      </c>
      <c r="C20" s="13">
        <v>479774886.43000001</v>
      </c>
      <c r="D20" s="70">
        <f t="shared" si="0"/>
        <v>1.2701178658297696E-2</v>
      </c>
      <c r="F20" s="8" t="str">
        <v>Egipto</v>
      </c>
      <c r="G20" s="70">
        <f t="shared" si="1"/>
        <v>1.2701178658297696E-2</v>
      </c>
    </row>
    <row r="21" spans="1:7" x14ac:dyDescent="0.2">
      <c r="A21" s="12" t="s">
        <v>321</v>
      </c>
      <c r="B21" s="13">
        <v>945285.37</v>
      </c>
      <c r="C21" s="13">
        <v>555428.81000000006</v>
      </c>
      <c r="D21" s="70">
        <f t="shared" si="0"/>
        <v>7.5218358502951999E-5</v>
      </c>
      <c r="F21" s="8" t="str">
        <v>Gabón</v>
      </c>
      <c r="G21" s="70">
        <f t="shared" si="1"/>
        <v>7.5218358502951999E-5</v>
      </c>
    </row>
    <row r="22" spans="1:7" x14ac:dyDescent="0.2">
      <c r="A22" s="12" t="s">
        <v>322</v>
      </c>
      <c r="B22" s="13">
        <v>463398.67</v>
      </c>
      <c r="C22" s="13">
        <v>1008037.34</v>
      </c>
      <c r="D22" s="70">
        <f t="shared" si="0"/>
        <v>3.6873613404014856E-5</v>
      </c>
      <c r="F22" s="8" t="str">
        <v>Gambia</v>
      </c>
      <c r="G22" s="70">
        <f t="shared" si="1"/>
        <v>3.6873613404014856E-5</v>
      </c>
    </row>
    <row r="23" spans="1:7" x14ac:dyDescent="0.2">
      <c r="A23" s="12" t="s">
        <v>325</v>
      </c>
      <c r="B23" s="13">
        <v>2099275.73</v>
      </c>
      <c r="C23" s="13">
        <v>1294688.33</v>
      </c>
      <c r="D23" s="70">
        <f t="shared" si="0"/>
        <v>1.6704381498645879E-4</v>
      </c>
      <c r="F23" s="8" t="str">
        <v>Ghana</v>
      </c>
      <c r="G23" s="70">
        <f t="shared" si="1"/>
        <v>1.6704381498645879E-4</v>
      </c>
    </row>
    <row r="24" spans="1:7" x14ac:dyDescent="0.2">
      <c r="A24" s="12" t="s">
        <v>329</v>
      </c>
      <c r="B24" s="13">
        <v>449810.3</v>
      </c>
      <c r="C24" s="13">
        <v>656741.34</v>
      </c>
      <c r="D24" s="70">
        <f t="shared" si="0"/>
        <v>3.5792358030168588E-5</v>
      </c>
      <c r="F24" s="8" t="str">
        <v>Guinea</v>
      </c>
      <c r="G24" s="70">
        <f t="shared" si="1"/>
        <v>3.5792358030168588E-5</v>
      </c>
    </row>
    <row r="25" spans="1:7" x14ac:dyDescent="0.2">
      <c r="A25" s="12" t="s">
        <v>330</v>
      </c>
      <c r="B25" s="13">
        <v>122175.59</v>
      </c>
      <c r="C25" s="13">
        <v>86091.4</v>
      </c>
      <c r="D25" s="70">
        <f t="shared" si="0"/>
        <v>9.7217703992707267E-6</v>
      </c>
      <c r="F25" s="8" t="str">
        <v>Guinea Ecuatorial</v>
      </c>
      <c r="G25" s="70">
        <f t="shared" si="1"/>
        <v>9.7217703992707267E-6</v>
      </c>
    </row>
    <row r="26" spans="1:7" x14ac:dyDescent="0.2">
      <c r="A26" s="12" t="s">
        <v>349</v>
      </c>
      <c r="B26" s="13">
        <v>11745509.300000001</v>
      </c>
      <c r="C26" s="13">
        <v>37136514.770000003</v>
      </c>
      <c r="D26" s="70">
        <f t="shared" si="0"/>
        <v>9.3461504574767385E-4</v>
      </c>
      <c r="F26" s="8" t="str">
        <v>Kenya</v>
      </c>
      <c r="G26" s="70">
        <f t="shared" si="1"/>
        <v>9.3461504574767385E-4</v>
      </c>
    </row>
    <row r="27" spans="1:7" x14ac:dyDescent="0.2">
      <c r="A27" s="12" t="s">
        <v>355</v>
      </c>
      <c r="B27" s="13">
        <v>874811.14</v>
      </c>
      <c r="C27" s="13">
        <v>1814410.98</v>
      </c>
      <c r="D27" s="70">
        <f t="shared" si="0"/>
        <v>6.9610574794885617E-5</v>
      </c>
      <c r="F27" s="8" t="str">
        <v>Liberia</v>
      </c>
      <c r="G27" s="70">
        <f t="shared" si="1"/>
        <v>6.9610574794885617E-5</v>
      </c>
    </row>
    <row r="28" spans="1:7" x14ac:dyDescent="0.2">
      <c r="A28" s="12" t="s">
        <v>356</v>
      </c>
      <c r="B28" s="13">
        <v>30316024.16</v>
      </c>
      <c r="C28" s="13">
        <v>141812292.19999999</v>
      </c>
      <c r="D28" s="70">
        <f t="shared" si="0"/>
        <v>2.4123102356392485E-3</v>
      </c>
      <c r="F28" s="8" t="str">
        <v>Libia</v>
      </c>
      <c r="G28" s="70">
        <f t="shared" si="1"/>
        <v>2.4123102356392485E-3</v>
      </c>
    </row>
    <row r="29" spans="1:7" x14ac:dyDescent="0.2">
      <c r="A29" s="12" t="s">
        <v>360</v>
      </c>
      <c r="B29" s="13">
        <v>19189267.010000002</v>
      </c>
      <c r="C29" s="13">
        <v>30682026</v>
      </c>
      <c r="D29" s="70">
        <f t="shared" si="0"/>
        <v>1.5269306086552992E-3</v>
      </c>
      <c r="F29" s="8" t="str">
        <v>Madagascar</v>
      </c>
      <c r="G29" s="70">
        <f t="shared" si="1"/>
        <v>1.5269306086552992E-3</v>
      </c>
    </row>
    <row r="30" spans="1:7" x14ac:dyDescent="0.2">
      <c r="A30" s="12" t="s">
        <v>361</v>
      </c>
      <c r="B30" s="13">
        <v>1218280.6599999999</v>
      </c>
      <c r="C30" s="13">
        <v>4799738.26</v>
      </c>
      <c r="D30" s="70">
        <f t="shared" si="0"/>
        <v>9.6941171787195816E-5</v>
      </c>
      <c r="F30" s="8" t="str">
        <v>Malawi</v>
      </c>
      <c r="G30" s="70">
        <f t="shared" si="1"/>
        <v>9.6941171787195816E-5</v>
      </c>
    </row>
    <row r="31" spans="1:7" x14ac:dyDescent="0.2">
      <c r="A31" s="12" t="s">
        <v>364</v>
      </c>
      <c r="B31" s="13">
        <v>369982.35</v>
      </c>
      <c r="C31" s="13">
        <v>132572.07999999999</v>
      </c>
      <c r="D31" s="70">
        <f t="shared" si="0"/>
        <v>2.9440279015494187E-5</v>
      </c>
      <c r="F31" s="8" t="str">
        <v>Mali</v>
      </c>
      <c r="G31" s="70">
        <f t="shared" si="1"/>
        <v>2.9440279015494187E-5</v>
      </c>
    </row>
    <row r="32" spans="1:7" x14ac:dyDescent="0.2">
      <c r="A32" s="12" t="s">
        <v>372</v>
      </c>
      <c r="B32" s="13">
        <v>141227561.13999999</v>
      </c>
      <c r="C32" s="13">
        <v>303878301.63</v>
      </c>
      <c r="D32" s="70">
        <f t="shared" si="0"/>
        <v>1.1237776084830437E-2</v>
      </c>
      <c r="F32" s="8" t="str">
        <v>Marruecos</v>
      </c>
      <c r="G32" s="70">
        <f t="shared" si="1"/>
        <v>1.1237776084830437E-2</v>
      </c>
    </row>
    <row r="33" spans="1:7" x14ac:dyDescent="0.2">
      <c r="A33" s="12" t="s">
        <v>367</v>
      </c>
      <c r="B33" s="13">
        <v>10410303.09</v>
      </c>
      <c r="C33" s="13">
        <v>27170964.420000002</v>
      </c>
      <c r="D33" s="70">
        <f t="shared" si="0"/>
        <v>8.2836986036080183E-4</v>
      </c>
      <c r="F33" s="8" t="str">
        <v>Mauricio</v>
      </c>
      <c r="G33" s="70">
        <f t="shared" si="1"/>
        <v>8.2836986036080183E-4</v>
      </c>
    </row>
    <row r="34" spans="1:7" x14ac:dyDescent="0.2">
      <c r="A34" s="12" t="s">
        <v>366</v>
      </c>
      <c r="B34" s="13">
        <v>1691738.44</v>
      </c>
      <c r="C34" s="13">
        <v>4614371.12</v>
      </c>
      <c r="D34" s="70">
        <f t="shared" si="0"/>
        <v>1.3461520987375985E-4</v>
      </c>
      <c r="F34" s="8" t="str">
        <v>Mauritania</v>
      </c>
      <c r="G34" s="70">
        <f t="shared" si="1"/>
        <v>1.3461520987375985E-4</v>
      </c>
    </row>
    <row r="35" spans="1:7" x14ac:dyDescent="0.2">
      <c r="A35" s="12" t="s">
        <v>381</v>
      </c>
      <c r="B35" s="13">
        <v>2795910.07</v>
      </c>
      <c r="C35" s="13">
        <v>909277.98</v>
      </c>
      <c r="D35" s="70">
        <f t="shared" si="0"/>
        <v>2.2247648452157213E-4</v>
      </c>
      <c r="F35" s="8" t="str">
        <v>Níger</v>
      </c>
      <c r="G35" s="70">
        <f t="shared" si="1"/>
        <v>2.2247648452157213E-4</v>
      </c>
    </row>
    <row r="36" spans="1:7" x14ac:dyDescent="0.2">
      <c r="A36" s="12" t="s">
        <v>382</v>
      </c>
      <c r="B36" s="13">
        <v>20589249.199999999</v>
      </c>
      <c r="C36" s="13">
        <v>48212956.450000003</v>
      </c>
      <c r="D36" s="70">
        <f t="shared" si="0"/>
        <v>1.6383301559318721E-3</v>
      </c>
      <c r="F36" s="8" t="str">
        <v>Nigeria</v>
      </c>
      <c r="G36" s="70">
        <f t="shared" si="1"/>
        <v>1.6383301559318721E-3</v>
      </c>
    </row>
    <row r="37" spans="1:7" x14ac:dyDescent="0.2">
      <c r="A37" s="12" t="s">
        <v>401</v>
      </c>
      <c r="B37" s="13">
        <v>21594432.690000001</v>
      </c>
      <c r="C37" s="13">
        <v>36898520.43</v>
      </c>
      <c r="D37" s="70">
        <f t="shared" si="0"/>
        <v>1.7183147346756104E-3</v>
      </c>
      <c r="F37" s="8" t="str">
        <v>Senegal</v>
      </c>
      <c r="G37" s="70">
        <f t="shared" si="1"/>
        <v>1.7183147346756104E-3</v>
      </c>
    </row>
    <row r="38" spans="1:7" x14ac:dyDescent="0.2">
      <c r="A38" s="12" t="s">
        <v>404</v>
      </c>
      <c r="B38" s="13">
        <v>373151.15</v>
      </c>
      <c r="C38" s="13">
        <v>564760.56999999995</v>
      </c>
      <c r="D38" s="70">
        <f t="shared" si="0"/>
        <v>2.9692427141328566E-5</v>
      </c>
      <c r="F38" s="8" t="str">
        <v>Sierra Leona</v>
      </c>
      <c r="G38" s="70">
        <f t="shared" si="1"/>
        <v>2.9692427141328566E-5</v>
      </c>
    </row>
    <row r="39" spans="1:7" x14ac:dyDescent="0.2">
      <c r="A39" s="12" t="s">
        <v>416</v>
      </c>
      <c r="B39" s="13">
        <v>123853.5</v>
      </c>
      <c r="C39" s="13">
        <v>144353.44</v>
      </c>
      <c r="D39" s="70">
        <f t="shared" si="0"/>
        <v>9.8552852508924E-6</v>
      </c>
      <c r="F39" s="8" t="str">
        <v>Sudán</v>
      </c>
      <c r="G39" s="70">
        <f t="shared" si="1"/>
        <v>9.8552852508924E-6</v>
      </c>
    </row>
    <row r="40" spans="1:7" x14ac:dyDescent="0.2">
      <c r="A40" s="12" t="s">
        <v>422</v>
      </c>
      <c r="B40" s="13">
        <v>10210301.779999999</v>
      </c>
      <c r="C40" s="13">
        <v>28665373.120000001</v>
      </c>
      <c r="D40" s="70">
        <f t="shared" si="0"/>
        <v>8.1245533262761579E-4</v>
      </c>
      <c r="F40" s="8" t="str">
        <v>Tanzania</v>
      </c>
      <c r="G40" s="70">
        <f t="shared" si="1"/>
        <v>8.1245533262761579E-4</v>
      </c>
    </row>
    <row r="41" spans="1:7" x14ac:dyDescent="0.2">
      <c r="A41" s="12" t="s">
        <v>424</v>
      </c>
      <c r="B41" s="13">
        <v>3782161.29</v>
      </c>
      <c r="C41" s="13">
        <v>1451146.1</v>
      </c>
      <c r="D41" s="70">
        <f t="shared" si="0"/>
        <v>3.009545824529236E-4</v>
      </c>
      <c r="F41" s="8" t="str">
        <v>Togo</v>
      </c>
      <c r="G41" s="70">
        <f t="shared" si="1"/>
        <v>3.009545824529236E-4</v>
      </c>
    </row>
    <row r="42" spans="1:7" x14ac:dyDescent="0.2">
      <c r="A42" s="12" t="s">
        <v>426</v>
      </c>
      <c r="B42" s="13">
        <v>97482186.989999995</v>
      </c>
      <c r="C42" s="13">
        <v>332032258.67000002</v>
      </c>
      <c r="D42" s="70">
        <f t="shared" si="0"/>
        <v>7.7568640342604925E-3</v>
      </c>
      <c r="F42" s="8" t="str">
        <v>Túnez</v>
      </c>
      <c r="G42" s="70">
        <f t="shared" si="1"/>
        <v>7.7568640342604925E-3</v>
      </c>
    </row>
    <row r="43" spans="1:7" x14ac:dyDescent="0.2">
      <c r="A43" s="12" t="s">
        <v>428</v>
      </c>
      <c r="B43" s="13">
        <v>762557.6</v>
      </c>
      <c r="C43" s="13">
        <v>2634240</v>
      </c>
      <c r="D43" s="70">
        <f t="shared" si="0"/>
        <v>6.0678322923743827E-5</v>
      </c>
      <c r="F43" s="8" t="str">
        <v>Uganda</v>
      </c>
      <c r="G43" s="70">
        <f t="shared" si="1"/>
        <v>6.0678322923743827E-5</v>
      </c>
    </row>
    <row r="44" spans="1:7" x14ac:dyDescent="0.2">
      <c r="A44" s="12" t="s">
        <v>438</v>
      </c>
      <c r="B44" s="13">
        <v>10619.14</v>
      </c>
      <c r="C44" s="13">
        <v>12819.67</v>
      </c>
      <c r="D44" s="70">
        <f t="shared" si="0"/>
        <v>8.4498745549509306E-7</v>
      </c>
      <c r="F44" s="8" t="str">
        <v>Zambia</v>
      </c>
      <c r="G44" s="70">
        <f t="shared" si="1"/>
        <v>8.4498745549509306E-7</v>
      </c>
    </row>
    <row r="45" spans="1:7" x14ac:dyDescent="0.2">
      <c r="A45" s="12" t="s">
        <v>65</v>
      </c>
      <c r="B45" s="13">
        <v>428808.79</v>
      </c>
      <c r="C45" s="13">
        <v>51381.53</v>
      </c>
      <c r="D45" s="70">
        <f t="shared" si="0"/>
        <v>3.4121223409431431E-5</v>
      </c>
      <c r="F45" s="8" t="str">
        <v>Territorios vinculados a España</v>
      </c>
      <c r="G45" s="70">
        <f t="shared" si="1"/>
        <v>3.4121223409431431E-5</v>
      </c>
    </row>
    <row r="46" spans="1:7" x14ac:dyDescent="0.2">
      <c r="A46" s="12" t="s">
        <v>66</v>
      </c>
      <c r="B46" s="13">
        <v>8385342.79</v>
      </c>
      <c r="C46" s="13">
        <v>39495911.299999997</v>
      </c>
      <c r="D46" s="70">
        <f t="shared" si="0"/>
        <v>6.6723948150002965E-4</v>
      </c>
      <c r="F46" s="8" t="str">
        <v>Territorios vinculados a Francia</v>
      </c>
      <c r="G46" s="70">
        <f t="shared" si="1"/>
        <v>6.6922796166104907E-4</v>
      </c>
    </row>
    <row r="47" spans="1:7" x14ac:dyDescent="0.2">
      <c r="A47" s="12" t="s">
        <v>267</v>
      </c>
      <c r="B47" s="13">
        <v>7019995.8499999996</v>
      </c>
      <c r="C47" s="13">
        <v>12012006.630000001</v>
      </c>
      <c r="D47" s="70">
        <f t="shared" si="0"/>
        <v>5.5859593440500959E-4</v>
      </c>
      <c r="F47" s="8" t="str">
        <v>Angola</v>
      </c>
      <c r="G47" s="70">
        <f t="shared" si="1"/>
        <v>5.5859593440500959E-4</v>
      </c>
    </row>
    <row r="48" spans="1:7" x14ac:dyDescent="0.2">
      <c r="A48" s="12" t="s">
        <v>290</v>
      </c>
      <c r="B48" s="13">
        <v>121189.12</v>
      </c>
      <c r="C48" s="13">
        <v>994397.11</v>
      </c>
      <c r="D48" s="70">
        <f t="shared" si="0"/>
        <v>9.6432748925515155E-6</v>
      </c>
      <c r="F48" s="8" t="str">
        <v>Cabo Verde</v>
      </c>
      <c r="G48" s="70"/>
    </row>
    <row r="49" spans="1:7" x14ac:dyDescent="0.2">
      <c r="A49" s="12" t="s">
        <v>373</v>
      </c>
      <c r="B49" s="13">
        <v>16477515.08</v>
      </c>
      <c r="C49" s="13">
        <v>41643975.969999999</v>
      </c>
      <c r="D49" s="70">
        <f t="shared" si="0"/>
        <v>1.3111507655357427E-3</v>
      </c>
      <c r="F49" s="8" t="str">
        <v>Mozambique</v>
      </c>
      <c r="G49" s="70">
        <f t="shared" si="1"/>
        <v>1.3111507655357427E-3</v>
      </c>
    </row>
    <row r="50" spans="1:7" x14ac:dyDescent="0.2">
      <c r="A50" s="12" t="s">
        <v>309</v>
      </c>
      <c r="B50" s="13">
        <v>2480.61</v>
      </c>
      <c r="C50" s="13">
        <v>5933.9</v>
      </c>
      <c r="D50" s="70">
        <f t="shared" si="0"/>
        <v>1.9738739031368672E-7</v>
      </c>
      <c r="F50" s="8" t="str">
        <v>Djibouti</v>
      </c>
      <c r="G50" s="70">
        <f t="shared" si="1"/>
        <v>1.9738739031368672E-7</v>
      </c>
    </row>
    <row r="51" spans="1:7" x14ac:dyDescent="0.2">
      <c r="A51" s="12" t="s">
        <v>299</v>
      </c>
      <c r="B51" s="13">
        <v>14694.68</v>
      </c>
      <c r="C51" s="13">
        <v>9354.61</v>
      </c>
      <c r="D51" s="70">
        <f t="shared" si="0"/>
        <v>1.1692868031229115E-6</v>
      </c>
      <c r="F51" s="8" t="str">
        <v>Comoras</v>
      </c>
      <c r="G51" s="70">
        <f t="shared" si="1"/>
        <v>1.1692868031229115E-6</v>
      </c>
    </row>
    <row r="52" spans="1:7" x14ac:dyDescent="0.2">
      <c r="A52" s="12" t="s">
        <v>331</v>
      </c>
      <c r="B52" s="13">
        <v>154990.59</v>
      </c>
      <c r="C52" s="13">
        <v>57128.480000000003</v>
      </c>
      <c r="D52" s="70">
        <f t="shared" si="0"/>
        <v>1.233292943400155E-5</v>
      </c>
      <c r="F52" s="8" t="str">
        <v>Guinea Bissau</v>
      </c>
      <c r="G52" s="70">
        <f t="shared" si="1"/>
        <v>1.233292943400155E-5</v>
      </c>
    </row>
    <row r="53" spans="1:7" x14ac:dyDescent="0.2">
      <c r="A53" s="12" t="s">
        <v>375</v>
      </c>
      <c r="B53" s="13">
        <v>186986.26</v>
      </c>
      <c r="C53" s="13">
        <v>46162.37</v>
      </c>
      <c r="D53" s="70">
        <f t="shared" si="0"/>
        <v>1.4878892645726859E-5</v>
      </c>
      <c r="F53" s="8" t="str">
        <v>Namibia</v>
      </c>
      <c r="G53" s="70">
        <f t="shared" si="1"/>
        <v>1.4878892645726859E-5</v>
      </c>
    </row>
    <row r="54" spans="1:7" x14ac:dyDescent="0.2">
      <c r="A54" s="12" t="s">
        <v>409</v>
      </c>
      <c r="B54" s="13">
        <v>309128896.20999998</v>
      </c>
      <c r="C54" s="13">
        <v>1062333631.9</v>
      </c>
      <c r="D54" s="70">
        <f t="shared" si="0"/>
        <v>2.4598040842148668E-2</v>
      </c>
      <c r="F54" s="8" t="str">
        <v>Sudáfrica</v>
      </c>
      <c r="G54" s="70">
        <f t="shared" si="1"/>
        <v>2.4598040842148668E-2</v>
      </c>
    </row>
    <row r="55" spans="1:7" x14ac:dyDescent="0.2">
      <c r="A55" s="12" t="s">
        <v>1</v>
      </c>
      <c r="B55" s="13" t="s">
        <v>466</v>
      </c>
      <c r="C55" s="13" t="s">
        <v>466</v>
      </c>
      <c r="D55" s="70" t="e">
        <f t="shared" si="0"/>
        <v>#VALUE!</v>
      </c>
      <c r="F55" s="8" t="str">
        <v xml:space="preserve">   </v>
      </c>
      <c r="G55" s="70" t="e">
        <f t="shared" si="1"/>
        <v>#VALUE!</v>
      </c>
    </row>
    <row r="56" spans="1:7" x14ac:dyDescent="0.2">
      <c r="A56" s="12" t="s">
        <v>3</v>
      </c>
      <c r="B56" s="13">
        <v>3447503943.6100001</v>
      </c>
      <c r="C56" s="13">
        <v>4877870665.4499998</v>
      </c>
      <c r="D56" s="70">
        <f t="shared" si="0"/>
        <v>0.27432518877426165</v>
      </c>
      <c r="F56" s="8" t="str">
        <v xml:space="preserve">   AMERICA</v>
      </c>
      <c r="G56" s="70">
        <f t="shared" si="1"/>
        <v>0.27432518877426165</v>
      </c>
    </row>
    <row r="57" spans="1:7" x14ac:dyDescent="0.2">
      <c r="A57" s="12" t="s">
        <v>277</v>
      </c>
      <c r="B57" s="13">
        <v>388040.63</v>
      </c>
      <c r="C57" s="13">
        <v>136336.69</v>
      </c>
      <c r="D57" s="70">
        <f t="shared" si="0"/>
        <v>3.0877214592934354E-5</v>
      </c>
      <c r="F57" s="8" t="str">
        <v>Barbados</v>
      </c>
      <c r="G57" s="70">
        <f t="shared" si="1"/>
        <v>3.0877214592934354E-5</v>
      </c>
    </row>
    <row r="58" spans="1:7" x14ac:dyDescent="0.2">
      <c r="A58" s="12" t="s">
        <v>282</v>
      </c>
      <c r="B58" s="13">
        <v>54484724.659999996</v>
      </c>
      <c r="C58" s="13">
        <v>79267213.079999998</v>
      </c>
      <c r="D58" s="70">
        <f t="shared" si="0"/>
        <v>4.3354649108877132E-3</v>
      </c>
      <c r="F58" s="8" t="str">
        <v>Bolivia</v>
      </c>
      <c r="G58" s="70">
        <f t="shared" si="1"/>
        <v>4.3354649108877132E-3</v>
      </c>
    </row>
    <row r="59" spans="1:7" x14ac:dyDescent="0.2">
      <c r="A59" s="12" t="s">
        <v>285</v>
      </c>
      <c r="B59" s="13">
        <v>1398214736.22</v>
      </c>
      <c r="C59" s="13">
        <v>1569871520.3199999</v>
      </c>
      <c r="D59" s="70">
        <f t="shared" si="0"/>
        <v>0.11125890723677065</v>
      </c>
      <c r="F59" s="8" t="str">
        <v>Brasil</v>
      </c>
      <c r="G59" s="70">
        <f t="shared" si="1"/>
        <v>0.11125890723677065</v>
      </c>
    </row>
    <row r="60" spans="1:7" x14ac:dyDescent="0.2">
      <c r="A60" s="12" t="s">
        <v>293</v>
      </c>
      <c r="B60" s="13">
        <v>12723241.539999999</v>
      </c>
      <c r="C60" s="13">
        <v>2066569.65</v>
      </c>
      <c r="D60" s="70">
        <f t="shared" si="0"/>
        <v>1.0124152704017529E-3</v>
      </c>
      <c r="F60" s="8" t="str">
        <v>Canadá</v>
      </c>
      <c r="G60" s="70">
        <f t="shared" si="1"/>
        <v>1.0124152704017529E-3</v>
      </c>
    </row>
    <row r="61" spans="1:7" x14ac:dyDescent="0.2">
      <c r="A61" s="12" t="s">
        <v>298</v>
      </c>
      <c r="B61" s="13">
        <v>135214017.16</v>
      </c>
      <c r="C61" s="13">
        <v>428647967.42000002</v>
      </c>
      <c r="D61" s="70">
        <f t="shared" si="0"/>
        <v>1.075926565685152E-2</v>
      </c>
      <c r="F61" s="8" t="str">
        <v>Colombia</v>
      </c>
      <c r="G61" s="70">
        <f t="shared" si="1"/>
        <v>1.075926565685152E-2</v>
      </c>
    </row>
    <row r="62" spans="1:7" x14ac:dyDescent="0.2">
      <c r="A62" s="12" t="s">
        <v>302</v>
      </c>
      <c r="B62" s="13">
        <v>2590150.7200000002</v>
      </c>
      <c r="C62" s="13">
        <v>552945.67000000004</v>
      </c>
      <c r="D62" s="70">
        <f t="shared" si="0"/>
        <v>2.0610377735311744E-4</v>
      </c>
      <c r="F62" s="8" t="str">
        <v>Costa Rica</v>
      </c>
      <c r="G62" s="70">
        <f t="shared" si="1"/>
        <v>2.0610377735311744E-4</v>
      </c>
    </row>
    <row r="63" spans="1:7" x14ac:dyDescent="0.2">
      <c r="A63" s="12" t="s">
        <v>442</v>
      </c>
      <c r="B63" s="13">
        <v>10972675.220000001</v>
      </c>
      <c r="C63" s="13">
        <v>20398660.48</v>
      </c>
      <c r="D63" s="70">
        <f t="shared" si="0"/>
        <v>8.7311900155020669E-4</v>
      </c>
      <c r="F63" s="8" t="str">
        <v>Cuba</v>
      </c>
      <c r="G63" s="70">
        <f t="shared" si="1"/>
        <v>8.7311900155020669E-4</v>
      </c>
    </row>
    <row r="64" spans="1:7" x14ac:dyDescent="0.2">
      <c r="A64" s="12" t="s">
        <v>296</v>
      </c>
      <c r="B64" s="13">
        <v>355317274.76999998</v>
      </c>
      <c r="C64" s="13">
        <v>766370767.09000003</v>
      </c>
      <c r="D64" s="70">
        <f t="shared" si="0"/>
        <v>2.8273347926607347E-2</v>
      </c>
      <c r="F64" s="8" t="str">
        <v>Chile</v>
      </c>
      <c r="G64" s="70">
        <f t="shared" si="1"/>
        <v>2.8273347926607347E-2</v>
      </c>
    </row>
    <row r="65" spans="1:7" x14ac:dyDescent="0.2">
      <c r="A65" s="12" t="s">
        <v>311</v>
      </c>
      <c r="B65" s="13">
        <v>99330626.319999993</v>
      </c>
      <c r="C65" s="13">
        <v>119801912.22</v>
      </c>
      <c r="D65" s="70">
        <f t="shared" si="0"/>
        <v>7.9039482657607598E-3</v>
      </c>
      <c r="F65" s="8" t="str">
        <v>República Dominicana</v>
      </c>
      <c r="G65" s="70">
        <f t="shared" si="1"/>
        <v>7.9039482657607598E-3</v>
      </c>
    </row>
    <row r="66" spans="1:7" x14ac:dyDescent="0.2">
      <c r="A66" s="12" t="s">
        <v>312</v>
      </c>
      <c r="B66" s="13">
        <v>111790465.27</v>
      </c>
      <c r="C66" s="13">
        <v>321062298.38</v>
      </c>
      <c r="D66" s="70">
        <f t="shared" si="0"/>
        <v>8.8954040343295106E-3</v>
      </c>
      <c r="F66" s="8" t="str">
        <v>Ecuador</v>
      </c>
      <c r="G66" s="70">
        <f t="shared" si="1"/>
        <v>8.8954040343295106E-3</v>
      </c>
    </row>
    <row r="67" spans="1:7" x14ac:dyDescent="0.2">
      <c r="A67" s="12" t="s">
        <v>314</v>
      </c>
      <c r="B67" s="13">
        <v>5856631.6500000004</v>
      </c>
      <c r="C67" s="13">
        <v>5158211.2300000004</v>
      </c>
      <c r="D67" s="70">
        <f t="shared" si="0"/>
        <v>4.660245816238913E-4</v>
      </c>
      <c r="F67" s="8" t="str">
        <v>El Salvador</v>
      </c>
      <c r="G67" s="70">
        <f t="shared" si="1"/>
        <v>4.660245816238913E-4</v>
      </c>
    </row>
    <row r="68" spans="1:7" x14ac:dyDescent="0.2">
      <c r="A68" s="12" t="s">
        <v>432</v>
      </c>
      <c r="B68" s="13">
        <v>347117089.55000001</v>
      </c>
      <c r="C68" s="13">
        <v>400410510.82999998</v>
      </c>
      <c r="D68" s="70">
        <f t="shared" si="0"/>
        <v>2.7620841825017551E-2</v>
      </c>
      <c r="F68" s="8" t="str">
        <v>Estados Unidos</v>
      </c>
      <c r="G68" s="70">
        <f t="shared" si="1"/>
        <v>2.7620841825017551E-2</v>
      </c>
    </row>
    <row r="69" spans="1:7" x14ac:dyDescent="0.2">
      <c r="A69" s="12" t="s">
        <v>328</v>
      </c>
      <c r="B69" s="13">
        <v>29957639.030000001</v>
      </c>
      <c r="C69" s="13">
        <v>41168981.159999996</v>
      </c>
      <c r="D69" s="70">
        <f t="shared" si="0"/>
        <v>2.3837927719759029E-3</v>
      </c>
      <c r="F69" s="8" t="str">
        <v>Guatemala</v>
      </c>
      <c r="G69" s="70">
        <f t="shared" si="1"/>
        <v>2.3837927719759029E-3</v>
      </c>
    </row>
    <row r="70" spans="1:7" x14ac:dyDescent="0.2">
      <c r="A70" s="12" t="s">
        <v>332</v>
      </c>
      <c r="B70" s="13">
        <v>361008.69</v>
      </c>
      <c r="C70" s="13">
        <v>227561.59</v>
      </c>
      <c r="D70" s="70">
        <f t="shared" si="0"/>
        <v>2.8726225887851263E-5</v>
      </c>
      <c r="F70" s="8" t="str">
        <v>Guyana</v>
      </c>
      <c r="G70" s="70">
        <f t="shared" si="1"/>
        <v>2.8726225887851263E-5</v>
      </c>
    </row>
    <row r="71" spans="1:7" x14ac:dyDescent="0.2">
      <c r="A71" s="12" t="s">
        <v>333</v>
      </c>
      <c r="B71" s="13">
        <v>1389752.3</v>
      </c>
      <c r="C71" s="13">
        <v>2689687.63</v>
      </c>
      <c r="D71" s="70">
        <f t="shared" si="0"/>
        <v>1.1058553326780261E-4</v>
      </c>
      <c r="F71" s="8" t="str">
        <v>Haití</v>
      </c>
      <c r="G71" s="70">
        <f t="shared" si="1"/>
        <v>1.1058553326780261E-4</v>
      </c>
    </row>
    <row r="72" spans="1:7" x14ac:dyDescent="0.2">
      <c r="A72" s="12" t="s">
        <v>334</v>
      </c>
      <c r="B72" s="13">
        <v>1917778.94</v>
      </c>
      <c r="C72" s="13">
        <v>1587072.06</v>
      </c>
      <c r="D72" s="70">
        <f t="shared" si="0"/>
        <v>1.5260173109241207E-4</v>
      </c>
      <c r="F72" s="8" t="str">
        <v>Honduras</v>
      </c>
      <c r="G72" s="70">
        <f t="shared" si="1"/>
        <v>1.5260173109241207E-4</v>
      </c>
    </row>
    <row r="73" spans="1:7" x14ac:dyDescent="0.2">
      <c r="A73" s="12" t="s">
        <v>345</v>
      </c>
      <c r="B73" s="13">
        <v>2214473.83</v>
      </c>
      <c r="C73" s="13">
        <v>2388966.79</v>
      </c>
      <c r="D73" s="70">
        <f t="shared" si="0"/>
        <v>1.7621037173181384E-4</v>
      </c>
      <c r="F73" s="8" t="str">
        <v>Jamaica</v>
      </c>
      <c r="G73" s="70">
        <f t="shared" si="1"/>
        <v>1.7621037173181384E-4</v>
      </c>
    </row>
    <row r="74" spans="1:7" x14ac:dyDescent="0.2">
      <c r="A74" s="12" t="s">
        <v>368</v>
      </c>
      <c r="B74" s="13">
        <v>159037050.80000001</v>
      </c>
      <c r="C74" s="13">
        <v>39235443</v>
      </c>
      <c r="D74" s="70">
        <f t="shared" si="0"/>
        <v>1.2654914888111077E-2</v>
      </c>
      <c r="F74" s="8" t="str">
        <v>México</v>
      </c>
      <c r="G74" s="70">
        <f t="shared" si="1"/>
        <v>1.2654914888111077E-2</v>
      </c>
    </row>
    <row r="75" spans="1:7" x14ac:dyDescent="0.2">
      <c r="A75" s="12" t="s">
        <v>380</v>
      </c>
      <c r="B75" s="13">
        <v>3069593.66</v>
      </c>
      <c r="C75" s="13">
        <v>2980663.73</v>
      </c>
      <c r="D75" s="70">
        <f t="shared" ref="D75:D138" si="2">+B75/$B$8</f>
        <v>2.4425406729426961E-4</v>
      </c>
      <c r="F75" s="8" t="str">
        <v>Nicaragua</v>
      </c>
      <c r="G75" s="70">
        <f t="shared" ref="G75:G138" si="3">+SUMIF(A75:A220,F75,D75:D220)</f>
        <v>2.4425406729426961E-4</v>
      </c>
    </row>
    <row r="76" spans="1:7" x14ac:dyDescent="0.2">
      <c r="A76" s="12" t="s">
        <v>387</v>
      </c>
      <c r="B76" s="13">
        <v>9506899</v>
      </c>
      <c r="C76" s="13">
        <v>18121043.18</v>
      </c>
      <c r="D76" s="70">
        <f t="shared" si="2"/>
        <v>7.5648408398974352E-4</v>
      </c>
      <c r="F76" s="8" t="str">
        <v>Panamá</v>
      </c>
      <c r="G76" s="70">
        <f t="shared" si="3"/>
        <v>7.5648408398974352E-4</v>
      </c>
    </row>
    <row r="77" spans="1:7" x14ac:dyDescent="0.2">
      <c r="A77" s="12" t="s">
        <v>389</v>
      </c>
      <c r="B77" s="13">
        <v>77823103.189999998</v>
      </c>
      <c r="C77" s="13">
        <v>69374438.920000002</v>
      </c>
      <c r="D77" s="70">
        <f t="shared" si="2"/>
        <v>6.1925491088026113E-3</v>
      </c>
      <c r="F77" s="8" t="str">
        <v>Paraguay</v>
      </c>
      <c r="G77" s="70">
        <f t="shared" si="3"/>
        <v>6.1925491088026113E-3</v>
      </c>
    </row>
    <row r="78" spans="1:7" x14ac:dyDescent="0.2">
      <c r="A78" s="12" t="s">
        <v>390</v>
      </c>
      <c r="B78" s="13">
        <v>280638979.18000001</v>
      </c>
      <c r="C78" s="13">
        <v>652082769.01999998</v>
      </c>
      <c r="D78" s="70">
        <f t="shared" si="2"/>
        <v>2.2331037817567959E-2</v>
      </c>
      <c r="F78" s="8" t="str">
        <v>Perú</v>
      </c>
      <c r="G78" s="70">
        <f t="shared" si="3"/>
        <v>2.2331037817567959E-2</v>
      </c>
    </row>
    <row r="79" spans="1:7" x14ac:dyDescent="0.2">
      <c r="A79" s="12" t="s">
        <v>394</v>
      </c>
      <c r="B79" s="13">
        <v>13482770.16</v>
      </c>
      <c r="C79" s="13">
        <v>33293793.66</v>
      </c>
      <c r="D79" s="70">
        <f t="shared" si="2"/>
        <v>1.0728525709731269E-3</v>
      </c>
      <c r="F79" s="8" t="str">
        <v>Puerto Rico(Estado Asociado)</v>
      </c>
      <c r="G79" s="70">
        <f t="shared" si="3"/>
        <v>1.0728525709731269E-3</v>
      </c>
    </row>
    <row r="80" spans="1:7" x14ac:dyDescent="0.2">
      <c r="A80" s="12" t="s">
        <v>425</v>
      </c>
      <c r="B80" s="13">
        <v>4832900.21</v>
      </c>
      <c r="C80" s="13">
        <v>1637525.71</v>
      </c>
      <c r="D80" s="70">
        <f t="shared" si="2"/>
        <v>3.8456410322395233E-4</v>
      </c>
      <c r="F80" s="8" t="str">
        <v>Trinidad y Tobago</v>
      </c>
      <c r="G80" s="70">
        <f t="shared" si="3"/>
        <v>3.8456410322395233E-4</v>
      </c>
    </row>
    <row r="81" spans="1:7" x14ac:dyDescent="0.2">
      <c r="A81" s="12" t="s">
        <v>433</v>
      </c>
      <c r="B81" s="13">
        <v>111068827.58</v>
      </c>
      <c r="C81" s="13">
        <v>142117991.08000001</v>
      </c>
      <c r="D81" s="70">
        <f t="shared" si="2"/>
        <v>8.8379817952910899E-3</v>
      </c>
      <c r="F81" s="8" t="str">
        <v>Uruguay</v>
      </c>
      <c r="G81" s="70">
        <f t="shared" si="3"/>
        <v>8.8379817952910899E-3</v>
      </c>
    </row>
    <row r="82" spans="1:7" x14ac:dyDescent="0.2">
      <c r="A82" s="12" t="s">
        <v>435</v>
      </c>
      <c r="B82" s="13">
        <v>213917982.22999999</v>
      </c>
      <c r="C82" s="13">
        <v>153878933.40000001</v>
      </c>
      <c r="D82" s="70">
        <f t="shared" si="2"/>
        <v>1.702190681064307E-2</v>
      </c>
      <c r="F82" s="8" t="str">
        <v>Venezuela</v>
      </c>
      <c r="G82" s="70">
        <f t="shared" si="3"/>
        <v>1.702190681064307E-2</v>
      </c>
    </row>
    <row r="83" spans="1:7" x14ac:dyDescent="0.2">
      <c r="A83" s="12" t="s">
        <v>218</v>
      </c>
      <c r="B83" s="13">
        <v>6150.85</v>
      </c>
      <c r="C83" s="13">
        <v>1375.09</v>
      </c>
      <c r="D83" s="70">
        <f t="shared" si="2"/>
        <v>4.8943615873149745E-7</v>
      </c>
      <c r="F83" s="8" t="str">
        <v>Territorios vinculados al Reino Unido</v>
      </c>
      <c r="G83" s="70">
        <f t="shared" si="3"/>
        <v>4.8943615873149745E-7</v>
      </c>
    </row>
    <row r="84" spans="1:7" x14ac:dyDescent="0.2">
      <c r="A84" s="12" t="s">
        <v>66</v>
      </c>
      <c r="B84" s="13">
        <v>24989.66</v>
      </c>
      <c r="C84" s="13">
        <v>4764.22</v>
      </c>
      <c r="D84" s="70">
        <f t="shared" si="2"/>
        <v>1.9884801610193958E-6</v>
      </c>
      <c r="F84" s="8" t="str">
        <v>Suriname</v>
      </c>
      <c r="G84" s="70">
        <f t="shared" si="3"/>
        <v>8.0916886253779517E-6</v>
      </c>
    </row>
    <row r="85" spans="1:7" x14ac:dyDescent="0.2">
      <c r="A85" s="12" t="s">
        <v>417</v>
      </c>
      <c r="B85" s="13">
        <v>101690</v>
      </c>
      <c r="C85" s="13">
        <v>74823.88</v>
      </c>
      <c r="D85" s="70">
        <f t="shared" si="2"/>
        <v>8.0916886253779517E-6</v>
      </c>
      <c r="F85" s="8" t="str">
        <v>Dominica</v>
      </c>
      <c r="G85" s="70">
        <f t="shared" si="3"/>
        <v>1.3925629818549945E-5</v>
      </c>
    </row>
    <row r="86" spans="1:7" x14ac:dyDescent="0.2">
      <c r="A86" s="12" t="s">
        <v>310</v>
      </c>
      <c r="B86" s="13">
        <v>175006.4</v>
      </c>
      <c r="C86" s="13">
        <v>10137.39</v>
      </c>
      <c r="D86" s="70">
        <f t="shared" si="2"/>
        <v>1.3925629818549945E-5</v>
      </c>
      <c r="F86" s="8" t="str">
        <v>Santa Lucía</v>
      </c>
      <c r="G86" s="70">
        <f t="shared" si="3"/>
        <v>2.8484831137971591E-5</v>
      </c>
    </row>
    <row r="87" spans="1:7" x14ac:dyDescent="0.2">
      <c r="A87" s="12" t="s">
        <v>468</v>
      </c>
      <c r="B87" s="13">
        <v>357975.03</v>
      </c>
      <c r="C87" s="13">
        <v>213175.34</v>
      </c>
      <c r="D87" s="70">
        <f t="shared" si="2"/>
        <v>2.8484831137971591E-5</v>
      </c>
      <c r="F87" s="8" t="str">
        <v>San Vicente y las Granadinas</v>
      </c>
      <c r="G87" s="70">
        <f t="shared" si="3"/>
        <v>5.3876490365319497E-6</v>
      </c>
    </row>
    <row r="88" spans="1:7" x14ac:dyDescent="0.2">
      <c r="A88" s="12" t="s">
        <v>415</v>
      </c>
      <c r="B88" s="13">
        <v>67707.75</v>
      </c>
      <c r="C88" s="13">
        <v>38216.89</v>
      </c>
      <c r="D88" s="70">
        <f t="shared" si="2"/>
        <v>5.3876490365319497E-6</v>
      </c>
      <c r="F88" s="8" t="str">
        <v>Belice</v>
      </c>
      <c r="G88" s="70">
        <f t="shared" si="3"/>
        <v>1.1294530011181501E-6</v>
      </c>
    </row>
    <row r="89" spans="1:7" x14ac:dyDescent="0.2">
      <c r="A89" s="12" t="s">
        <v>280</v>
      </c>
      <c r="B89" s="13">
        <v>14194.08</v>
      </c>
      <c r="C89" s="13">
        <v>28465.68</v>
      </c>
      <c r="D89" s="70">
        <f t="shared" si="2"/>
        <v>1.1294530011181501E-6</v>
      </c>
      <c r="F89" s="8" t="str">
        <v>Antigua y Barbuda</v>
      </c>
      <c r="G89" s="70">
        <f t="shared" si="3"/>
        <v>1.6900353857994624E-6</v>
      </c>
    </row>
    <row r="90" spans="1:7" x14ac:dyDescent="0.2">
      <c r="A90" s="12" t="s">
        <v>268</v>
      </c>
      <c r="B90" s="13">
        <v>21239.040000000001</v>
      </c>
      <c r="C90" s="13">
        <v>36096</v>
      </c>
      <c r="D90" s="70">
        <f t="shared" si="2"/>
        <v>1.6900353857994624E-6</v>
      </c>
      <c r="F90" s="8" t="str">
        <v>San Cristóbal y Nevis</v>
      </c>
      <c r="G90" s="70">
        <f t="shared" si="3"/>
        <v>6.7031551755515652E-6</v>
      </c>
    </row>
    <row r="91" spans="1:7" x14ac:dyDescent="0.2">
      <c r="A91" s="12" t="s">
        <v>472</v>
      </c>
      <c r="B91" s="13">
        <v>84240</v>
      </c>
      <c r="C91" s="13">
        <v>29219.59</v>
      </c>
      <c r="D91" s="70">
        <f t="shared" si="2"/>
        <v>6.7031551755515652E-6</v>
      </c>
      <c r="F91" s="8" t="str">
        <v>Bahamas</v>
      </c>
      <c r="G91" s="70">
        <f t="shared" si="3"/>
        <v>3.7348955749300323E-6</v>
      </c>
    </row>
    <row r="92" spans="1:7" x14ac:dyDescent="0.2">
      <c r="A92" s="12" t="s">
        <v>274</v>
      </c>
      <c r="B92" s="13">
        <v>46937.24</v>
      </c>
      <c r="C92" s="13">
        <v>66741.679999999993</v>
      </c>
      <c r="D92" s="70">
        <f t="shared" si="2"/>
        <v>3.7348955749300323E-6</v>
      </c>
      <c r="F92" s="8" t="str">
        <v>Grenada</v>
      </c>
      <c r="G92" s="70">
        <f t="shared" si="3"/>
        <v>7.957968477693209E-6</v>
      </c>
    </row>
    <row r="93" spans="1:7" x14ac:dyDescent="0.2">
      <c r="A93" s="12" t="s">
        <v>327</v>
      </c>
      <c r="B93" s="13">
        <v>100009.51</v>
      </c>
      <c r="C93" s="13">
        <v>40636.53</v>
      </c>
      <c r="D93" s="70">
        <f t="shared" si="2"/>
        <v>7.957968477693209E-6</v>
      </c>
      <c r="F93" s="8" t="str">
        <v>Antillas Holandesas</v>
      </c>
      <c r="G93" s="70">
        <f t="shared" si="3"/>
        <v>1.9107628139085453E-4</v>
      </c>
    </row>
    <row r="94" spans="1:7" x14ac:dyDescent="0.2">
      <c r="A94" s="12" t="s">
        <v>377</v>
      </c>
      <c r="B94" s="13">
        <v>2401296.9300000002</v>
      </c>
      <c r="C94" s="13">
        <v>2509165.85</v>
      </c>
      <c r="D94" s="70">
        <f t="shared" si="2"/>
        <v>1.9107628139085453E-4</v>
      </c>
      <c r="F94" s="8" t="str">
        <v>Aruba</v>
      </c>
      <c r="G94" s="70">
        <f t="shared" si="3"/>
        <v>4.7231473761675163E-5</v>
      </c>
    </row>
    <row r="95" spans="1:7" x14ac:dyDescent="0.2">
      <c r="A95" s="12" t="s">
        <v>270</v>
      </c>
      <c r="B95" s="13">
        <v>593568.14</v>
      </c>
      <c r="C95" s="13">
        <v>194030.3</v>
      </c>
      <c r="D95" s="70">
        <f t="shared" si="2"/>
        <v>4.7231473761675163E-5</v>
      </c>
      <c r="F95" s="8" t="str">
        <v>Iquique (Chile)</v>
      </c>
      <c r="G95" s="70">
        <f t="shared" si="3"/>
        <v>3.1960984445692625E-6</v>
      </c>
    </row>
    <row r="96" spans="1:7" x14ac:dyDescent="0.2">
      <c r="A96" s="12" t="s">
        <v>445</v>
      </c>
      <c r="B96" s="13">
        <v>40166.06</v>
      </c>
      <c r="C96" s="13">
        <v>12197.89</v>
      </c>
      <c r="D96" s="70">
        <f t="shared" si="2"/>
        <v>3.1960984445692625E-6</v>
      </c>
      <c r="F96" s="8" t="str">
        <v>Punta Arenas (Chile)</v>
      </c>
      <c r="G96" s="70">
        <f t="shared" si="3"/>
        <v>1.3267667076510609E-5</v>
      </c>
    </row>
    <row r="97" spans="1:7" x14ac:dyDescent="0.2">
      <c r="A97" s="12" t="s">
        <v>446</v>
      </c>
      <c r="B97" s="13">
        <v>166737.64000000001</v>
      </c>
      <c r="C97" s="13">
        <v>47046.43</v>
      </c>
      <c r="D97" s="70">
        <f t="shared" si="2"/>
        <v>1.3267667076510609E-5</v>
      </c>
      <c r="F97" s="8" t="str">
        <v>Colonia (Uruguay)</v>
      </c>
      <c r="G97" s="70">
        <f t="shared" si="3"/>
        <v>9.9812160839981443E-7</v>
      </c>
    </row>
    <row r="98" spans="1:7" x14ac:dyDescent="0.2">
      <c r="A98" s="12" t="s">
        <v>440</v>
      </c>
      <c r="B98" s="13">
        <v>12543.61</v>
      </c>
      <c r="C98" s="13">
        <v>5222.1400000000003</v>
      </c>
      <c r="D98" s="70">
        <f t="shared" si="2"/>
        <v>9.9812160839981443E-7</v>
      </c>
      <c r="F98" s="8" t="str">
        <v>Zonamérica (ex Montevideo) (Uruguay)</v>
      </c>
      <c r="G98" s="70">
        <f t="shared" si="3"/>
        <v>8.9193659624389336E-7</v>
      </c>
    </row>
    <row r="99" spans="1:7" x14ac:dyDescent="0.2">
      <c r="A99" s="12" t="s">
        <v>474</v>
      </c>
      <c r="B99" s="13">
        <v>11209.16</v>
      </c>
      <c r="C99" s="13">
        <v>1816.56</v>
      </c>
      <c r="D99" s="70">
        <f t="shared" si="2"/>
        <v>8.9193659624389336E-7</v>
      </c>
      <c r="F99" s="8" t="str">
        <v>Río Negro (Uruguay)</v>
      </c>
      <c r="G99" s="70">
        <f t="shared" si="3"/>
        <v>4.7623912304933663E-6</v>
      </c>
    </row>
    <row r="100" spans="1:7" x14ac:dyDescent="0.2">
      <c r="A100" s="12" t="s">
        <v>475</v>
      </c>
      <c r="B100" s="13">
        <v>59850</v>
      </c>
      <c r="C100" s="13">
        <v>27750</v>
      </c>
      <c r="D100" s="70">
        <f t="shared" si="2"/>
        <v>4.7623912304933663E-6</v>
      </c>
      <c r="F100" s="8" t="str">
        <v xml:space="preserve">   ASIA</v>
      </c>
      <c r="G100" s="70">
        <f t="shared" si="3"/>
        <v>0.35301400002252481</v>
      </c>
    </row>
    <row r="101" spans="1:7" x14ac:dyDescent="0.2">
      <c r="A101" s="12" t="s">
        <v>1</v>
      </c>
      <c r="B101" s="13" t="s">
        <v>466</v>
      </c>
      <c r="C101" s="13" t="s">
        <v>466</v>
      </c>
      <c r="D101" s="70" t="e">
        <f t="shared" si="2"/>
        <v>#VALUE!</v>
      </c>
      <c r="F101" s="8" t="str">
        <v>Afganistán</v>
      </c>
      <c r="G101" s="70">
        <f t="shared" si="3"/>
        <v>4.9611066794476036E-6</v>
      </c>
    </row>
    <row r="102" spans="1:7" x14ac:dyDescent="0.2">
      <c r="A102" s="12" t="s">
        <v>4</v>
      </c>
      <c r="B102" s="13">
        <v>4436403243.4099998</v>
      </c>
      <c r="C102" s="13">
        <v>11517930058.49</v>
      </c>
      <c r="D102" s="70">
        <f t="shared" si="2"/>
        <v>0.35301400002252481</v>
      </c>
      <c r="F102" s="8" t="str">
        <v>Arabia Saudita</v>
      </c>
      <c r="G102" s="70">
        <f t="shared" si="3"/>
        <v>4.5116580361587869E-3</v>
      </c>
    </row>
    <row r="103" spans="1:7" x14ac:dyDescent="0.2">
      <c r="A103" s="12" t="s">
        <v>263</v>
      </c>
      <c r="B103" s="13">
        <v>62347.3</v>
      </c>
      <c r="C103" s="13">
        <v>23974.66</v>
      </c>
      <c r="D103" s="70">
        <f t="shared" si="2"/>
        <v>4.9611066794476036E-6</v>
      </c>
      <c r="F103" s="8" t="str">
        <v>Bahrein</v>
      </c>
      <c r="G103" s="70">
        <f t="shared" si="3"/>
        <v>5.0093106724888822E-6</v>
      </c>
    </row>
    <row r="104" spans="1:7" x14ac:dyDescent="0.2">
      <c r="A104" s="12" t="s">
        <v>400</v>
      </c>
      <c r="B104" s="13">
        <v>56698981.75</v>
      </c>
      <c r="C104" s="13">
        <v>283505197.83999997</v>
      </c>
      <c r="D104" s="70">
        <f t="shared" si="2"/>
        <v>4.5116580361587869E-3</v>
      </c>
      <c r="F104" s="8" t="str">
        <v>Myanmar (ex Birmania) Unión de</v>
      </c>
      <c r="G104" s="70">
        <f t="shared" si="3"/>
        <v>3.4451798609963999E-6</v>
      </c>
    </row>
    <row r="105" spans="1:7" x14ac:dyDescent="0.2">
      <c r="A105" s="12" t="s">
        <v>275</v>
      </c>
      <c r="B105" s="13">
        <v>62953.09</v>
      </c>
      <c r="C105" s="13">
        <v>49718.01</v>
      </c>
      <c r="D105" s="70">
        <f t="shared" si="2"/>
        <v>5.0093106724888822E-6</v>
      </c>
      <c r="F105" s="8" t="str">
        <v>Camboya (ex Kampuchea)</v>
      </c>
      <c r="G105" s="70">
        <f t="shared" si="3"/>
        <v>1.0242375672563717E-4</v>
      </c>
    </row>
    <row r="106" spans="1:7" x14ac:dyDescent="0.2">
      <c r="A106" s="12" t="s">
        <v>374</v>
      </c>
      <c r="B106" s="13">
        <v>43296.32</v>
      </c>
      <c r="C106" s="13">
        <v>5647.33</v>
      </c>
      <c r="D106" s="70">
        <f t="shared" si="2"/>
        <v>3.4451798609963999E-6</v>
      </c>
      <c r="F106" s="8" t="str">
        <v>Sri Lanka</v>
      </c>
      <c r="G106" s="70">
        <f t="shared" si="3"/>
        <v>7.421698478211124E-5</v>
      </c>
    </row>
    <row r="107" spans="1:7" x14ac:dyDescent="0.2">
      <c r="A107" s="12" t="s">
        <v>291</v>
      </c>
      <c r="B107" s="13">
        <v>1287181.49</v>
      </c>
      <c r="C107" s="13">
        <v>65764</v>
      </c>
      <c r="D107" s="70">
        <f t="shared" si="2"/>
        <v>1.0242375672563717E-4</v>
      </c>
      <c r="F107" s="8" t="str">
        <v>Corea Republicana</v>
      </c>
      <c r="G107" s="70">
        <f t="shared" si="3"/>
        <v>1.8586915016131609E-2</v>
      </c>
    </row>
    <row r="108" spans="1:7" x14ac:dyDescent="0.2">
      <c r="A108" s="12" t="s">
        <v>412</v>
      </c>
      <c r="B108" s="13">
        <v>932700.89</v>
      </c>
      <c r="C108" s="13">
        <v>610394</v>
      </c>
      <c r="D108" s="70">
        <f t="shared" si="2"/>
        <v>7.421698478211124E-5</v>
      </c>
      <c r="F108" s="8" t="str">
        <v>China</v>
      </c>
      <c r="G108" s="70">
        <f t="shared" si="3"/>
        <v>0.15034091737253111</v>
      </c>
    </row>
    <row r="109" spans="1:7" x14ac:dyDescent="0.2">
      <c r="A109" s="12" t="s">
        <v>350</v>
      </c>
      <c r="B109" s="13">
        <v>233585778.63</v>
      </c>
      <c r="C109" s="13">
        <v>679355093.76999998</v>
      </c>
      <c r="D109" s="70">
        <f t="shared" si="2"/>
        <v>1.8586915016131609E-2</v>
      </c>
      <c r="F109" s="8" t="str">
        <v>Filipinas</v>
      </c>
      <c r="G109" s="70">
        <f t="shared" si="3"/>
        <v>1.6436092129792669E-2</v>
      </c>
    </row>
    <row r="110" spans="1:7" x14ac:dyDescent="0.2">
      <c r="A110" s="12" t="s">
        <v>297</v>
      </c>
      <c r="B110" s="13">
        <v>1889366805.3</v>
      </c>
      <c r="C110" s="13">
        <v>3869174453.0799999</v>
      </c>
      <c r="D110" s="70">
        <f t="shared" si="2"/>
        <v>0.15034091737253111</v>
      </c>
      <c r="F110" s="8" t="str">
        <v>Taiwan</v>
      </c>
      <c r="G110" s="70">
        <f t="shared" si="3"/>
        <v>1.269413082853812E-3</v>
      </c>
    </row>
    <row r="111" spans="1:7" x14ac:dyDescent="0.2">
      <c r="A111" s="12" t="s">
        <v>391</v>
      </c>
      <c r="B111" s="13">
        <v>206555922.50999999</v>
      </c>
      <c r="C111" s="13">
        <v>943521261.25999999</v>
      </c>
      <c r="D111" s="70">
        <f t="shared" si="2"/>
        <v>1.6436092129792669E-2</v>
      </c>
      <c r="F111" s="8" t="str">
        <v>India</v>
      </c>
      <c r="G111" s="70">
        <f t="shared" si="3"/>
        <v>4.2922877039882165E-2</v>
      </c>
    </row>
    <row r="112" spans="1:7" x14ac:dyDescent="0.2">
      <c r="A112" s="12" t="s">
        <v>421</v>
      </c>
      <c r="B112" s="13">
        <v>15952988.6</v>
      </c>
      <c r="C112" s="13">
        <v>19337937.640000001</v>
      </c>
      <c r="D112" s="70">
        <f t="shared" si="2"/>
        <v>1.269413082853812E-3</v>
      </c>
      <c r="F112" s="8" t="str">
        <v>Indonesia</v>
      </c>
      <c r="G112" s="70">
        <f t="shared" si="3"/>
        <v>1.6042912895048767E-2</v>
      </c>
    </row>
    <row r="113" spans="1:7" x14ac:dyDescent="0.2">
      <c r="A113" s="12" t="s">
        <v>338</v>
      </c>
      <c r="B113" s="13">
        <v>539421073.67999995</v>
      </c>
      <c r="C113" s="13">
        <v>799919677.16999996</v>
      </c>
      <c r="D113" s="70">
        <f t="shared" si="2"/>
        <v>4.2922877039882165E-2</v>
      </c>
      <c r="F113" s="8" t="str">
        <v>Iraq</v>
      </c>
      <c r="G113" s="70">
        <f t="shared" si="3"/>
        <v>9.1980885496279312E-5</v>
      </c>
    </row>
    <row r="114" spans="1:7" x14ac:dyDescent="0.2">
      <c r="A114" s="12" t="s">
        <v>339</v>
      </c>
      <c r="B114" s="13">
        <v>201614754.08000001</v>
      </c>
      <c r="C114" s="13">
        <v>898976850.08000004</v>
      </c>
      <c r="D114" s="70">
        <f t="shared" si="2"/>
        <v>1.6042912895048767E-2</v>
      </c>
      <c r="F114" s="8" t="str">
        <v>Irán</v>
      </c>
      <c r="G114" s="70">
        <f t="shared" si="3"/>
        <v>1.1299582854963736E-2</v>
      </c>
    </row>
    <row r="115" spans="1:7" x14ac:dyDescent="0.2">
      <c r="A115" s="12" t="s">
        <v>341</v>
      </c>
      <c r="B115" s="13">
        <v>1155943.67</v>
      </c>
      <c r="C115" s="13">
        <v>2889352.49</v>
      </c>
      <c r="D115" s="70">
        <f t="shared" si="2"/>
        <v>9.1980885496279312E-5</v>
      </c>
      <c r="F115" s="8" t="str">
        <v>Israel</v>
      </c>
      <c r="G115" s="70">
        <f t="shared" si="3"/>
        <v>3.0101572033665452E-3</v>
      </c>
    </row>
    <row r="116" spans="1:7" x14ac:dyDescent="0.2">
      <c r="A116" s="12" t="s">
        <v>340</v>
      </c>
      <c r="B116" s="13">
        <v>142004300.18000001</v>
      </c>
      <c r="C116" s="13">
        <v>288065560.17000002</v>
      </c>
      <c r="D116" s="70">
        <f t="shared" si="2"/>
        <v>1.1299582854963736E-2</v>
      </c>
      <c r="F116" s="8" t="str">
        <v>Japón</v>
      </c>
      <c r="G116" s="70">
        <f t="shared" si="3"/>
        <v>6.3513289416363443E-3</v>
      </c>
    </row>
    <row r="117" spans="1:7" x14ac:dyDescent="0.2">
      <c r="A117" s="12" t="s">
        <v>343</v>
      </c>
      <c r="B117" s="13">
        <v>37829296.229999997</v>
      </c>
      <c r="C117" s="13">
        <v>104344871.55</v>
      </c>
      <c r="D117" s="70">
        <f t="shared" si="2"/>
        <v>3.0101572033665452E-3</v>
      </c>
      <c r="F117" s="8" t="str">
        <v>Jordania</v>
      </c>
      <c r="G117" s="70">
        <f t="shared" si="3"/>
        <v>5.6133306246746253E-4</v>
      </c>
    </row>
    <row r="118" spans="1:7" x14ac:dyDescent="0.2">
      <c r="A118" s="12" t="s">
        <v>346</v>
      </c>
      <c r="B118" s="13">
        <v>79818523.670000002</v>
      </c>
      <c r="C118" s="13">
        <v>252575825.53999999</v>
      </c>
      <c r="D118" s="70">
        <f t="shared" si="2"/>
        <v>6.3513289416363443E-3</v>
      </c>
      <c r="F118" s="8" t="str">
        <v>Qatar</v>
      </c>
      <c r="G118" s="70">
        <f t="shared" si="3"/>
        <v>3.1815470914477871E-6</v>
      </c>
    </row>
    <row r="119" spans="1:7" x14ac:dyDescent="0.2">
      <c r="A119" s="12" t="s">
        <v>347</v>
      </c>
      <c r="B119" s="13">
        <v>7054393.9299999997</v>
      </c>
      <c r="C119" s="13">
        <v>33792653.259999998</v>
      </c>
      <c r="D119" s="70">
        <f t="shared" si="2"/>
        <v>5.6133306246746253E-4</v>
      </c>
      <c r="F119" s="8" t="str">
        <v>Kuwait</v>
      </c>
      <c r="G119" s="70">
        <f t="shared" si="3"/>
        <v>3.3064392140037319E-4</v>
      </c>
    </row>
    <row r="120" spans="1:7" x14ac:dyDescent="0.2">
      <c r="A120" s="12" t="s">
        <v>395</v>
      </c>
      <c r="B120" s="13">
        <v>39983.19</v>
      </c>
      <c r="C120" s="13">
        <v>22541.63</v>
      </c>
      <c r="D120" s="70">
        <f t="shared" si="2"/>
        <v>3.1815470914477871E-6</v>
      </c>
      <c r="F120" s="8" t="str">
        <v>Líbano</v>
      </c>
      <c r="G120" s="70">
        <f t="shared" si="3"/>
        <v>1.5703302003666677E-3</v>
      </c>
    </row>
    <row r="121" spans="1:7" x14ac:dyDescent="0.2">
      <c r="A121" s="12" t="s">
        <v>351</v>
      </c>
      <c r="B121" s="13">
        <v>4155273.63</v>
      </c>
      <c r="C121" s="13">
        <v>16803460.449999999</v>
      </c>
      <c r="D121" s="70">
        <f t="shared" si="2"/>
        <v>3.3064392140037319E-4</v>
      </c>
      <c r="F121" s="8" t="str">
        <v>Malasia</v>
      </c>
      <c r="G121" s="70">
        <f t="shared" si="3"/>
        <v>2.0729356822785473E-2</v>
      </c>
    </row>
    <row r="122" spans="1:7" x14ac:dyDescent="0.2">
      <c r="A122" s="12" t="s">
        <v>353</v>
      </c>
      <c r="B122" s="13">
        <v>19734679.059999999</v>
      </c>
      <c r="C122" s="13">
        <v>67509712.200000003</v>
      </c>
      <c r="D122" s="70">
        <f t="shared" si="2"/>
        <v>1.5703302003666677E-3</v>
      </c>
      <c r="F122" s="8" t="str">
        <v>Omán</v>
      </c>
      <c r="G122" s="70">
        <f t="shared" si="3"/>
        <v>2.8526906566097557E-4</v>
      </c>
    </row>
    <row r="123" spans="1:7" x14ac:dyDescent="0.2">
      <c r="A123" s="12" t="s">
        <v>362</v>
      </c>
      <c r="B123" s="13">
        <v>260510307.91</v>
      </c>
      <c r="C123" s="13">
        <v>1010612880.64</v>
      </c>
      <c r="D123" s="70">
        <f t="shared" si="2"/>
        <v>2.0729356822785473E-2</v>
      </c>
      <c r="F123" s="8" t="str">
        <v>Mongolia</v>
      </c>
      <c r="G123" s="70">
        <f t="shared" si="3"/>
        <v>7.6428628925177089E-6</v>
      </c>
    </row>
    <row r="124" spans="1:7" x14ac:dyDescent="0.2">
      <c r="A124" s="12" t="s">
        <v>385</v>
      </c>
      <c r="B124" s="13">
        <v>3585038.01</v>
      </c>
      <c r="C124" s="13">
        <v>13687557.6</v>
      </c>
      <c r="D124" s="70">
        <f t="shared" si="2"/>
        <v>2.8526906566097557E-4</v>
      </c>
      <c r="F124" s="8" t="str">
        <v>Nepal</v>
      </c>
      <c r="G124" s="70">
        <f t="shared" si="3"/>
        <v>1.9408753460226548E-7</v>
      </c>
    </row>
    <row r="125" spans="1:7" x14ac:dyDescent="0.2">
      <c r="A125" s="12" t="s">
        <v>370</v>
      </c>
      <c r="B125" s="13">
        <v>96049.51</v>
      </c>
      <c r="C125" s="13">
        <v>83829.710000000006</v>
      </c>
      <c r="D125" s="70">
        <f t="shared" si="2"/>
        <v>7.6428628925177089E-6</v>
      </c>
      <c r="F125" s="8" t="str">
        <v>Emiratos Arabes Unidos</v>
      </c>
      <c r="G125" s="70">
        <f t="shared" si="3"/>
        <v>1.4758973342866052E-3</v>
      </c>
    </row>
    <row r="126" spans="1:7" x14ac:dyDescent="0.2">
      <c r="A126" s="12" t="s">
        <v>376</v>
      </c>
      <c r="B126" s="13">
        <v>2439.14</v>
      </c>
      <c r="C126" s="13">
        <v>5933.9</v>
      </c>
      <c r="D126" s="70">
        <f t="shared" si="2"/>
        <v>1.9408753460226548E-7</v>
      </c>
      <c r="F126" s="8" t="str">
        <v>Paquistán</v>
      </c>
      <c r="G126" s="70">
        <f t="shared" si="3"/>
        <v>2.5263564072433081E-3</v>
      </c>
    </row>
    <row r="127" spans="1:7" x14ac:dyDescent="0.2">
      <c r="A127" s="12" t="s">
        <v>430</v>
      </c>
      <c r="B127" s="13">
        <v>18547920.82</v>
      </c>
      <c r="C127" s="13">
        <v>74491264.829999998</v>
      </c>
      <c r="D127" s="70">
        <f t="shared" si="2"/>
        <v>1.4758973342866052E-3</v>
      </c>
      <c r="F127" s="8" t="str">
        <v>Singapur</v>
      </c>
      <c r="G127" s="70">
        <f t="shared" si="3"/>
        <v>2.4375817385820553E-4</v>
      </c>
    </row>
    <row r="128" spans="1:7" x14ac:dyDescent="0.2">
      <c r="A128" s="12" t="s">
        <v>386</v>
      </c>
      <c r="B128" s="13">
        <v>31749267.050000001</v>
      </c>
      <c r="C128" s="13">
        <v>48506943.649999999</v>
      </c>
      <c r="D128" s="70">
        <f t="shared" si="2"/>
        <v>2.5263564072433081E-3</v>
      </c>
      <c r="F128" s="8" t="str">
        <v>Siria</v>
      </c>
      <c r="G128" s="70">
        <f t="shared" si="3"/>
        <v>4.1116583004419793E-3</v>
      </c>
    </row>
    <row r="129" spans="1:7" x14ac:dyDescent="0.2">
      <c r="A129" s="12" t="s">
        <v>405</v>
      </c>
      <c r="B129" s="13">
        <v>3063361.66</v>
      </c>
      <c r="C129" s="13">
        <v>902412.71</v>
      </c>
      <c r="D129" s="70">
        <f t="shared" si="2"/>
        <v>2.4375817385820553E-4</v>
      </c>
      <c r="F129" s="8" t="str">
        <v>Tailandia</v>
      </c>
      <c r="G129" s="70">
        <f t="shared" si="3"/>
        <v>1.8944860485131367E-2</v>
      </c>
    </row>
    <row r="130" spans="1:7" x14ac:dyDescent="0.2">
      <c r="A130" s="12" t="s">
        <v>420</v>
      </c>
      <c r="B130" s="13">
        <v>51672098.609999999</v>
      </c>
      <c r="C130" s="13">
        <v>242190068.22999999</v>
      </c>
      <c r="D130" s="70">
        <f t="shared" si="2"/>
        <v>4.1116583004419793E-3</v>
      </c>
      <c r="F130" s="8" t="str">
        <v>Vietnam</v>
      </c>
      <c r="G130" s="70">
        <f t="shared" si="3"/>
        <v>1.3445577084004194E-2</v>
      </c>
    </row>
    <row r="131" spans="1:7" x14ac:dyDescent="0.2">
      <c r="A131" s="12" t="s">
        <v>423</v>
      </c>
      <c r="B131" s="13">
        <v>238084156.71000001</v>
      </c>
      <c r="C131" s="13">
        <v>784653124.38999999</v>
      </c>
      <c r="D131" s="70">
        <f t="shared" si="2"/>
        <v>1.8944860485131367E-2</v>
      </c>
      <c r="F131" s="8" t="str">
        <v>Hong Kong</v>
      </c>
      <c r="G131" s="70">
        <f t="shared" si="3"/>
        <v>2.690937283769687E-3</v>
      </c>
    </row>
    <row r="132" spans="1:7" x14ac:dyDescent="0.2">
      <c r="A132" s="12" t="s">
        <v>436</v>
      </c>
      <c r="B132" s="13">
        <v>168973473.52000001</v>
      </c>
      <c r="C132" s="13">
        <v>665969499.78999996</v>
      </c>
      <c r="D132" s="70">
        <f t="shared" si="2"/>
        <v>1.3445577084004194E-2</v>
      </c>
      <c r="F132" s="8" t="str">
        <v>Bangladesh</v>
      </c>
      <c r="G132" s="70">
        <f t="shared" si="3"/>
        <v>1.2857730134456532E-2</v>
      </c>
    </row>
    <row r="133" spans="1:7" x14ac:dyDescent="0.2">
      <c r="A133" s="12" t="s">
        <v>335</v>
      </c>
      <c r="B133" s="13">
        <v>33817590.5</v>
      </c>
      <c r="C133" s="13">
        <v>21976850.48</v>
      </c>
      <c r="D133" s="70">
        <f t="shared" si="2"/>
        <v>2.690937283769687E-3</v>
      </c>
      <c r="F133" s="8" t="str">
        <v>República de Yemen</v>
      </c>
      <c r="G133" s="70">
        <f t="shared" si="3"/>
        <v>1.880670705569826E-3</v>
      </c>
    </row>
    <row r="134" spans="1:7" x14ac:dyDescent="0.2">
      <c r="A134" s="12" t="s">
        <v>276</v>
      </c>
      <c r="B134" s="13">
        <v>161585873.84</v>
      </c>
      <c r="C134" s="13">
        <v>280496701.64999998</v>
      </c>
      <c r="D134" s="70">
        <f t="shared" si="2"/>
        <v>1.2857730134456532E-2</v>
      </c>
      <c r="F134" s="8" t="str">
        <v>Armenia</v>
      </c>
      <c r="G134" s="70">
        <f t="shared" si="3"/>
        <v>2.1473174862994418E-5</v>
      </c>
    </row>
    <row r="135" spans="1:7" x14ac:dyDescent="0.2">
      <c r="A135" s="12" t="s">
        <v>437</v>
      </c>
      <c r="B135" s="13">
        <v>23634795.27</v>
      </c>
      <c r="C135" s="13">
        <v>110995177.43000001</v>
      </c>
      <c r="D135" s="70">
        <f t="shared" si="2"/>
        <v>1.880670705569826E-3</v>
      </c>
      <c r="F135" s="8" t="str">
        <v>Azerbaiján</v>
      </c>
      <c r="G135" s="70">
        <f t="shared" si="3"/>
        <v>9.2905680602710684E-5</v>
      </c>
    </row>
    <row r="136" spans="1:7" x14ac:dyDescent="0.2">
      <c r="A136" s="12" t="s">
        <v>269</v>
      </c>
      <c r="B136" s="13">
        <v>269858.03000000003</v>
      </c>
      <c r="C136" s="13">
        <v>1601668.6</v>
      </c>
      <c r="D136" s="70">
        <f t="shared" si="2"/>
        <v>2.1473174862994418E-5</v>
      </c>
      <c r="F136" s="8" t="str">
        <v>Georgia</v>
      </c>
      <c r="G136" s="70">
        <f t="shared" si="3"/>
        <v>5.3099882413249845E-6</v>
      </c>
    </row>
    <row r="137" spans="1:7" x14ac:dyDescent="0.2">
      <c r="A137" s="12" t="s">
        <v>273</v>
      </c>
      <c r="B137" s="13">
        <v>1167565.77</v>
      </c>
      <c r="C137" s="13">
        <v>269027.5</v>
      </c>
      <c r="D137" s="70">
        <f t="shared" si="2"/>
        <v>9.2905680602710684E-5</v>
      </c>
      <c r="F137" s="8" t="str">
        <v>Kazajstán</v>
      </c>
      <c r="G137" s="70">
        <f t="shared" si="3"/>
        <v>1.7281129993428459E-4</v>
      </c>
    </row>
    <row r="138" spans="1:7" x14ac:dyDescent="0.2">
      <c r="A138" s="12" t="s">
        <v>323</v>
      </c>
      <c r="B138" s="13">
        <v>66731.77</v>
      </c>
      <c r="C138" s="13">
        <v>91037.38</v>
      </c>
      <c r="D138" s="70">
        <f t="shared" si="2"/>
        <v>5.3099882413249845E-6</v>
      </c>
      <c r="F138" s="8" t="str">
        <v>Territorios Autónomos Palestinos (Gaza y Jericó)</v>
      </c>
      <c r="G138" s="70">
        <f t="shared" si="3"/>
        <v>2.2106033397693596E-6</v>
      </c>
    </row>
    <row r="139" spans="1:7" x14ac:dyDescent="0.2">
      <c r="A139" s="12" t="s">
        <v>348</v>
      </c>
      <c r="B139" s="13">
        <v>2171756.96</v>
      </c>
      <c r="C139" s="13">
        <v>829119</v>
      </c>
      <c r="D139" s="70">
        <f t="shared" ref="D139:D155" si="4">+B139/$B$8</f>
        <v>1.7281129993428459E-4</v>
      </c>
      <c r="F139" s="8" t="str">
        <v xml:space="preserve">   EUROPA</v>
      </c>
      <c r="G139" s="70">
        <f t="shared" ref="G139:G151" si="5">+SUMIF(A139:A284,F139,D139:D284)</f>
        <v>0.27085125163754148</v>
      </c>
    </row>
    <row r="140" spans="1:7" x14ac:dyDescent="0.2">
      <c r="A140" s="12" t="s">
        <v>159</v>
      </c>
      <c r="B140" s="13">
        <v>27781.13</v>
      </c>
      <c r="C140" s="13">
        <v>17014.87</v>
      </c>
      <c r="D140" s="70">
        <f t="shared" si="4"/>
        <v>2.2106033397693596E-6</v>
      </c>
      <c r="F140" s="8" t="str">
        <v>Albania</v>
      </c>
      <c r="G140" s="70">
        <f t="shared" si="5"/>
        <v>1.5771831850650854E-5</v>
      </c>
    </row>
    <row r="141" spans="1:7" x14ac:dyDescent="0.2">
      <c r="A141" s="12" t="s">
        <v>1</v>
      </c>
      <c r="B141" s="13" t="s">
        <v>466</v>
      </c>
      <c r="C141" s="13" t="s">
        <v>466</v>
      </c>
      <c r="D141" s="70" t="e">
        <f t="shared" si="4"/>
        <v>#VALUE!</v>
      </c>
      <c r="F141" s="8" t="str">
        <v>Austria</v>
      </c>
      <c r="G141" s="70">
        <f t="shared" si="5"/>
        <v>1.094863741675259E-4</v>
      </c>
    </row>
    <row r="142" spans="1:7" x14ac:dyDescent="0.2">
      <c r="A142" s="12" t="s">
        <v>5</v>
      </c>
      <c r="B142" s="13">
        <v>3403846224.71</v>
      </c>
      <c r="C142" s="13">
        <v>13652755085.09</v>
      </c>
      <c r="D142" s="70">
        <f t="shared" si="4"/>
        <v>0.27085125163754148</v>
      </c>
      <c r="F142" s="8" t="str">
        <v>Bélgica</v>
      </c>
      <c r="G142" s="70">
        <f t="shared" si="5"/>
        <v>9.6236385875026857E-3</v>
      </c>
    </row>
    <row r="143" spans="1:7" x14ac:dyDescent="0.2">
      <c r="A143" s="12" t="s">
        <v>264</v>
      </c>
      <c r="B143" s="13">
        <v>198208.02</v>
      </c>
      <c r="C143" s="13">
        <v>86567.79</v>
      </c>
      <c r="D143" s="70">
        <f t="shared" si="4"/>
        <v>1.5771831850650854E-5</v>
      </c>
      <c r="F143" s="8" t="str">
        <v>Bulgaria</v>
      </c>
      <c r="G143" s="70">
        <f t="shared" si="5"/>
        <v>1.5119665141647928E-5</v>
      </c>
    </row>
    <row r="144" spans="1:7" x14ac:dyDescent="0.2">
      <c r="A144" s="12" t="s">
        <v>272</v>
      </c>
      <c r="B144" s="13">
        <v>1375938.93</v>
      </c>
      <c r="C144" s="13">
        <v>73481.03</v>
      </c>
      <c r="D144" s="70">
        <f t="shared" si="4"/>
        <v>1.094863741675259E-4</v>
      </c>
      <c r="F144" s="8" t="str">
        <v>Dinamarca</v>
      </c>
      <c r="G144" s="70">
        <f t="shared" si="5"/>
        <v>1.9766849305409621E-2</v>
      </c>
    </row>
    <row r="145" spans="1:7" x14ac:dyDescent="0.2">
      <c r="A145" s="12" t="s">
        <v>279</v>
      </c>
      <c r="B145" s="13">
        <v>120942346.31</v>
      </c>
      <c r="C145" s="13">
        <v>521315392.26999998</v>
      </c>
      <c r="D145" s="70">
        <f t="shared" si="4"/>
        <v>9.6236385875026857E-3</v>
      </c>
      <c r="F145" s="8" t="str">
        <v>España</v>
      </c>
      <c r="G145" s="70">
        <f t="shared" si="5"/>
        <v>6.2338052047173381E-2</v>
      </c>
    </row>
    <row r="146" spans="1:7" x14ac:dyDescent="0.2">
      <c r="A146" s="12" t="s">
        <v>287</v>
      </c>
      <c r="B146" s="13">
        <v>190012.1</v>
      </c>
      <c r="C146" s="13">
        <v>230609.51</v>
      </c>
      <c r="D146" s="70">
        <f t="shared" si="4"/>
        <v>1.5119665141647928E-5</v>
      </c>
      <c r="F146" s="8" t="str">
        <v>Finlandia</v>
      </c>
      <c r="G146" s="70">
        <f t="shared" si="5"/>
        <v>2.285231943953645E-4</v>
      </c>
    </row>
    <row r="147" spans="1:7" x14ac:dyDescent="0.2">
      <c r="A147" s="12" t="s">
        <v>308</v>
      </c>
      <c r="B147" s="13">
        <v>248414267.88999999</v>
      </c>
      <c r="C147" s="13">
        <v>1141625932.3599999</v>
      </c>
      <c r="D147" s="70">
        <f t="shared" si="4"/>
        <v>1.9766849305409621E-2</v>
      </c>
      <c r="F147" s="8" t="str">
        <v>Francia</v>
      </c>
      <c r="G147" s="70">
        <f t="shared" si="5"/>
        <v>1.4020747101918222E-2</v>
      </c>
    </row>
    <row r="148" spans="1:7" x14ac:dyDescent="0.2">
      <c r="A148" s="12" t="s">
        <v>411</v>
      </c>
      <c r="B148" s="13">
        <v>783415774.64999998</v>
      </c>
      <c r="C148" s="13">
        <v>3570144737.02</v>
      </c>
      <c r="D148" s="70">
        <f t="shared" si="4"/>
        <v>6.2338052047173381E-2</v>
      </c>
      <c r="F148" s="8" t="str">
        <v>Grecia</v>
      </c>
      <c r="G148" s="70">
        <f t="shared" si="5"/>
        <v>3.8515163509337791E-3</v>
      </c>
    </row>
    <row r="149" spans="1:7" x14ac:dyDescent="0.2">
      <c r="A149" s="12" t="s">
        <v>319</v>
      </c>
      <c r="B149" s="13">
        <v>2871900.38</v>
      </c>
      <c r="C149" s="13">
        <v>202326.18</v>
      </c>
      <c r="D149" s="70">
        <f t="shared" si="4"/>
        <v>2.285231943953645E-4</v>
      </c>
      <c r="F149" s="8" t="str">
        <v>Hungría</v>
      </c>
      <c r="G149" s="70">
        <f t="shared" si="5"/>
        <v>1.3136353985379291E-5</v>
      </c>
    </row>
    <row r="150" spans="1:7" x14ac:dyDescent="0.2">
      <c r="A150" s="12" t="s">
        <v>320</v>
      </c>
      <c r="B150" s="13">
        <v>176201759.46000001</v>
      </c>
      <c r="C150" s="13">
        <v>558312803.15999997</v>
      </c>
      <c r="D150" s="70">
        <f t="shared" si="4"/>
        <v>1.4020747101918222E-2</v>
      </c>
      <c r="F150" s="8" t="str">
        <v>Irlanda</v>
      </c>
      <c r="G150" s="70">
        <f t="shared" si="5"/>
        <v>5.0631022275760161E-3</v>
      </c>
    </row>
    <row r="151" spans="1:7" x14ac:dyDescent="0.2">
      <c r="A151" s="12" t="s">
        <v>326</v>
      </c>
      <c r="B151" s="13">
        <v>48402838.5</v>
      </c>
      <c r="C151" s="13">
        <v>209385363.94999999</v>
      </c>
      <c r="D151" s="70">
        <f t="shared" si="4"/>
        <v>3.8515163509337791E-3</v>
      </c>
      <c r="F151" s="8" t="str">
        <v>Italia</v>
      </c>
      <c r="G151" s="70">
        <f t="shared" si="5"/>
        <v>3.5911251718458694E-2</v>
      </c>
    </row>
    <row r="152" spans="1:7" x14ac:dyDescent="0.2">
      <c r="A152" s="12" t="s">
        <v>336</v>
      </c>
      <c r="B152" s="13">
        <v>165087.4</v>
      </c>
      <c r="C152" s="13">
        <v>68407.990000000005</v>
      </c>
      <c r="D152" s="70">
        <f t="shared" si="4"/>
        <v>1.3136353985379291E-5</v>
      </c>
      <c r="F152" s="8" t="str">
        <v>Luxemburgo</v>
      </c>
    </row>
    <row r="153" spans="1:7" x14ac:dyDescent="0.2">
      <c r="A153" s="12" t="s">
        <v>342</v>
      </c>
      <c r="B153" s="13">
        <v>63629100.100000001</v>
      </c>
      <c r="C153" s="13">
        <v>301431973.89999998</v>
      </c>
      <c r="D153" s="70">
        <f t="shared" si="4"/>
        <v>5.0631022275760161E-3</v>
      </c>
    </row>
    <row r="154" spans="1:7" x14ac:dyDescent="0.2">
      <c r="A154" s="12" t="s">
        <v>344</v>
      </c>
      <c r="B154" s="13">
        <v>451304462.68000001</v>
      </c>
      <c r="C154" s="13">
        <v>1802753297.3199999</v>
      </c>
      <c r="D154" s="70">
        <f t="shared" si="4"/>
        <v>3.5911251718458694E-2</v>
      </c>
    </row>
    <row r="155" spans="1:7" x14ac:dyDescent="0.2">
      <c r="A155" s="12" t="s">
        <v>358</v>
      </c>
      <c r="B155" s="13">
        <v>431815.29</v>
      </c>
      <c r="C155" s="13">
        <v>30415.45</v>
      </c>
      <c r="D155" s="70">
        <f t="shared" si="4"/>
        <v>3.4360456980600662E-5</v>
      </c>
    </row>
    <row r="156" spans="1:7" x14ac:dyDescent="0.2">
      <c r="A156" s="12" t="s">
        <v>365</v>
      </c>
      <c r="B156" s="13">
        <v>200794.34</v>
      </c>
      <c r="C156" s="13">
        <v>66470.710000000006</v>
      </c>
    </row>
    <row r="157" spans="1:7" x14ac:dyDescent="0.2">
      <c r="A157" s="12" t="s">
        <v>384</v>
      </c>
      <c r="B157" s="13">
        <v>1116715.3400000001</v>
      </c>
      <c r="C157" s="13">
        <v>2273634.41</v>
      </c>
    </row>
    <row r="158" spans="1:7" x14ac:dyDescent="0.2">
      <c r="A158" s="12" t="s">
        <v>378</v>
      </c>
      <c r="B158" s="13">
        <v>537492771.79999995</v>
      </c>
      <c r="C158" s="13">
        <v>2351526323.52</v>
      </c>
    </row>
    <row r="159" spans="1:7" x14ac:dyDescent="0.2">
      <c r="A159" s="12" t="s">
        <v>392</v>
      </c>
      <c r="B159" s="13">
        <v>288706696.05000001</v>
      </c>
      <c r="C159" s="13">
        <v>1266590694.9200001</v>
      </c>
    </row>
    <row r="160" spans="1:7" x14ac:dyDescent="0.2">
      <c r="A160" s="12" t="s">
        <v>393</v>
      </c>
      <c r="B160" s="13">
        <v>43036023.869999997</v>
      </c>
      <c r="C160" s="13">
        <v>172845677.99000001</v>
      </c>
    </row>
    <row r="161" spans="1:3" x14ac:dyDescent="0.2">
      <c r="A161" s="12" t="s">
        <v>431</v>
      </c>
      <c r="B161" s="13">
        <v>219476136.03</v>
      </c>
      <c r="C161" s="13">
        <v>836944540.08000004</v>
      </c>
    </row>
    <row r="162" spans="1:3" x14ac:dyDescent="0.2">
      <c r="A162" s="12" t="s">
        <v>396</v>
      </c>
      <c r="B162" s="13">
        <v>28036773.739999998</v>
      </c>
      <c r="C162" s="13">
        <v>109984533.15000001</v>
      </c>
    </row>
    <row r="163" spans="1:3" x14ac:dyDescent="0.2">
      <c r="A163" s="12" t="s">
        <v>418</v>
      </c>
      <c r="B163" s="13">
        <v>5979559.9100000001</v>
      </c>
      <c r="C163" s="13">
        <v>490317.37</v>
      </c>
    </row>
    <row r="164" spans="1:3" x14ac:dyDescent="0.2">
      <c r="A164" s="12" t="s">
        <v>419</v>
      </c>
      <c r="B164" s="13">
        <v>408714.78</v>
      </c>
      <c r="C164" s="13">
        <v>89052.33</v>
      </c>
    </row>
    <row r="165" spans="1:3" x14ac:dyDescent="0.2">
      <c r="A165" s="12" t="s">
        <v>218</v>
      </c>
      <c r="B165" s="13">
        <v>2710</v>
      </c>
      <c r="C165" s="13">
        <v>200</v>
      </c>
    </row>
    <row r="166" spans="1:3" x14ac:dyDescent="0.2">
      <c r="A166" s="12" t="s">
        <v>306</v>
      </c>
      <c r="B166" s="13">
        <v>15471684.949999999</v>
      </c>
      <c r="C166" s="13">
        <v>75934965.390000001</v>
      </c>
    </row>
    <row r="167" spans="1:3" x14ac:dyDescent="0.2">
      <c r="A167" s="12" t="s">
        <v>427</v>
      </c>
      <c r="B167" s="13">
        <v>73437245.859999999</v>
      </c>
      <c r="C167" s="13">
        <v>273873844.76999998</v>
      </c>
    </row>
    <row r="168" spans="1:3" x14ac:dyDescent="0.2">
      <c r="A168" s="12" t="s">
        <v>324</v>
      </c>
      <c r="B168" s="13">
        <v>161884428.59</v>
      </c>
      <c r="C168" s="13">
        <v>258256644.02000001</v>
      </c>
    </row>
    <row r="169" spans="1:3" x14ac:dyDescent="0.2">
      <c r="A169" s="12" t="s">
        <v>278</v>
      </c>
      <c r="B169" s="13">
        <v>119376.46</v>
      </c>
      <c r="C169" s="13">
        <v>23077</v>
      </c>
    </row>
    <row r="170" spans="1:3" x14ac:dyDescent="0.2">
      <c r="A170" s="12" t="s">
        <v>316</v>
      </c>
      <c r="B170" s="13">
        <v>396038.97</v>
      </c>
      <c r="C170" s="13">
        <v>21182.98</v>
      </c>
    </row>
    <row r="171" spans="1:3" x14ac:dyDescent="0.2">
      <c r="A171" s="12" t="s">
        <v>352</v>
      </c>
      <c r="B171" s="13">
        <v>5918.4</v>
      </c>
      <c r="C171" s="13">
        <v>14970.19</v>
      </c>
    </row>
    <row r="172" spans="1:3" x14ac:dyDescent="0.2">
      <c r="A172" s="12" t="s">
        <v>357</v>
      </c>
      <c r="B172" s="13">
        <v>348862.15</v>
      </c>
      <c r="C172" s="13">
        <v>785666.54</v>
      </c>
    </row>
    <row r="173" spans="1:3" x14ac:dyDescent="0.2">
      <c r="A173" s="12" t="s">
        <v>397</v>
      </c>
      <c r="B173" s="13">
        <v>106812648.47</v>
      </c>
      <c r="C173" s="13">
        <v>113574974.03</v>
      </c>
    </row>
    <row r="174" spans="1:3" x14ac:dyDescent="0.2">
      <c r="A174" s="12" t="s">
        <v>429</v>
      </c>
      <c r="B174" s="13">
        <v>2130884.39</v>
      </c>
      <c r="C174" s="13">
        <v>1110952.17</v>
      </c>
    </row>
    <row r="175" spans="1:3" x14ac:dyDescent="0.2">
      <c r="A175" s="12" t="s">
        <v>283</v>
      </c>
      <c r="B175" s="13">
        <v>749228.96</v>
      </c>
      <c r="C175" s="13">
        <v>1193622.83</v>
      </c>
    </row>
    <row r="176" spans="1:3" x14ac:dyDescent="0.2">
      <c r="A176" s="12" t="s">
        <v>304</v>
      </c>
      <c r="B176" s="13">
        <v>1647199.63</v>
      </c>
      <c r="C176" s="13">
        <v>2260995</v>
      </c>
    </row>
    <row r="177" spans="1:3" x14ac:dyDescent="0.2">
      <c r="A177" s="12" t="s">
        <v>406</v>
      </c>
      <c r="B177" s="13">
        <v>22305.27</v>
      </c>
      <c r="C177" s="13">
        <v>12357.49</v>
      </c>
    </row>
    <row r="178" spans="1:3" x14ac:dyDescent="0.2">
      <c r="A178" s="12" t="s">
        <v>407</v>
      </c>
      <c r="B178" s="13">
        <v>17149282.23</v>
      </c>
      <c r="C178" s="13">
        <v>78128023</v>
      </c>
    </row>
    <row r="179" spans="1:3" x14ac:dyDescent="0.2">
      <c r="A179" s="12" t="s">
        <v>383</v>
      </c>
      <c r="B179" s="13">
        <v>296428.93</v>
      </c>
      <c r="C179" s="13">
        <v>894641.83</v>
      </c>
    </row>
    <row r="180" spans="1:3" x14ac:dyDescent="0.2">
      <c r="A180" s="12" t="s">
        <v>307</v>
      </c>
      <c r="B180" s="13">
        <v>1329058.19</v>
      </c>
      <c r="C180" s="13">
        <v>159495.49</v>
      </c>
    </row>
    <row r="181" spans="1:3" x14ac:dyDescent="0.2">
      <c r="A181" s="12" t="s">
        <v>371</v>
      </c>
      <c r="B181" s="13">
        <v>16485.73</v>
      </c>
      <c r="C181" s="13">
        <v>20885.12</v>
      </c>
    </row>
    <row r="182" spans="1:3" x14ac:dyDescent="0.2">
      <c r="A182" s="12" t="s">
        <v>402</v>
      </c>
      <c r="B182" s="13">
        <v>28739.96</v>
      </c>
      <c r="C182" s="13">
        <v>16034.83</v>
      </c>
    </row>
    <row r="183" spans="1:3" x14ac:dyDescent="0.2">
      <c r="A183" s="12" t="s">
        <v>1</v>
      </c>
      <c r="B183" s="13" t="s">
        <v>466</v>
      </c>
      <c r="C183" s="13" t="s">
        <v>466</v>
      </c>
    </row>
    <row r="184" spans="1:3" x14ac:dyDescent="0.2">
      <c r="A184" s="12" t="s">
        <v>6</v>
      </c>
      <c r="B184" s="13">
        <v>85068842.379999995</v>
      </c>
      <c r="C184" s="13">
        <v>245751469.58000001</v>
      </c>
    </row>
    <row r="185" spans="1:3" x14ac:dyDescent="0.2">
      <c r="A185" s="12" t="s">
        <v>271</v>
      </c>
      <c r="B185" s="13">
        <v>74576310.530000001</v>
      </c>
      <c r="C185" s="13">
        <v>201980808.33000001</v>
      </c>
    </row>
    <row r="186" spans="1:3" x14ac:dyDescent="0.2">
      <c r="A186" s="12" t="s">
        <v>379</v>
      </c>
      <c r="B186" s="13">
        <v>10105317.65</v>
      </c>
      <c r="C186" s="13">
        <v>41711011.25</v>
      </c>
    </row>
    <row r="187" spans="1:3" x14ac:dyDescent="0.2">
      <c r="A187" s="14" t="s">
        <v>476</v>
      </c>
      <c r="B187" s="15">
        <v>387214.2</v>
      </c>
      <c r="C187" s="15">
        <v>2059650</v>
      </c>
    </row>
    <row r="189" spans="1:3" x14ac:dyDescent="0.2">
      <c r="A189" s="7" t="s">
        <v>16</v>
      </c>
    </row>
  </sheetData>
  <mergeCells count="2">
    <mergeCell ref="A1:C2"/>
    <mergeCell ref="B4:C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76"/>
  <sheetViews>
    <sheetView workbookViewId="0">
      <selection activeCell="D1" sqref="D1:G1048576"/>
    </sheetView>
  </sheetViews>
  <sheetFormatPr baseColWidth="10" defaultRowHeight="15" x14ac:dyDescent="0.2"/>
  <cols>
    <col min="1" max="1" width="80.625" style="8" customWidth="1"/>
    <col min="2" max="3" width="20" style="9" customWidth="1"/>
    <col min="4" max="16384" width="11" style="8"/>
  </cols>
  <sheetData>
    <row r="1" spans="1:7" x14ac:dyDescent="0.2">
      <c r="A1" s="66" t="s">
        <v>253</v>
      </c>
      <c r="B1" s="66"/>
      <c r="C1" s="66"/>
    </row>
    <row r="2" spans="1:7" x14ac:dyDescent="0.2">
      <c r="A2" s="66"/>
      <c r="B2" s="66"/>
      <c r="C2" s="66"/>
    </row>
    <row r="3" spans="1:7" x14ac:dyDescent="0.2">
      <c r="A3" s="1"/>
      <c r="B3" s="1"/>
      <c r="C3" s="1"/>
    </row>
    <row r="4" spans="1:7" x14ac:dyDescent="0.2">
      <c r="A4" s="2"/>
      <c r="B4" s="67" t="s">
        <v>20</v>
      </c>
      <c r="C4" s="67"/>
    </row>
    <row r="5" spans="1:7" x14ac:dyDescent="0.2">
      <c r="A5" s="3" t="s">
        <v>465</v>
      </c>
      <c r="B5" s="4" t="s">
        <v>10</v>
      </c>
      <c r="C5" s="4" t="s">
        <v>11</v>
      </c>
    </row>
    <row r="6" spans="1:7" x14ac:dyDescent="0.2">
      <c r="A6" s="5"/>
      <c r="B6" s="6" t="s">
        <v>13</v>
      </c>
      <c r="C6" s="6" t="s">
        <v>14</v>
      </c>
    </row>
    <row r="8" spans="1:7" x14ac:dyDescent="0.2">
      <c r="A8" s="10" t="s">
        <v>0</v>
      </c>
      <c r="B8" s="11">
        <v>8930927108.2900009</v>
      </c>
      <c r="C8" s="11">
        <v>29688614750.279999</v>
      </c>
    </row>
    <row r="9" spans="1:7" x14ac:dyDescent="0.2">
      <c r="A9" s="12" t="s">
        <v>1</v>
      </c>
      <c r="B9" s="13" t="s">
        <v>466</v>
      </c>
      <c r="C9" s="13" t="s">
        <v>466</v>
      </c>
    </row>
    <row r="10" spans="1:7" x14ac:dyDescent="0.2">
      <c r="A10" s="12" t="s">
        <v>2</v>
      </c>
      <c r="B10" s="13">
        <v>1028094535.0599999</v>
      </c>
      <c r="C10" s="13">
        <v>3338577128.1900001</v>
      </c>
      <c r="D10" s="70">
        <f>+B10/$B$8</f>
        <v>0.11511621610993628</v>
      </c>
      <c r="F10" s="8" t="str" cm="1">
        <f t="array" ref="F10:F153">+_xlfn.UNIQUE(A10:A155)</f>
        <v xml:space="preserve">   AFRICA</v>
      </c>
      <c r="G10" s="70">
        <f>+SUMIF(A10:A155,F10,D10:D155)</f>
        <v>0.11511621610993628</v>
      </c>
    </row>
    <row r="11" spans="1:7" x14ac:dyDescent="0.2">
      <c r="A11" s="12" t="s">
        <v>288</v>
      </c>
      <c r="B11" s="13">
        <v>781750</v>
      </c>
      <c r="C11" s="13">
        <v>375000</v>
      </c>
      <c r="D11" s="70">
        <f t="shared" ref="D11:D74" si="0">+B11/$B$8</f>
        <v>8.7532905657056824E-5</v>
      </c>
      <c r="F11" s="8" t="str">
        <v>Burkina Faso</v>
      </c>
      <c r="G11" s="70">
        <f t="shared" ref="G11:G74" si="1">+SUMIF(A11:A156,F11,D11:D156)</f>
        <v>8.7532905657056824E-5</v>
      </c>
    </row>
    <row r="12" spans="1:7" x14ac:dyDescent="0.2">
      <c r="A12" s="12" t="s">
        <v>265</v>
      </c>
      <c r="B12" s="13">
        <v>256318184.09999999</v>
      </c>
      <c r="C12" s="13">
        <v>730872505.09000003</v>
      </c>
      <c r="D12" s="70">
        <f t="shared" si="0"/>
        <v>2.8700064505293794E-2</v>
      </c>
      <c r="F12" s="8" t="str">
        <v>Argelia</v>
      </c>
      <c r="G12" s="70">
        <f t="shared" si="1"/>
        <v>2.8700064505293794E-2</v>
      </c>
    </row>
    <row r="13" spans="1:7" x14ac:dyDescent="0.2">
      <c r="A13" s="12" t="s">
        <v>292</v>
      </c>
      <c r="B13" s="13">
        <v>3603185.49</v>
      </c>
      <c r="C13" s="13">
        <v>2621767.98</v>
      </c>
      <c r="D13" s="70">
        <f t="shared" si="0"/>
        <v>4.0345033010687063E-4</v>
      </c>
      <c r="F13" s="8" t="str">
        <v>Camerún</v>
      </c>
      <c r="G13" s="70">
        <f t="shared" si="1"/>
        <v>4.0345033010687063E-4</v>
      </c>
    </row>
    <row r="14" spans="1:7" x14ac:dyDescent="0.2">
      <c r="A14" s="12" t="s">
        <v>301</v>
      </c>
      <c r="B14" s="13">
        <v>10695643.58</v>
      </c>
      <c r="C14" s="13">
        <v>12358416.939999999</v>
      </c>
      <c r="D14" s="70">
        <f t="shared" si="0"/>
        <v>1.1975961118383697E-3</v>
      </c>
      <c r="F14" s="8" t="str">
        <v>Congo</v>
      </c>
      <c r="G14" s="70">
        <f t="shared" si="1"/>
        <v>1.1975961118383697E-3</v>
      </c>
    </row>
    <row r="15" spans="1:7" x14ac:dyDescent="0.2">
      <c r="A15" s="12" t="s">
        <v>477</v>
      </c>
      <c r="B15" s="13">
        <v>6544697.0899999999</v>
      </c>
      <c r="C15" s="13">
        <v>30042553.399999999</v>
      </c>
      <c r="D15" s="70">
        <f t="shared" si="0"/>
        <v>7.3281273160599215E-4</v>
      </c>
      <c r="F15" s="8" t="str">
        <v>Rep. Democrática del Congo</v>
      </c>
      <c r="G15" s="70">
        <f t="shared" si="1"/>
        <v>7.3281273160599215E-4</v>
      </c>
    </row>
    <row r="16" spans="1:7" x14ac:dyDescent="0.2">
      <c r="A16" s="12" t="s">
        <v>303</v>
      </c>
      <c r="B16" s="13">
        <v>3244669.07</v>
      </c>
      <c r="C16" s="13">
        <v>2149733.5299999998</v>
      </c>
      <c r="D16" s="70">
        <f t="shared" si="0"/>
        <v>3.6330708230595496E-4</v>
      </c>
      <c r="F16" s="8" t="str">
        <v>Costa de Marfil</v>
      </c>
      <c r="G16" s="70">
        <f t="shared" si="1"/>
        <v>3.6330708230595496E-4</v>
      </c>
    </row>
    <row r="17" spans="1:7" x14ac:dyDescent="0.2">
      <c r="A17" s="12" t="s">
        <v>295</v>
      </c>
      <c r="B17" s="13">
        <v>206625</v>
      </c>
      <c r="C17" s="13">
        <v>100000</v>
      </c>
      <c r="D17" s="70">
        <f t="shared" si="0"/>
        <v>2.3135895914792923E-5</v>
      </c>
      <c r="F17" s="8" t="str">
        <v>Chad</v>
      </c>
      <c r="G17" s="70">
        <f t="shared" si="1"/>
        <v>2.3135895914792923E-5</v>
      </c>
    </row>
    <row r="18" spans="1:7" x14ac:dyDescent="0.2">
      <c r="A18" s="12" t="s">
        <v>281</v>
      </c>
      <c r="B18" s="13">
        <v>981510.74</v>
      </c>
      <c r="C18" s="13">
        <v>523455.37</v>
      </c>
      <c r="D18" s="70">
        <f t="shared" si="0"/>
        <v>1.0990020723480401E-4</v>
      </c>
      <c r="F18" s="8" t="str">
        <v>Benin</v>
      </c>
      <c r="G18" s="70">
        <f t="shared" si="1"/>
        <v>1.0990020723480401E-4</v>
      </c>
    </row>
    <row r="19" spans="1:7" x14ac:dyDescent="0.2">
      <c r="A19" s="12" t="s">
        <v>313</v>
      </c>
      <c r="B19" s="13">
        <v>142248339.56999999</v>
      </c>
      <c r="C19" s="13">
        <v>447940688.52999997</v>
      </c>
      <c r="D19" s="70">
        <f t="shared" si="0"/>
        <v>1.5927611752419305E-2</v>
      </c>
      <c r="F19" s="8" t="str">
        <v>Egipto</v>
      </c>
      <c r="G19" s="70">
        <f t="shared" si="1"/>
        <v>1.5927611752419305E-2</v>
      </c>
    </row>
    <row r="20" spans="1:7" x14ac:dyDescent="0.2">
      <c r="A20" s="12" t="s">
        <v>321</v>
      </c>
      <c r="B20" s="13">
        <v>917037.53</v>
      </c>
      <c r="C20" s="13">
        <v>566822.37</v>
      </c>
      <c r="D20" s="70">
        <f t="shared" si="0"/>
        <v>1.0268111237284352E-4</v>
      </c>
      <c r="F20" s="8" t="str">
        <v>Gabón</v>
      </c>
      <c r="G20" s="70">
        <f t="shared" si="1"/>
        <v>1.0268111237284352E-4</v>
      </c>
    </row>
    <row r="21" spans="1:7" x14ac:dyDescent="0.2">
      <c r="A21" s="12" t="s">
        <v>322</v>
      </c>
      <c r="B21" s="13">
        <v>156811.65</v>
      </c>
      <c r="C21" s="13">
        <v>567071.46</v>
      </c>
      <c r="D21" s="70">
        <f t="shared" si="0"/>
        <v>1.7558272293415304E-5</v>
      </c>
      <c r="F21" s="8" t="str">
        <v>Gambia</v>
      </c>
      <c r="G21" s="70">
        <f t="shared" si="1"/>
        <v>1.7558272293415304E-5</v>
      </c>
    </row>
    <row r="22" spans="1:7" x14ac:dyDescent="0.2">
      <c r="A22" s="12" t="s">
        <v>325</v>
      </c>
      <c r="B22" s="13">
        <v>1908348.31</v>
      </c>
      <c r="C22" s="13">
        <v>1315717.43</v>
      </c>
      <c r="D22" s="70">
        <f t="shared" si="0"/>
        <v>2.1367863457631448E-4</v>
      </c>
      <c r="F22" s="8" t="str">
        <v>Ghana</v>
      </c>
      <c r="G22" s="70">
        <f t="shared" si="1"/>
        <v>2.1367863457631448E-4</v>
      </c>
    </row>
    <row r="23" spans="1:7" x14ac:dyDescent="0.2">
      <c r="A23" s="12" t="s">
        <v>329</v>
      </c>
      <c r="B23" s="13">
        <v>514163.24</v>
      </c>
      <c r="C23" s="13">
        <v>275384.08</v>
      </c>
      <c r="D23" s="70">
        <f t="shared" si="0"/>
        <v>5.7571093545566572E-5</v>
      </c>
      <c r="F23" s="8" t="str">
        <v>Guinea</v>
      </c>
      <c r="G23" s="70">
        <f t="shared" si="1"/>
        <v>5.7571093545566572E-5</v>
      </c>
    </row>
    <row r="24" spans="1:7" x14ac:dyDescent="0.2">
      <c r="A24" s="12" t="s">
        <v>330</v>
      </c>
      <c r="B24" s="13">
        <v>50250</v>
      </c>
      <c r="C24" s="13">
        <v>25000</v>
      </c>
      <c r="D24" s="70">
        <f t="shared" si="0"/>
        <v>5.6265155219278612E-6</v>
      </c>
      <c r="F24" s="8" t="str">
        <v>Guinea Ecuatorial</v>
      </c>
      <c r="G24" s="70">
        <f t="shared" si="1"/>
        <v>5.6265155219278612E-6</v>
      </c>
    </row>
    <row r="25" spans="1:7" x14ac:dyDescent="0.2">
      <c r="A25" s="12" t="s">
        <v>349</v>
      </c>
      <c r="B25" s="13">
        <v>3121037.34</v>
      </c>
      <c r="C25" s="13">
        <v>12290156.33</v>
      </c>
      <c r="D25" s="70">
        <f t="shared" si="0"/>
        <v>3.4946398085624762E-4</v>
      </c>
      <c r="F25" s="8" t="str">
        <v>Kenya</v>
      </c>
      <c r="G25" s="70">
        <f t="shared" si="1"/>
        <v>3.4946398085624762E-4</v>
      </c>
    </row>
    <row r="26" spans="1:7" x14ac:dyDescent="0.2">
      <c r="A26" s="12" t="s">
        <v>355</v>
      </c>
      <c r="B26" s="13">
        <v>1323829.1100000001</v>
      </c>
      <c r="C26" s="13">
        <v>1924729.96</v>
      </c>
      <c r="D26" s="70">
        <f t="shared" si="0"/>
        <v>1.4822975195611835E-4</v>
      </c>
      <c r="F26" s="8" t="str">
        <v>Liberia</v>
      </c>
      <c r="G26" s="70">
        <f t="shared" si="1"/>
        <v>1.4822975195611835E-4</v>
      </c>
    </row>
    <row r="27" spans="1:7" x14ac:dyDescent="0.2">
      <c r="A27" s="12" t="s">
        <v>356</v>
      </c>
      <c r="B27" s="13">
        <v>30517899.780000001</v>
      </c>
      <c r="C27" s="13">
        <v>148286989.38999999</v>
      </c>
      <c r="D27" s="70">
        <f t="shared" si="0"/>
        <v>3.4171032200757986E-3</v>
      </c>
      <c r="F27" s="8" t="str">
        <v>Libia</v>
      </c>
      <c r="G27" s="70">
        <f t="shared" si="1"/>
        <v>3.4171032200757986E-3</v>
      </c>
    </row>
    <row r="28" spans="1:7" x14ac:dyDescent="0.2">
      <c r="A28" s="12" t="s">
        <v>360</v>
      </c>
      <c r="B28" s="13">
        <v>12289525.65</v>
      </c>
      <c r="C28" s="13">
        <v>26778800</v>
      </c>
      <c r="D28" s="70">
        <f t="shared" si="0"/>
        <v>1.3760638174498624E-3</v>
      </c>
      <c r="F28" s="8" t="str">
        <v>Madagascar</v>
      </c>
      <c r="G28" s="70">
        <f t="shared" si="1"/>
        <v>1.3760638174498624E-3</v>
      </c>
    </row>
    <row r="29" spans="1:7" x14ac:dyDescent="0.2">
      <c r="A29" s="12" t="s">
        <v>361</v>
      </c>
      <c r="B29" s="13">
        <v>695832.27</v>
      </c>
      <c r="C29" s="13">
        <v>3282971</v>
      </c>
      <c r="D29" s="70">
        <f t="shared" si="0"/>
        <v>7.7912658065936293E-5</v>
      </c>
      <c r="F29" s="8" t="str">
        <v>Malawi</v>
      </c>
      <c r="G29" s="70">
        <f t="shared" si="1"/>
        <v>7.7912658065936293E-5</v>
      </c>
    </row>
    <row r="30" spans="1:7" x14ac:dyDescent="0.2">
      <c r="A30" s="12" t="s">
        <v>478</v>
      </c>
      <c r="B30" s="13">
        <v>1649760</v>
      </c>
      <c r="C30" s="13">
        <v>785000</v>
      </c>
      <c r="D30" s="70">
        <f t="shared" si="0"/>
        <v>1.8472438303394445E-4</v>
      </c>
      <c r="F30" s="8" t="str">
        <v>Malí</v>
      </c>
      <c r="G30" s="70">
        <f t="shared" si="1"/>
        <v>1.8472438303394445E-4</v>
      </c>
    </row>
    <row r="31" spans="1:7" x14ac:dyDescent="0.2">
      <c r="A31" s="12" t="s">
        <v>372</v>
      </c>
      <c r="B31" s="13">
        <v>111494369.03</v>
      </c>
      <c r="C31" s="13">
        <v>249554566.78</v>
      </c>
      <c r="D31" s="70">
        <f t="shared" si="0"/>
        <v>1.2484075581191006E-2</v>
      </c>
      <c r="F31" s="8" t="str">
        <v>Marruecos</v>
      </c>
      <c r="G31" s="70">
        <f t="shared" si="1"/>
        <v>1.2484075581191006E-2</v>
      </c>
    </row>
    <row r="32" spans="1:7" x14ac:dyDescent="0.2">
      <c r="A32" s="12" t="s">
        <v>367</v>
      </c>
      <c r="B32" s="13">
        <v>11837220.76</v>
      </c>
      <c r="C32" s="13">
        <v>39679165.789999999</v>
      </c>
      <c r="D32" s="70">
        <f t="shared" si="0"/>
        <v>1.325419031694064E-3</v>
      </c>
      <c r="F32" s="8" t="str">
        <v>Mauricio</v>
      </c>
      <c r="G32" s="70">
        <f t="shared" si="1"/>
        <v>1.325419031694064E-3</v>
      </c>
    </row>
    <row r="33" spans="1:7" x14ac:dyDescent="0.2">
      <c r="A33" s="12" t="s">
        <v>366</v>
      </c>
      <c r="B33" s="13">
        <v>731750</v>
      </c>
      <c r="C33" s="13">
        <v>350000</v>
      </c>
      <c r="D33" s="70">
        <f t="shared" si="0"/>
        <v>8.1934382749665924E-5</v>
      </c>
      <c r="F33" s="8" t="str">
        <v>Mauritania</v>
      </c>
      <c r="G33" s="70">
        <f t="shared" si="1"/>
        <v>8.1934382749665924E-5</v>
      </c>
    </row>
    <row r="34" spans="1:7" x14ac:dyDescent="0.2">
      <c r="A34" s="12" t="s">
        <v>381</v>
      </c>
      <c r="B34" s="13">
        <v>5938185.9500000002</v>
      </c>
      <c r="C34" s="13">
        <v>2562387.2000000002</v>
      </c>
      <c r="D34" s="70">
        <f t="shared" si="0"/>
        <v>6.6490140138843667E-4</v>
      </c>
      <c r="F34" s="8" t="str">
        <v>Níger</v>
      </c>
      <c r="G34" s="70">
        <f t="shared" si="1"/>
        <v>6.6490140138843667E-4</v>
      </c>
    </row>
    <row r="35" spans="1:7" x14ac:dyDescent="0.2">
      <c r="A35" s="12" t="s">
        <v>382</v>
      </c>
      <c r="B35" s="13">
        <v>11782742.220000001</v>
      </c>
      <c r="C35" s="13">
        <v>33270540.510000002</v>
      </c>
      <c r="D35" s="70">
        <f t="shared" si="0"/>
        <v>1.3193190446110399E-3</v>
      </c>
      <c r="F35" s="8" t="str">
        <v>Nigeria</v>
      </c>
      <c r="G35" s="70">
        <f t="shared" si="1"/>
        <v>1.3193190446110399E-3</v>
      </c>
    </row>
    <row r="36" spans="1:7" x14ac:dyDescent="0.2">
      <c r="A36" s="12" t="s">
        <v>398</v>
      </c>
      <c r="B36" s="13">
        <v>77175</v>
      </c>
      <c r="C36" s="13">
        <v>441000</v>
      </c>
      <c r="D36" s="70">
        <f t="shared" si="0"/>
        <v>8.6413201075578643E-6</v>
      </c>
      <c r="F36" s="8" t="str">
        <v>Rwanda</v>
      </c>
      <c r="G36" s="70">
        <f t="shared" si="1"/>
        <v>8.6413201075578643E-6</v>
      </c>
    </row>
    <row r="37" spans="1:7" x14ac:dyDescent="0.2">
      <c r="A37" s="12" t="s">
        <v>401</v>
      </c>
      <c r="B37" s="13">
        <v>44680013.060000002</v>
      </c>
      <c r="C37" s="13">
        <v>85693098.5</v>
      </c>
      <c r="D37" s="70">
        <f t="shared" si="0"/>
        <v>5.0028415323786976E-3</v>
      </c>
      <c r="F37" s="8" t="str">
        <v>Senegal</v>
      </c>
      <c r="G37" s="70">
        <f t="shared" si="1"/>
        <v>5.0028415323786976E-3</v>
      </c>
    </row>
    <row r="38" spans="1:7" x14ac:dyDescent="0.2">
      <c r="A38" s="12" t="s">
        <v>404</v>
      </c>
      <c r="B38" s="13">
        <v>475751.34</v>
      </c>
      <c r="C38" s="13">
        <v>1565405.2</v>
      </c>
      <c r="D38" s="70">
        <f t="shared" si="0"/>
        <v>5.3270095504238398E-5</v>
      </c>
      <c r="F38" s="8" t="str">
        <v>Sierra Leona</v>
      </c>
      <c r="G38" s="70">
        <f t="shared" si="1"/>
        <v>5.3270095504238398E-5</v>
      </c>
    </row>
    <row r="39" spans="1:7" x14ac:dyDescent="0.2">
      <c r="A39" s="12" t="s">
        <v>416</v>
      </c>
      <c r="B39" s="13">
        <v>580772.93000000005</v>
      </c>
      <c r="C39" s="13">
        <v>372946.4</v>
      </c>
      <c r="D39" s="70">
        <f t="shared" si="0"/>
        <v>6.5029411051950714E-5</v>
      </c>
      <c r="F39" s="8" t="str">
        <v>Sudán</v>
      </c>
      <c r="G39" s="70">
        <f t="shared" si="1"/>
        <v>6.5029411051950714E-5</v>
      </c>
    </row>
    <row r="40" spans="1:7" x14ac:dyDescent="0.2">
      <c r="A40" s="12" t="s">
        <v>422</v>
      </c>
      <c r="B40" s="13">
        <v>4162440.5</v>
      </c>
      <c r="C40" s="13">
        <v>17338375.899999999</v>
      </c>
      <c r="D40" s="70">
        <f t="shared" si="0"/>
        <v>4.6607036979803319E-4</v>
      </c>
      <c r="F40" s="8" t="str">
        <v>Tanzania</v>
      </c>
      <c r="G40" s="70">
        <f t="shared" si="1"/>
        <v>4.6607036979803319E-4</v>
      </c>
    </row>
    <row r="41" spans="1:7" x14ac:dyDescent="0.2">
      <c r="A41" s="12" t="s">
        <v>424</v>
      </c>
      <c r="B41" s="13">
        <v>4433189.93</v>
      </c>
      <c r="C41" s="13">
        <v>1833779.66</v>
      </c>
      <c r="D41" s="70">
        <f t="shared" si="0"/>
        <v>4.9638630751839381E-4</v>
      </c>
      <c r="F41" s="8" t="str">
        <v>Togo</v>
      </c>
      <c r="G41" s="70">
        <f t="shared" si="1"/>
        <v>4.9638630751839381E-4</v>
      </c>
    </row>
    <row r="42" spans="1:7" x14ac:dyDescent="0.2">
      <c r="A42" s="12" t="s">
        <v>426</v>
      </c>
      <c r="B42" s="13">
        <v>84837640.329999998</v>
      </c>
      <c r="C42" s="13">
        <v>328974899.25999999</v>
      </c>
      <c r="D42" s="70">
        <f t="shared" si="0"/>
        <v>9.4993094559299128E-3</v>
      </c>
      <c r="F42" s="8" t="str">
        <v>Túnez</v>
      </c>
      <c r="G42" s="70">
        <f t="shared" si="1"/>
        <v>9.4993094559299128E-3</v>
      </c>
    </row>
    <row r="43" spans="1:7" x14ac:dyDescent="0.2">
      <c r="A43" s="12" t="s">
        <v>428</v>
      </c>
      <c r="B43" s="13">
        <v>581615.79</v>
      </c>
      <c r="C43" s="13">
        <v>2464602</v>
      </c>
      <c r="D43" s="70">
        <f t="shared" si="0"/>
        <v>6.5123786472305188E-5</v>
      </c>
      <c r="F43" s="8" t="str">
        <v>Uganda</v>
      </c>
      <c r="G43" s="70">
        <f t="shared" si="1"/>
        <v>6.5123786472305188E-5</v>
      </c>
    </row>
    <row r="44" spans="1:7" x14ac:dyDescent="0.2">
      <c r="A44" s="12" t="s">
        <v>65</v>
      </c>
      <c r="B44" s="13">
        <v>328787.95</v>
      </c>
      <c r="C44" s="13">
        <v>84902.18</v>
      </c>
      <c r="D44" s="70">
        <f t="shared" si="0"/>
        <v>3.6814537394981925E-5</v>
      </c>
      <c r="F44" s="8" t="str">
        <v>Territorios vinculados a España</v>
      </c>
      <c r="G44" s="70">
        <f t="shared" si="1"/>
        <v>3.6814537394981925E-5</v>
      </c>
    </row>
    <row r="45" spans="1:7" x14ac:dyDescent="0.2">
      <c r="A45" s="12" t="s">
        <v>66</v>
      </c>
      <c r="B45" s="13">
        <v>6270279.5</v>
      </c>
      <c r="C45" s="13">
        <v>36728500</v>
      </c>
      <c r="D45" s="70">
        <f t="shared" si="0"/>
        <v>7.0208606832987202E-4</v>
      </c>
      <c r="F45" s="8" t="str">
        <v>Territorios vinculados a Francia</v>
      </c>
      <c r="G45" s="70">
        <f t="shared" si="1"/>
        <v>7.0208606832987202E-4</v>
      </c>
    </row>
    <row r="46" spans="1:7" x14ac:dyDescent="0.2">
      <c r="A46" s="12" t="s">
        <v>267</v>
      </c>
      <c r="B46" s="13">
        <v>7012643.2599999998</v>
      </c>
      <c r="C46" s="13">
        <v>14892336.02</v>
      </c>
      <c r="D46" s="70">
        <f t="shared" si="0"/>
        <v>7.8520887864940889E-4</v>
      </c>
      <c r="F46" s="8" t="str">
        <v>Angola</v>
      </c>
      <c r="G46" s="70">
        <f t="shared" si="1"/>
        <v>7.8520887864940889E-4</v>
      </c>
    </row>
    <row r="47" spans="1:7" x14ac:dyDescent="0.2">
      <c r="A47" s="12" t="s">
        <v>290</v>
      </c>
      <c r="B47" s="13">
        <v>296021.26</v>
      </c>
      <c r="C47" s="13">
        <v>2247129.2999999998</v>
      </c>
      <c r="D47" s="70">
        <f t="shared" si="0"/>
        <v>3.3145636103694392E-5</v>
      </c>
      <c r="F47" s="8" t="str">
        <v>Cabo Verde</v>
      </c>
      <c r="G47" s="70">
        <f t="shared" si="1"/>
        <v>3.3145636103694392E-5</v>
      </c>
    </row>
    <row r="48" spans="1:7" x14ac:dyDescent="0.2">
      <c r="A48" s="12" t="s">
        <v>373</v>
      </c>
      <c r="B48" s="13">
        <v>11060399.380000001</v>
      </c>
      <c r="C48" s="13">
        <v>42822232</v>
      </c>
      <c r="D48" s="70">
        <f t="shared" si="0"/>
        <v>1.2384379858764439E-3</v>
      </c>
      <c r="F48" s="8" t="str">
        <v>Mozambique</v>
      </c>
      <c r="G48" s="70"/>
    </row>
    <row r="49" spans="1:7" x14ac:dyDescent="0.2">
      <c r="A49" s="12" t="s">
        <v>299</v>
      </c>
      <c r="B49" s="13">
        <v>10255.44</v>
      </c>
      <c r="C49" s="13">
        <v>4152</v>
      </c>
      <c r="D49" s="70">
        <f t="shared" si="0"/>
        <v>1.1483063153074601E-6</v>
      </c>
      <c r="F49" s="8" t="str">
        <v>Comoras</v>
      </c>
      <c r="G49" s="70">
        <f t="shared" si="1"/>
        <v>1.1483063153074601E-6</v>
      </c>
    </row>
    <row r="50" spans="1:7" x14ac:dyDescent="0.2">
      <c r="A50" s="12" t="s">
        <v>331</v>
      </c>
      <c r="B50" s="13">
        <v>102500</v>
      </c>
      <c r="C50" s="13">
        <v>50000</v>
      </c>
      <c r="D50" s="70">
        <f t="shared" si="0"/>
        <v>1.1476971960151359E-5</v>
      </c>
      <c r="F50" s="8" t="str">
        <v>Guinea Bissau</v>
      </c>
      <c r="G50" s="70">
        <f t="shared" si="1"/>
        <v>1.1476971960151359E-5</v>
      </c>
    </row>
    <row r="51" spans="1:7" x14ac:dyDescent="0.2">
      <c r="A51" s="12" t="s">
        <v>409</v>
      </c>
      <c r="B51" s="13">
        <v>243616706.16999999</v>
      </c>
      <c r="C51" s="13">
        <v>1054528250.63</v>
      </c>
      <c r="D51" s="70">
        <f t="shared" si="0"/>
        <v>2.7277874202317292E-2</v>
      </c>
      <c r="F51" s="8" t="str">
        <v>Sudáfrica</v>
      </c>
      <c r="G51" s="70">
        <f t="shared" si="1"/>
        <v>2.7277874202317292E-2</v>
      </c>
    </row>
    <row r="52" spans="1:7" x14ac:dyDescent="0.2">
      <c r="A52" s="12" t="s">
        <v>315</v>
      </c>
      <c r="B52" s="13">
        <v>14975.74</v>
      </c>
      <c r="C52" s="13">
        <v>36096</v>
      </c>
      <c r="D52" s="70">
        <f t="shared" si="0"/>
        <v>1.676840468902606E-6</v>
      </c>
      <c r="F52" s="8" t="str">
        <v>Eritrea</v>
      </c>
      <c r="G52" s="70">
        <f t="shared" si="1"/>
        <v>1.676840468902606E-6</v>
      </c>
    </row>
    <row r="53" spans="1:7" x14ac:dyDescent="0.2">
      <c r="A53" s="12" t="s">
        <v>1</v>
      </c>
      <c r="B53" s="13" t="s">
        <v>466</v>
      </c>
      <c r="C53" s="13" t="s">
        <v>466</v>
      </c>
      <c r="D53" s="70" t="e">
        <f t="shared" si="0"/>
        <v>#VALUE!</v>
      </c>
      <c r="F53" s="8" t="str">
        <v xml:space="preserve">   </v>
      </c>
      <c r="G53" s="70" t="e">
        <f t="shared" si="1"/>
        <v>#VALUE!</v>
      </c>
    </row>
    <row r="54" spans="1:7" x14ac:dyDescent="0.2">
      <c r="A54" s="12" t="s">
        <v>3</v>
      </c>
      <c r="B54" s="13">
        <v>2486623940.4499998</v>
      </c>
      <c r="C54" s="13">
        <v>4767382164.9700003</v>
      </c>
      <c r="D54" s="70">
        <f t="shared" si="0"/>
        <v>0.27842842185351935</v>
      </c>
      <c r="F54" s="8" t="str">
        <v xml:space="preserve">   AMERICA</v>
      </c>
      <c r="G54" s="70">
        <f t="shared" si="1"/>
        <v>0.27842842185351935</v>
      </c>
    </row>
    <row r="55" spans="1:7" x14ac:dyDescent="0.2">
      <c r="A55" s="12" t="s">
        <v>277</v>
      </c>
      <c r="B55" s="13">
        <v>334900.7</v>
      </c>
      <c r="C55" s="13">
        <v>124160.82</v>
      </c>
      <c r="D55" s="70">
        <f t="shared" si="0"/>
        <v>3.7498984813024999E-5</v>
      </c>
      <c r="F55" s="8" t="str">
        <v>Barbados</v>
      </c>
      <c r="G55" s="70">
        <f t="shared" si="1"/>
        <v>3.7498984813024999E-5</v>
      </c>
    </row>
    <row r="56" spans="1:7" x14ac:dyDescent="0.2">
      <c r="A56" s="12" t="s">
        <v>282</v>
      </c>
      <c r="B56" s="13">
        <v>50819998.43</v>
      </c>
      <c r="C56" s="13">
        <v>104272777.25</v>
      </c>
      <c r="D56" s="70">
        <f t="shared" si="0"/>
        <v>5.6903385072784984E-3</v>
      </c>
      <c r="F56" s="8" t="str">
        <v>Bolivia</v>
      </c>
      <c r="G56" s="70">
        <f t="shared" si="1"/>
        <v>5.6903385072784984E-3</v>
      </c>
    </row>
    <row r="57" spans="1:7" x14ac:dyDescent="0.2">
      <c r="A57" s="12" t="s">
        <v>285</v>
      </c>
      <c r="B57" s="13">
        <v>796444957.33000004</v>
      </c>
      <c r="C57" s="13">
        <v>1581715991.9000001</v>
      </c>
      <c r="D57" s="70">
        <f t="shared" si="0"/>
        <v>8.9178306761759571E-2</v>
      </c>
      <c r="F57" s="8" t="str">
        <v>Brasil</v>
      </c>
      <c r="G57" s="70">
        <f t="shared" si="1"/>
        <v>8.9178306761759571E-2</v>
      </c>
    </row>
    <row r="58" spans="1:7" x14ac:dyDescent="0.2">
      <c r="A58" s="12" t="s">
        <v>293</v>
      </c>
      <c r="B58" s="13">
        <v>14626077.960000001</v>
      </c>
      <c r="C58" s="13">
        <v>2324925.98</v>
      </c>
      <c r="D58" s="70">
        <f t="shared" si="0"/>
        <v>1.6376886500869053E-3</v>
      </c>
      <c r="F58" s="8" t="str">
        <v>Canadá</v>
      </c>
      <c r="G58" s="70">
        <f t="shared" si="1"/>
        <v>1.6376886500869053E-3</v>
      </c>
    </row>
    <row r="59" spans="1:7" x14ac:dyDescent="0.2">
      <c r="A59" s="12" t="s">
        <v>298</v>
      </c>
      <c r="B59" s="13">
        <v>99266873.75</v>
      </c>
      <c r="C59" s="13">
        <v>392030165.05000001</v>
      </c>
      <c r="D59" s="70">
        <f t="shared" si="0"/>
        <v>1.1114957332689121E-2</v>
      </c>
      <c r="F59" s="8" t="str">
        <v>Colombia</v>
      </c>
      <c r="G59" s="70">
        <f t="shared" si="1"/>
        <v>1.1114957332689121E-2</v>
      </c>
    </row>
    <row r="60" spans="1:7" x14ac:dyDescent="0.2">
      <c r="A60" s="12" t="s">
        <v>302</v>
      </c>
      <c r="B60" s="13">
        <v>4601394.1100000003</v>
      </c>
      <c r="C60" s="13">
        <v>1799580.89</v>
      </c>
      <c r="D60" s="70">
        <f t="shared" si="0"/>
        <v>5.1522020661537188E-4</v>
      </c>
      <c r="F60" s="8" t="str">
        <v>Costa Rica</v>
      </c>
      <c r="G60" s="70">
        <f t="shared" si="1"/>
        <v>5.1522020661537188E-4</v>
      </c>
    </row>
    <row r="61" spans="1:7" x14ac:dyDescent="0.2">
      <c r="A61" s="12" t="s">
        <v>442</v>
      </c>
      <c r="B61" s="13">
        <v>18237606.140000001</v>
      </c>
      <c r="C61" s="13">
        <v>29127265.449999999</v>
      </c>
      <c r="D61" s="70">
        <f t="shared" si="0"/>
        <v>2.0420731150152609E-3</v>
      </c>
      <c r="F61" s="8" t="str">
        <v>Cuba</v>
      </c>
      <c r="G61" s="70">
        <f t="shared" si="1"/>
        <v>2.0420731150152609E-3</v>
      </c>
    </row>
    <row r="62" spans="1:7" x14ac:dyDescent="0.2">
      <c r="A62" s="12" t="s">
        <v>296</v>
      </c>
      <c r="B62" s="13">
        <v>318483306.42000002</v>
      </c>
      <c r="C62" s="13">
        <v>713274497.27999997</v>
      </c>
      <c r="D62" s="70">
        <f t="shared" si="0"/>
        <v>3.5660721732279348E-2</v>
      </c>
      <c r="F62" s="8" t="str">
        <v>Chile</v>
      </c>
      <c r="G62" s="70">
        <f t="shared" si="1"/>
        <v>3.5660721732279348E-2</v>
      </c>
    </row>
    <row r="63" spans="1:7" x14ac:dyDescent="0.2">
      <c r="A63" s="12" t="s">
        <v>311</v>
      </c>
      <c r="B63" s="13">
        <v>56546304.829999998</v>
      </c>
      <c r="C63" s="13">
        <v>110741848.36</v>
      </c>
      <c r="D63" s="70">
        <f t="shared" si="0"/>
        <v>6.3315156583812812E-3</v>
      </c>
      <c r="F63" s="8" t="str">
        <v>República Dominicana</v>
      </c>
      <c r="G63" s="70">
        <f t="shared" si="1"/>
        <v>6.3315156583812812E-3</v>
      </c>
    </row>
    <row r="64" spans="1:7" x14ac:dyDescent="0.2">
      <c r="A64" s="12" t="s">
        <v>312</v>
      </c>
      <c r="B64" s="13">
        <v>89612561.519999996</v>
      </c>
      <c r="C64" s="13">
        <v>356530939.07999998</v>
      </c>
      <c r="D64" s="70">
        <f t="shared" si="0"/>
        <v>1.0033959569193937E-2</v>
      </c>
      <c r="F64" s="8" t="str">
        <v>Ecuador</v>
      </c>
      <c r="G64" s="70">
        <f t="shared" si="1"/>
        <v>1.0033959569193937E-2</v>
      </c>
    </row>
    <row r="65" spans="1:7" x14ac:dyDescent="0.2">
      <c r="A65" s="12" t="s">
        <v>314</v>
      </c>
      <c r="B65" s="13">
        <v>2239819.52</v>
      </c>
      <c r="C65" s="13">
        <v>1894610.85</v>
      </c>
      <c r="D65" s="70">
        <f t="shared" si="0"/>
        <v>2.5079361782282612E-4</v>
      </c>
      <c r="F65" s="8" t="str">
        <v>El Salvador</v>
      </c>
      <c r="G65" s="70">
        <f t="shared" si="1"/>
        <v>2.5079361782282612E-4</v>
      </c>
    </row>
    <row r="66" spans="1:7" x14ac:dyDescent="0.2">
      <c r="A66" s="12" t="s">
        <v>432</v>
      </c>
      <c r="B66" s="13">
        <v>270783056.69999999</v>
      </c>
      <c r="C66" s="13">
        <v>202562002.09999999</v>
      </c>
      <c r="D66" s="70">
        <f t="shared" si="0"/>
        <v>3.0319702917365614E-2</v>
      </c>
      <c r="F66" s="8" t="str">
        <v>Estados Unidos</v>
      </c>
      <c r="G66" s="70">
        <f t="shared" si="1"/>
        <v>3.0319702917365614E-2</v>
      </c>
    </row>
    <row r="67" spans="1:7" x14ac:dyDescent="0.2">
      <c r="A67" s="12" t="s">
        <v>328</v>
      </c>
      <c r="B67" s="13">
        <v>20543974.600000001</v>
      </c>
      <c r="C67" s="13">
        <v>38604850.520000003</v>
      </c>
      <c r="D67" s="70">
        <f t="shared" si="0"/>
        <v>2.300318248139139E-3</v>
      </c>
      <c r="F67" s="8" t="str">
        <v>Guatemala</v>
      </c>
      <c r="G67" s="70">
        <f t="shared" si="1"/>
        <v>2.300318248139139E-3</v>
      </c>
    </row>
    <row r="68" spans="1:7" x14ac:dyDescent="0.2">
      <c r="A68" s="12" t="s">
        <v>332</v>
      </c>
      <c r="B68" s="13">
        <v>540471.80000000005</v>
      </c>
      <c r="C68" s="13">
        <v>248471.56</v>
      </c>
      <c r="D68" s="70">
        <f t="shared" si="0"/>
        <v>6.0516875061975939E-5</v>
      </c>
      <c r="F68" s="8" t="str">
        <v>Guyana</v>
      </c>
      <c r="G68" s="70">
        <f t="shared" si="1"/>
        <v>6.0516875061975939E-5</v>
      </c>
    </row>
    <row r="69" spans="1:7" x14ac:dyDescent="0.2">
      <c r="A69" s="12" t="s">
        <v>333</v>
      </c>
      <c r="B69" s="13">
        <v>1685150.51</v>
      </c>
      <c r="C69" s="13">
        <v>6398848.2999999998</v>
      </c>
      <c r="D69" s="70">
        <f t="shared" si="0"/>
        <v>1.8868707465272938E-4</v>
      </c>
      <c r="F69" s="8" t="str">
        <v>Haití</v>
      </c>
      <c r="G69" s="70">
        <f t="shared" si="1"/>
        <v>1.8868707465272938E-4</v>
      </c>
    </row>
    <row r="70" spans="1:7" x14ac:dyDescent="0.2">
      <c r="A70" s="12" t="s">
        <v>334</v>
      </c>
      <c r="B70" s="13">
        <v>737307.56</v>
      </c>
      <c r="C70" s="13">
        <v>453742.22</v>
      </c>
      <c r="D70" s="70">
        <f t="shared" si="0"/>
        <v>8.2556665289049911E-5</v>
      </c>
      <c r="F70" s="8" t="str">
        <v>Honduras</v>
      </c>
      <c r="G70" s="70">
        <f t="shared" si="1"/>
        <v>8.2556665289049911E-5</v>
      </c>
    </row>
    <row r="71" spans="1:7" x14ac:dyDescent="0.2">
      <c r="A71" s="12" t="s">
        <v>345</v>
      </c>
      <c r="B71" s="13">
        <v>6311172.21</v>
      </c>
      <c r="C71" s="13">
        <v>9319792.3200000003</v>
      </c>
      <c r="D71" s="70">
        <f t="shared" si="0"/>
        <v>7.066648438034779E-4</v>
      </c>
      <c r="F71" s="8" t="str">
        <v>Jamaica</v>
      </c>
      <c r="G71" s="70">
        <f t="shared" si="1"/>
        <v>7.066648438034779E-4</v>
      </c>
    </row>
    <row r="72" spans="1:7" x14ac:dyDescent="0.2">
      <c r="A72" s="12" t="s">
        <v>368</v>
      </c>
      <c r="B72" s="13">
        <v>160402538.38</v>
      </c>
      <c r="C72" s="13">
        <v>42346700.210000001</v>
      </c>
      <c r="D72" s="70">
        <f t="shared" si="0"/>
        <v>1.7960345710481582E-2</v>
      </c>
      <c r="F72" s="8" t="str">
        <v>México</v>
      </c>
      <c r="G72" s="70">
        <f t="shared" si="1"/>
        <v>1.7960345710481582E-2</v>
      </c>
    </row>
    <row r="73" spans="1:7" x14ac:dyDescent="0.2">
      <c r="A73" s="12" t="s">
        <v>380</v>
      </c>
      <c r="B73" s="13">
        <v>2970484.22</v>
      </c>
      <c r="C73" s="13">
        <v>2598351.15</v>
      </c>
      <c r="D73" s="70">
        <f t="shared" si="0"/>
        <v>3.3260647903426423E-4</v>
      </c>
      <c r="F73" s="8" t="str">
        <v>Nicaragua</v>
      </c>
      <c r="G73" s="70">
        <f t="shared" si="1"/>
        <v>3.3260647903426423E-4</v>
      </c>
    </row>
    <row r="74" spans="1:7" x14ac:dyDescent="0.2">
      <c r="A74" s="12" t="s">
        <v>387</v>
      </c>
      <c r="B74" s="13">
        <v>3580359.67</v>
      </c>
      <c r="C74" s="13">
        <v>5546724.4500000002</v>
      </c>
      <c r="D74" s="70">
        <f t="shared" si="0"/>
        <v>4.0089451258387097E-4</v>
      </c>
      <c r="F74" s="8" t="str">
        <v>Panamá</v>
      </c>
      <c r="G74" s="70">
        <f t="shared" si="1"/>
        <v>4.0089451258387097E-4</v>
      </c>
    </row>
    <row r="75" spans="1:7" x14ac:dyDescent="0.2">
      <c r="A75" s="12" t="s">
        <v>389</v>
      </c>
      <c r="B75" s="13">
        <v>78792522.390000001</v>
      </c>
      <c r="C75" s="13">
        <v>101563872.52</v>
      </c>
      <c r="D75" s="70">
        <f t="shared" ref="D75:D138" si="2">+B75/$B$8</f>
        <v>8.822434830630518E-3</v>
      </c>
      <c r="F75" s="8" t="str">
        <v>Paraguay</v>
      </c>
      <c r="G75" s="70">
        <f t="shared" ref="G75:G138" si="3">+SUMIF(A75:A220,F75,D75:D220)</f>
        <v>8.822434830630518E-3</v>
      </c>
    </row>
    <row r="76" spans="1:7" x14ac:dyDescent="0.2">
      <c r="A76" s="12" t="s">
        <v>390</v>
      </c>
      <c r="B76" s="13">
        <v>206245977.18000001</v>
      </c>
      <c r="C76" s="13">
        <v>669359312.75</v>
      </c>
      <c r="D76" s="70">
        <f t="shared" si="2"/>
        <v>2.3093456555989045E-2</v>
      </c>
      <c r="F76" s="8" t="str">
        <v>Perú</v>
      </c>
      <c r="G76" s="70">
        <f t="shared" si="3"/>
        <v>2.3093456555989045E-2</v>
      </c>
    </row>
    <row r="77" spans="1:7" x14ac:dyDescent="0.2">
      <c r="A77" s="12" t="s">
        <v>394</v>
      </c>
      <c r="B77" s="13">
        <v>2810929.76</v>
      </c>
      <c r="C77" s="13">
        <v>10629781.59</v>
      </c>
      <c r="D77" s="70">
        <f t="shared" si="2"/>
        <v>3.1474109304853643E-4</v>
      </c>
      <c r="F77" s="8" t="str">
        <v>Puerto Rico(Estado Asociado)</v>
      </c>
      <c r="G77" s="70">
        <f t="shared" si="3"/>
        <v>3.1474109304853643E-4</v>
      </c>
    </row>
    <row r="78" spans="1:7" x14ac:dyDescent="0.2">
      <c r="A78" s="12" t="s">
        <v>425</v>
      </c>
      <c r="B78" s="13">
        <v>3158239.82</v>
      </c>
      <c r="C78" s="13">
        <v>1882364.45</v>
      </c>
      <c r="D78" s="70">
        <f t="shared" si="2"/>
        <v>3.5362955958608266E-4</v>
      </c>
      <c r="F78" s="8" t="str">
        <v>Trinidad y Tobago</v>
      </c>
      <c r="G78" s="70">
        <f t="shared" si="3"/>
        <v>3.5362955958608266E-4</v>
      </c>
    </row>
    <row r="79" spans="1:7" x14ac:dyDescent="0.2">
      <c r="A79" s="12" t="s">
        <v>433</v>
      </c>
      <c r="B79" s="13">
        <v>91839112.370000005</v>
      </c>
      <c r="C79" s="13">
        <v>199238129.08000001</v>
      </c>
      <c r="D79" s="70">
        <f t="shared" si="2"/>
        <v>1.0283267487957852E-2</v>
      </c>
      <c r="F79" s="8" t="str">
        <v>Uruguay</v>
      </c>
      <c r="G79" s="70">
        <f t="shared" si="3"/>
        <v>1.0283267487957852E-2</v>
      </c>
    </row>
    <row r="80" spans="1:7" x14ac:dyDescent="0.2">
      <c r="A80" s="12" t="s">
        <v>435</v>
      </c>
      <c r="B80" s="13">
        <v>142289259.31999999</v>
      </c>
      <c r="C80" s="13">
        <v>123907346.18000001</v>
      </c>
      <c r="D80" s="70">
        <f t="shared" si="2"/>
        <v>1.5932193555574101E-2</v>
      </c>
      <c r="F80" s="8" t="str">
        <v>Venezuela</v>
      </c>
      <c r="G80" s="70">
        <f t="shared" si="3"/>
        <v>1.5932193555574101E-2</v>
      </c>
    </row>
    <row r="81" spans="1:7" x14ac:dyDescent="0.2">
      <c r="A81" s="12" t="s">
        <v>479</v>
      </c>
      <c r="B81" s="13">
        <v>36289.760000000002</v>
      </c>
      <c r="C81" s="13">
        <v>3259.49</v>
      </c>
      <c r="D81" s="70">
        <f t="shared" si="2"/>
        <v>4.0633810532743647E-6</v>
      </c>
      <c r="F81" s="8" t="str">
        <v>Territ. vinc. al Reino Unido</v>
      </c>
      <c r="G81" s="70">
        <f t="shared" si="3"/>
        <v>4.0633810532743647E-6</v>
      </c>
    </row>
    <row r="82" spans="1:7" x14ac:dyDescent="0.2">
      <c r="A82" s="12" t="s">
        <v>417</v>
      </c>
      <c r="B82" s="13">
        <v>27113</v>
      </c>
      <c r="C82" s="13">
        <v>20634.32</v>
      </c>
      <c r="D82" s="70">
        <f t="shared" si="2"/>
        <v>3.0358550317617931E-6</v>
      </c>
      <c r="F82" s="8" t="str">
        <v>Suriname</v>
      </c>
      <c r="G82" s="70">
        <f t="shared" si="3"/>
        <v>3.0358550317617931E-6</v>
      </c>
    </row>
    <row r="83" spans="1:7" x14ac:dyDescent="0.2">
      <c r="A83" s="12" t="s">
        <v>310</v>
      </c>
      <c r="B83" s="13">
        <v>134577.07</v>
      </c>
      <c r="C83" s="13">
        <v>27170.35</v>
      </c>
      <c r="D83" s="70">
        <f t="shared" si="2"/>
        <v>1.5068656184090993E-5</v>
      </c>
      <c r="F83" s="8" t="str">
        <v>Dominica</v>
      </c>
      <c r="G83" s="70">
        <f t="shared" si="3"/>
        <v>1.5068656184090993E-5</v>
      </c>
    </row>
    <row r="84" spans="1:7" x14ac:dyDescent="0.2">
      <c r="A84" s="12" t="s">
        <v>468</v>
      </c>
      <c r="B84" s="13">
        <v>228986.37</v>
      </c>
      <c r="C84" s="13">
        <v>125341.85</v>
      </c>
      <c r="D84" s="70">
        <f t="shared" si="2"/>
        <v>2.5639708758505797E-5</v>
      </c>
      <c r="F84" s="8" t="str">
        <v>Santa Lucía</v>
      </c>
      <c r="G84" s="70">
        <f t="shared" si="3"/>
        <v>2.5639708758505797E-5</v>
      </c>
    </row>
    <row r="85" spans="1:7" x14ac:dyDescent="0.2">
      <c r="A85" s="12" t="s">
        <v>415</v>
      </c>
      <c r="B85" s="13">
        <v>128187.8</v>
      </c>
      <c r="C85" s="13">
        <v>44941.78</v>
      </c>
      <c r="D85" s="70">
        <f t="shared" si="2"/>
        <v>1.4353246694960881E-5</v>
      </c>
      <c r="F85" s="8" t="str">
        <v>San Vicente y las Granadinas</v>
      </c>
      <c r="G85" s="70">
        <f t="shared" si="3"/>
        <v>1.4353246694960881E-5</v>
      </c>
    </row>
    <row r="86" spans="1:7" x14ac:dyDescent="0.2">
      <c r="A86" s="12" t="s">
        <v>280</v>
      </c>
      <c r="B86" s="13">
        <v>9606.91</v>
      </c>
      <c r="C86" s="13">
        <v>241.39</v>
      </c>
      <c r="D86" s="70">
        <f t="shared" si="2"/>
        <v>1.0756901140848556E-6</v>
      </c>
      <c r="F86" s="8" t="str">
        <v>Belice</v>
      </c>
      <c r="G86" s="70">
        <f t="shared" si="3"/>
        <v>1.0756901140848556E-6</v>
      </c>
    </row>
    <row r="87" spans="1:7" x14ac:dyDescent="0.2">
      <c r="A87" s="12" t="s">
        <v>268</v>
      </c>
      <c r="B87" s="13">
        <v>18217.400000000001</v>
      </c>
      <c r="C87" s="13">
        <v>24750</v>
      </c>
      <c r="D87" s="70">
        <f t="shared" si="2"/>
        <v>2.0398106242620622E-6</v>
      </c>
      <c r="F87" s="8" t="str">
        <v>Antigua y Barbuda</v>
      </c>
      <c r="G87" s="70">
        <f t="shared" si="3"/>
        <v>2.0398106242620622E-6</v>
      </c>
    </row>
    <row r="88" spans="1:7" x14ac:dyDescent="0.2">
      <c r="A88" s="12" t="s">
        <v>472</v>
      </c>
      <c r="B88" s="13">
        <v>175245.14</v>
      </c>
      <c r="C88" s="13">
        <v>62691.08</v>
      </c>
      <c r="D88" s="70">
        <f t="shared" si="2"/>
        <v>1.962227861397853E-5</v>
      </c>
      <c r="F88" s="8" t="str">
        <v>San Cristóbal y Nevis</v>
      </c>
      <c r="G88" s="70">
        <f t="shared" si="3"/>
        <v>1.962227861397853E-5</v>
      </c>
    </row>
    <row r="89" spans="1:7" x14ac:dyDescent="0.2">
      <c r="A89" s="12" t="s">
        <v>327</v>
      </c>
      <c r="B89" s="13">
        <v>223156.25</v>
      </c>
      <c r="C89" s="13">
        <v>85686.399999999994</v>
      </c>
      <c r="D89" s="70">
        <f t="shared" si="2"/>
        <v>2.4986907551049039E-5</v>
      </c>
      <c r="F89" s="8" t="str">
        <v>Grenada</v>
      </c>
      <c r="G89" s="70">
        <f t="shared" si="3"/>
        <v>2.4986907551049039E-5</v>
      </c>
    </row>
    <row r="90" spans="1:7" x14ac:dyDescent="0.2">
      <c r="A90" s="12" t="s">
        <v>377</v>
      </c>
      <c r="B90" s="13">
        <v>39887847.07</v>
      </c>
      <c r="C90" s="13">
        <v>57938169.390000001</v>
      </c>
      <c r="D90" s="70">
        <f t="shared" si="2"/>
        <v>4.4662605109580056E-3</v>
      </c>
      <c r="F90" s="8" t="str">
        <v>Antillas Holandesas</v>
      </c>
      <c r="G90" s="70">
        <f t="shared" si="3"/>
        <v>4.4662605109580056E-3</v>
      </c>
    </row>
    <row r="91" spans="1:7" x14ac:dyDescent="0.2">
      <c r="A91" s="12" t="s">
        <v>270</v>
      </c>
      <c r="B91" s="13">
        <v>1650709.75</v>
      </c>
      <c r="C91" s="13">
        <v>507142.74</v>
      </c>
      <c r="D91" s="70">
        <f t="shared" si="2"/>
        <v>1.8483072697657034E-4</v>
      </c>
      <c r="F91" s="8" t="str">
        <v>Aruba</v>
      </c>
      <c r="G91" s="70">
        <f t="shared" si="3"/>
        <v>1.8483072697657034E-4</v>
      </c>
    </row>
    <row r="92" spans="1:7" x14ac:dyDescent="0.2">
      <c r="A92" s="12" t="s">
        <v>446</v>
      </c>
      <c r="B92" s="13">
        <v>187674.84</v>
      </c>
      <c r="C92" s="13">
        <v>43633.72</v>
      </c>
      <c r="D92" s="70">
        <f t="shared" si="2"/>
        <v>2.1014037817618465E-5</v>
      </c>
      <c r="F92" s="8" t="str">
        <v>Punta Arenas (Chile)</v>
      </c>
      <c r="G92" s="70">
        <f t="shared" si="3"/>
        <v>2.1014037817618465E-5</v>
      </c>
    </row>
    <row r="93" spans="1:7" x14ac:dyDescent="0.2">
      <c r="A93" s="12" t="s">
        <v>480</v>
      </c>
      <c r="B93" s="13">
        <v>11971.89</v>
      </c>
      <c r="C93" s="13">
        <v>1450.15</v>
      </c>
      <c r="D93" s="70">
        <f t="shared" si="2"/>
        <v>1.3404980081952825E-6</v>
      </c>
      <c r="F93" s="8" t="str">
        <v>Zonamérica (ex Montevideo)</v>
      </c>
      <c r="G93" s="70">
        <f t="shared" si="3"/>
        <v>1.3404980081952825E-6</v>
      </c>
    </row>
    <row r="94" spans="1:7" x14ac:dyDescent="0.2">
      <c r="A94" s="12" t="s">
        <v>1</v>
      </c>
      <c r="B94" s="13" t="s">
        <v>466</v>
      </c>
      <c r="C94" s="13" t="s">
        <v>466</v>
      </c>
      <c r="D94" s="70" t="e">
        <f t="shared" si="2"/>
        <v>#VALUE!</v>
      </c>
      <c r="F94" s="8" t="str">
        <v xml:space="preserve">   ASIA</v>
      </c>
      <c r="G94" s="70">
        <f t="shared" si="3"/>
        <v>0.30084927960905194</v>
      </c>
    </row>
    <row r="95" spans="1:7" x14ac:dyDescent="0.2">
      <c r="A95" s="12" t="s">
        <v>4</v>
      </c>
      <c r="B95" s="13">
        <v>2686862986.77</v>
      </c>
      <c r="C95" s="13">
        <v>8871088389.9300003</v>
      </c>
      <c r="D95" s="70">
        <f t="shared" si="2"/>
        <v>0.30084927960905194</v>
      </c>
      <c r="F95" s="8" t="str">
        <v>Arabia Saudita</v>
      </c>
      <c r="G95" s="70">
        <f t="shared" si="3"/>
        <v>2.588548863929359E-3</v>
      </c>
    </row>
    <row r="96" spans="1:7" x14ac:dyDescent="0.2">
      <c r="A96" s="12" t="s">
        <v>400</v>
      </c>
      <c r="B96" s="13">
        <v>23118141.219999999</v>
      </c>
      <c r="C96" s="13">
        <v>138247022.66</v>
      </c>
      <c r="D96" s="70">
        <f t="shared" si="2"/>
        <v>2.588548863929359E-3</v>
      </c>
      <c r="F96" s="8" t="str">
        <v>Bahrein</v>
      </c>
      <c r="G96" s="70">
        <f t="shared" si="3"/>
        <v>3.0936972908840835E-5</v>
      </c>
    </row>
    <row r="97" spans="1:7" x14ac:dyDescent="0.2">
      <c r="A97" s="12" t="s">
        <v>275</v>
      </c>
      <c r="B97" s="13">
        <v>276295.84999999998</v>
      </c>
      <c r="C97" s="13">
        <v>1514613.76</v>
      </c>
      <c r="D97" s="70">
        <f t="shared" si="2"/>
        <v>3.0936972908840835E-5</v>
      </c>
      <c r="F97" s="8" t="str">
        <v>Myanmar (ex Birmania) Unión de</v>
      </c>
      <c r="G97" s="70">
        <f t="shared" si="3"/>
        <v>3.3100975566757556E-6</v>
      </c>
    </row>
    <row r="98" spans="1:7" x14ac:dyDescent="0.2">
      <c r="A98" s="12" t="s">
        <v>374</v>
      </c>
      <c r="B98" s="13">
        <v>29562.240000000002</v>
      </c>
      <c r="C98" s="13">
        <v>4734.79</v>
      </c>
      <c r="D98" s="70">
        <f t="shared" si="2"/>
        <v>3.3100975566757556E-6</v>
      </c>
      <c r="F98" s="8" t="str">
        <v>Camboya (ex Kampuchea)</v>
      </c>
      <c r="G98" s="70">
        <f t="shared" si="3"/>
        <v>1.511422356976837E-4</v>
      </c>
    </row>
    <row r="99" spans="1:7" x14ac:dyDescent="0.2">
      <c r="A99" s="12" t="s">
        <v>291</v>
      </c>
      <c r="B99" s="13">
        <v>1349840.29</v>
      </c>
      <c r="C99" s="13">
        <v>79699</v>
      </c>
      <c r="D99" s="70">
        <f t="shared" si="2"/>
        <v>1.511422356976837E-4</v>
      </c>
      <c r="F99" s="8" t="str">
        <v>Sri Lanka</v>
      </c>
      <c r="G99" s="70">
        <f t="shared" si="3"/>
        <v>1.6560287325905414E-4</v>
      </c>
    </row>
    <row r="100" spans="1:7" x14ac:dyDescent="0.2">
      <c r="A100" s="12" t="s">
        <v>412</v>
      </c>
      <c r="B100" s="13">
        <v>1478987.19</v>
      </c>
      <c r="C100" s="13">
        <v>1126734</v>
      </c>
      <c r="D100" s="70">
        <f t="shared" si="2"/>
        <v>1.6560287325905414E-4</v>
      </c>
      <c r="F100" s="8" t="str">
        <v>Corea Republicana</v>
      </c>
      <c r="G100" s="70">
        <f t="shared" si="3"/>
        <v>2.0054532383737396E-2</v>
      </c>
    </row>
    <row r="101" spans="1:7" x14ac:dyDescent="0.2">
      <c r="A101" s="12" t="s">
        <v>350</v>
      </c>
      <c r="B101" s="13">
        <v>179105566.91</v>
      </c>
      <c r="C101" s="13">
        <v>578042026.41999996</v>
      </c>
      <c r="D101" s="70">
        <f t="shared" si="2"/>
        <v>2.0054532383737396E-2</v>
      </c>
      <c r="F101" s="8" t="str">
        <v>China</v>
      </c>
      <c r="G101" s="70">
        <f t="shared" si="3"/>
        <v>0.10228634950139119</v>
      </c>
    </row>
    <row r="102" spans="1:7" x14ac:dyDescent="0.2">
      <c r="A102" s="12" t="s">
        <v>297</v>
      </c>
      <c r="B102" s="13">
        <v>913511931.57000005</v>
      </c>
      <c r="C102" s="13">
        <v>2576868990.96</v>
      </c>
      <c r="D102" s="70">
        <f t="shared" si="2"/>
        <v>0.10228634950139119</v>
      </c>
      <c r="F102" s="8" t="str">
        <v>Filipinas</v>
      </c>
      <c r="G102" s="70">
        <f t="shared" si="3"/>
        <v>1.8535255398775197E-2</v>
      </c>
    </row>
    <row r="103" spans="1:7" x14ac:dyDescent="0.2">
      <c r="A103" s="12" t="s">
        <v>391</v>
      </c>
      <c r="B103" s="13">
        <v>165537014.90000001</v>
      </c>
      <c r="C103" s="13">
        <v>883950676.97000003</v>
      </c>
      <c r="D103" s="70">
        <f t="shared" si="2"/>
        <v>1.8535255398775197E-2</v>
      </c>
      <c r="F103" s="8" t="str">
        <v>Taiwan</v>
      </c>
      <c r="G103" s="70">
        <f t="shared" si="3"/>
        <v>1.3497207046747493E-3</v>
      </c>
    </row>
    <row r="104" spans="1:7" x14ac:dyDescent="0.2">
      <c r="A104" s="12" t="s">
        <v>421</v>
      </c>
      <c r="B104" s="13">
        <v>12054257.23</v>
      </c>
      <c r="C104" s="13">
        <v>11281881.300000001</v>
      </c>
      <c r="D104" s="70">
        <f t="shared" si="2"/>
        <v>1.3497207046747493E-3</v>
      </c>
      <c r="F104" s="8" t="str">
        <v>India</v>
      </c>
      <c r="G104" s="70">
        <f t="shared" si="3"/>
        <v>5.5031312721586359E-2</v>
      </c>
    </row>
    <row r="105" spans="1:7" x14ac:dyDescent="0.2">
      <c r="A105" s="12" t="s">
        <v>338</v>
      </c>
      <c r="B105" s="13">
        <v>491480642.58999997</v>
      </c>
      <c r="C105" s="13">
        <v>1005544564</v>
      </c>
      <c r="D105" s="70">
        <f t="shared" si="2"/>
        <v>5.5031312721586359E-2</v>
      </c>
      <c r="F105" s="8" t="str">
        <v>Indonesia</v>
      </c>
      <c r="G105" s="70">
        <f t="shared" si="3"/>
        <v>1.3586507482226324E-2</v>
      </c>
    </row>
    <row r="106" spans="1:7" x14ac:dyDescent="0.2">
      <c r="A106" s="12" t="s">
        <v>339</v>
      </c>
      <c r="B106" s="13">
        <v>121340107.98</v>
      </c>
      <c r="C106" s="13">
        <v>670608615.29999995</v>
      </c>
      <c r="D106" s="70">
        <f t="shared" si="2"/>
        <v>1.3586507482226324E-2</v>
      </c>
      <c r="F106" s="8" t="str">
        <v>Iraq</v>
      </c>
      <c r="G106" s="70">
        <f t="shared" si="3"/>
        <v>3.2720412501043451E-4</v>
      </c>
    </row>
    <row r="107" spans="1:7" x14ac:dyDescent="0.2">
      <c r="A107" s="12" t="s">
        <v>341</v>
      </c>
      <c r="B107" s="13">
        <v>2922236.19</v>
      </c>
      <c r="C107" s="13">
        <v>15103958.380000001</v>
      </c>
      <c r="D107" s="70">
        <f t="shared" si="2"/>
        <v>3.2720412501043451E-4</v>
      </c>
      <c r="F107" s="8" t="str">
        <v>Irán</v>
      </c>
      <c r="G107" s="70">
        <f t="shared" si="3"/>
        <v>1.5885136926972813E-7</v>
      </c>
    </row>
    <row r="108" spans="1:7" x14ac:dyDescent="0.2">
      <c r="A108" s="12" t="s">
        <v>340</v>
      </c>
      <c r="B108" s="13">
        <v>1418.69</v>
      </c>
      <c r="C108" s="13">
        <v>4898.3100000000004</v>
      </c>
      <c r="D108" s="70">
        <f t="shared" si="2"/>
        <v>1.5885136926972813E-7</v>
      </c>
      <c r="F108" s="8" t="str">
        <v>Israel</v>
      </c>
      <c r="G108" s="70">
        <f t="shared" si="3"/>
        <v>2.1597625639666871E-3</v>
      </c>
    </row>
    <row r="109" spans="1:7" x14ac:dyDescent="0.2">
      <c r="A109" s="12" t="s">
        <v>343</v>
      </c>
      <c r="B109" s="13">
        <v>19288682.030000001</v>
      </c>
      <c r="C109" s="13">
        <v>10300448.25</v>
      </c>
      <c r="D109" s="70">
        <f t="shared" si="2"/>
        <v>2.1597625639666871E-3</v>
      </c>
      <c r="F109" s="8" t="str">
        <v>Japón</v>
      </c>
      <c r="G109" s="70">
        <f t="shared" si="3"/>
        <v>5.5079345966600954E-3</v>
      </c>
    </row>
    <row r="110" spans="1:7" x14ac:dyDescent="0.2">
      <c r="A110" s="12" t="s">
        <v>346</v>
      </c>
      <c r="B110" s="13">
        <v>49190962.399999999</v>
      </c>
      <c r="C110" s="13">
        <v>131559322.54000001</v>
      </c>
      <c r="D110" s="70">
        <f t="shared" si="2"/>
        <v>5.5079345966600954E-3</v>
      </c>
      <c r="F110" s="8" t="str">
        <v>Jordania</v>
      </c>
      <c r="G110" s="70">
        <f t="shared" si="3"/>
        <v>2.0114440037613934E-3</v>
      </c>
    </row>
    <row r="111" spans="1:7" x14ac:dyDescent="0.2">
      <c r="A111" s="12" t="s">
        <v>347</v>
      </c>
      <c r="B111" s="13">
        <v>17964059.780000001</v>
      </c>
      <c r="C111" s="13">
        <v>62675736.049999997</v>
      </c>
      <c r="D111" s="70">
        <f t="shared" si="2"/>
        <v>2.0114440037613934E-3</v>
      </c>
      <c r="F111" s="8" t="str">
        <v>Qatar</v>
      </c>
      <c r="G111" s="70">
        <f t="shared" si="3"/>
        <v>1.5467311324462157E-5</v>
      </c>
    </row>
    <row r="112" spans="1:7" x14ac:dyDescent="0.2">
      <c r="A112" s="12" t="s">
        <v>395</v>
      </c>
      <c r="B112" s="13">
        <v>138137.43</v>
      </c>
      <c r="C112" s="13">
        <v>70474.2</v>
      </c>
      <c r="D112" s="70">
        <f t="shared" si="2"/>
        <v>1.5467311324462157E-5</v>
      </c>
      <c r="F112" s="8" t="str">
        <v>Kuwait</v>
      </c>
      <c r="G112" s="70">
        <f t="shared" si="3"/>
        <v>3.0214801523743178E-4</v>
      </c>
    </row>
    <row r="113" spans="1:7" x14ac:dyDescent="0.2">
      <c r="A113" s="12" t="s">
        <v>351</v>
      </c>
      <c r="B113" s="13">
        <v>2698461.9</v>
      </c>
      <c r="C113" s="13">
        <v>18421511.219999999</v>
      </c>
      <c r="D113" s="70">
        <f t="shared" si="2"/>
        <v>3.0214801523743178E-4</v>
      </c>
      <c r="F113" s="8" t="str">
        <v>Líbano</v>
      </c>
      <c r="G113" s="70">
        <f t="shared" si="3"/>
        <v>1.3012947926998827E-3</v>
      </c>
    </row>
    <row r="114" spans="1:7" x14ac:dyDescent="0.2">
      <c r="A114" s="12" t="s">
        <v>353</v>
      </c>
      <c r="B114" s="13">
        <v>11621768.939999999</v>
      </c>
      <c r="C114" s="13">
        <v>24224756.050000001</v>
      </c>
      <c r="D114" s="70">
        <f t="shared" si="2"/>
        <v>1.3012947926998827E-3</v>
      </c>
      <c r="F114" s="8" t="str">
        <v>Malasia</v>
      </c>
      <c r="G114" s="70">
        <f t="shared" si="3"/>
        <v>2.3233733868166087E-2</v>
      </c>
    </row>
    <row r="115" spans="1:7" x14ac:dyDescent="0.2">
      <c r="A115" s="12" t="s">
        <v>362</v>
      </c>
      <c r="B115" s="13">
        <v>207498783.63</v>
      </c>
      <c r="C115" s="13">
        <v>1030857384.6</v>
      </c>
      <c r="D115" s="70">
        <f t="shared" si="2"/>
        <v>2.3233733868166087E-2</v>
      </c>
      <c r="F115" s="8" t="str">
        <v>Omán</v>
      </c>
      <c r="G115" s="70">
        <f t="shared" si="3"/>
        <v>8.0698085569527581E-4</v>
      </c>
    </row>
    <row r="116" spans="1:7" x14ac:dyDescent="0.2">
      <c r="A116" s="12" t="s">
        <v>385</v>
      </c>
      <c r="B116" s="13">
        <v>7207087.2000000002</v>
      </c>
      <c r="C116" s="13">
        <v>20415964.780000001</v>
      </c>
      <c r="D116" s="70">
        <f t="shared" si="2"/>
        <v>8.0698085569527581E-4</v>
      </c>
      <c r="F116" s="8" t="str">
        <v>Mongolia</v>
      </c>
      <c r="G116" s="70">
        <f t="shared" si="3"/>
        <v>1.2354668072207171E-5</v>
      </c>
    </row>
    <row r="117" spans="1:7" x14ac:dyDescent="0.2">
      <c r="A117" s="12" t="s">
        <v>370</v>
      </c>
      <c r="B117" s="13">
        <v>110338.64</v>
      </c>
      <c r="C117" s="13">
        <v>145452</v>
      </c>
      <c r="D117" s="70">
        <f t="shared" si="2"/>
        <v>1.2354668072207171E-5</v>
      </c>
      <c r="F117" s="8" t="str">
        <v>Emiratos Arabes Unidos</v>
      </c>
      <c r="G117" s="70">
        <f t="shared" si="3"/>
        <v>3.2557353203577209E-3</v>
      </c>
    </row>
    <row r="118" spans="1:7" x14ac:dyDescent="0.2">
      <c r="A118" s="12" t="s">
        <v>430</v>
      </c>
      <c r="B118" s="13">
        <v>29076734.829999998</v>
      </c>
      <c r="C118" s="13">
        <v>64339750.829999998</v>
      </c>
      <c r="D118" s="70">
        <f t="shared" si="2"/>
        <v>3.2557353203577209E-3</v>
      </c>
      <c r="F118" s="8" t="str">
        <v>Paquistán</v>
      </c>
      <c r="G118" s="70">
        <f t="shared" si="3"/>
        <v>7.7362122837019672E-5</v>
      </c>
    </row>
    <row r="119" spans="1:7" x14ac:dyDescent="0.2">
      <c r="A119" s="12" t="s">
        <v>386</v>
      </c>
      <c r="B119" s="13">
        <v>690915.48</v>
      </c>
      <c r="C119" s="13">
        <v>1304041.67</v>
      </c>
      <c r="D119" s="70">
        <f t="shared" si="2"/>
        <v>7.7362122837019672E-5</v>
      </c>
      <c r="F119" s="8" t="str">
        <v>Singapur</v>
      </c>
      <c r="G119" s="70">
        <f t="shared" si="3"/>
        <v>2.6142677481185263E-4</v>
      </c>
    </row>
    <row r="120" spans="1:7" x14ac:dyDescent="0.2">
      <c r="A120" s="12" t="s">
        <v>405</v>
      </c>
      <c r="B120" s="13">
        <v>2334783.4700000002</v>
      </c>
      <c r="C120" s="13">
        <v>1570297.87</v>
      </c>
      <c r="D120" s="70">
        <f t="shared" si="2"/>
        <v>2.6142677481185263E-4</v>
      </c>
      <c r="F120" s="8" t="str">
        <v>Siria</v>
      </c>
      <c r="G120" s="70">
        <f t="shared" si="3"/>
        <v>6.9101605087242028E-3</v>
      </c>
    </row>
    <row r="121" spans="1:7" x14ac:dyDescent="0.2">
      <c r="A121" s="12" t="s">
        <v>420</v>
      </c>
      <c r="B121" s="13">
        <v>61714139.810000002</v>
      </c>
      <c r="C121" s="13">
        <v>339762898.95999998</v>
      </c>
      <c r="D121" s="70">
        <f t="shared" si="2"/>
        <v>6.9101605087242028E-3</v>
      </c>
      <c r="F121" s="8" t="str">
        <v>Tailandia</v>
      </c>
      <c r="G121" s="70">
        <f t="shared" si="3"/>
        <v>1.70968921992731E-2</v>
      </c>
    </row>
    <row r="122" spans="1:7" x14ac:dyDescent="0.2">
      <c r="A122" s="12" t="s">
        <v>423</v>
      </c>
      <c r="B122" s="13">
        <v>152691098.00999999</v>
      </c>
      <c r="C122" s="13">
        <v>577668901.16999996</v>
      </c>
      <c r="D122" s="70">
        <f t="shared" si="2"/>
        <v>1.70968921992731E-2</v>
      </c>
      <c r="F122" s="8" t="str">
        <v>Vietnam</v>
      </c>
      <c r="G122" s="70">
        <f t="shared" si="3"/>
        <v>1.0758451471495319E-2</v>
      </c>
    </row>
    <row r="123" spans="1:7" x14ac:dyDescent="0.2">
      <c r="A123" s="12" t="s">
        <v>436</v>
      </c>
      <c r="B123" s="13">
        <v>96082945.890000001</v>
      </c>
      <c r="C123" s="13">
        <v>419599744.81</v>
      </c>
      <c r="D123" s="70">
        <f t="shared" si="2"/>
        <v>1.0758451471495319E-2</v>
      </c>
      <c r="F123" s="8" t="str">
        <v>Hong Kong (China)</v>
      </c>
      <c r="G123" s="70">
        <f t="shared" si="3"/>
        <v>2.0997744201263122E-3</v>
      </c>
    </row>
    <row r="124" spans="1:7" x14ac:dyDescent="0.2">
      <c r="A124" s="12" t="s">
        <v>481</v>
      </c>
      <c r="B124" s="13">
        <v>18752932.289999999</v>
      </c>
      <c r="C124" s="13">
        <v>9039811.7899999991</v>
      </c>
      <c r="D124" s="70">
        <f t="shared" si="2"/>
        <v>2.0997744201263122E-3</v>
      </c>
      <c r="F124" s="8" t="str">
        <v>Bangladesh</v>
      </c>
      <c r="G124" s="70">
        <f t="shared" si="3"/>
        <v>9.2449359466118004E-3</v>
      </c>
    </row>
    <row r="125" spans="1:7" x14ac:dyDescent="0.2">
      <c r="A125" s="12" t="s">
        <v>276</v>
      </c>
      <c r="B125" s="13">
        <v>82565849.060000002</v>
      </c>
      <c r="C125" s="13">
        <v>189431495.90000001</v>
      </c>
      <c r="D125" s="70">
        <f t="shared" si="2"/>
        <v>9.2449359466118004E-3</v>
      </c>
      <c r="F125" s="8" t="str">
        <v>República de Yemen</v>
      </c>
      <c r="G125" s="70">
        <f t="shared" si="3"/>
        <v>1.3970938614444731E-3</v>
      </c>
    </row>
    <row r="126" spans="1:7" x14ac:dyDescent="0.2">
      <c r="A126" s="12" t="s">
        <v>437</v>
      </c>
      <c r="B126" s="13">
        <v>12477343.439999999</v>
      </c>
      <c r="C126" s="13">
        <v>82213534.159999996</v>
      </c>
      <c r="D126" s="70">
        <f t="shared" si="2"/>
        <v>1.3970938614444731E-3</v>
      </c>
      <c r="F126" s="8" t="str">
        <v>Armenia</v>
      </c>
      <c r="G126" s="70">
        <f t="shared" si="3"/>
        <v>4.5227107455066699E-6</v>
      </c>
    </row>
    <row r="127" spans="1:7" x14ac:dyDescent="0.2">
      <c r="A127" s="12" t="s">
        <v>269</v>
      </c>
      <c r="B127" s="13">
        <v>40392</v>
      </c>
      <c r="C127" s="13">
        <v>2261</v>
      </c>
      <c r="D127" s="70">
        <f t="shared" si="2"/>
        <v>4.5227107455066699E-6</v>
      </c>
      <c r="F127" s="8" t="str">
        <v>Azerbaidzhan</v>
      </c>
      <c r="G127" s="70">
        <f t="shared" si="3"/>
        <v>1.1756898105520903E-5</v>
      </c>
    </row>
    <row r="128" spans="1:7" x14ac:dyDescent="0.2">
      <c r="A128" s="12" t="s">
        <v>482</v>
      </c>
      <c r="B128" s="13">
        <v>105000</v>
      </c>
      <c r="C128" s="13">
        <v>50000</v>
      </c>
      <c r="D128" s="70">
        <f t="shared" si="2"/>
        <v>1.1756898105520903E-5</v>
      </c>
      <c r="F128" s="8" t="str">
        <v>Georgia</v>
      </c>
      <c r="G128" s="70">
        <f t="shared" si="3"/>
        <v>2.615475730209208E-4</v>
      </c>
    </row>
    <row r="129" spans="1:7" x14ac:dyDescent="0.2">
      <c r="A129" s="12" t="s">
        <v>323</v>
      </c>
      <c r="B129" s="13">
        <v>2335862.31</v>
      </c>
      <c r="C129" s="13">
        <v>5030915.84</v>
      </c>
      <c r="D129" s="70">
        <f t="shared" si="2"/>
        <v>2.615475730209208E-4</v>
      </c>
      <c r="F129" s="8" t="str">
        <v>Gaza y Jericó</v>
      </c>
      <c r="G129" s="70">
        <f t="shared" si="3"/>
        <v>7.9169137921155772E-6</v>
      </c>
    </row>
    <row r="130" spans="1:7" x14ac:dyDescent="0.2">
      <c r="A130" s="12" t="s">
        <v>483</v>
      </c>
      <c r="B130" s="13">
        <v>70705.38</v>
      </c>
      <c r="C130" s="13">
        <v>25270.39</v>
      </c>
      <c r="D130" s="70">
        <f t="shared" si="2"/>
        <v>7.9169137921155772E-6</v>
      </c>
      <c r="F130" s="8" t="str">
        <v xml:space="preserve">   EUROPA</v>
      </c>
      <c r="G130" s="70">
        <f t="shared" si="3"/>
        <v>0.30252757211197551</v>
      </c>
    </row>
    <row r="131" spans="1:7" x14ac:dyDescent="0.2">
      <c r="A131" s="12" t="s">
        <v>1</v>
      </c>
      <c r="B131" s="13" t="s">
        <v>466</v>
      </c>
      <c r="C131" s="13" t="s">
        <v>466</v>
      </c>
      <c r="D131" s="70" t="e">
        <f t="shared" si="2"/>
        <v>#VALUE!</v>
      </c>
      <c r="F131" s="8" t="str">
        <v>Albania</v>
      </c>
      <c r="G131" s="70">
        <f t="shared" si="3"/>
        <v>3.5435626801414452E-7</v>
      </c>
    </row>
    <row r="132" spans="1:7" x14ac:dyDescent="0.2">
      <c r="A132" s="12" t="s">
        <v>5</v>
      </c>
      <c r="B132" s="13">
        <v>2701851694.7800002</v>
      </c>
      <c r="C132" s="13">
        <v>12664946251.74</v>
      </c>
      <c r="D132" s="70">
        <f t="shared" si="2"/>
        <v>0.30252757211197551</v>
      </c>
      <c r="F132" s="8" t="str">
        <v>Andorra</v>
      </c>
      <c r="G132" s="70">
        <f t="shared" si="3"/>
        <v>5.1058528915405065E-7</v>
      </c>
    </row>
    <row r="133" spans="1:7" x14ac:dyDescent="0.2">
      <c r="A133" s="12" t="s">
        <v>264</v>
      </c>
      <c r="B133" s="13">
        <v>3164.73</v>
      </c>
      <c r="C133" s="13">
        <v>9892.7999999999993</v>
      </c>
      <c r="D133" s="70">
        <f t="shared" si="2"/>
        <v>3.5435626801414452E-7</v>
      </c>
      <c r="F133" s="8" t="str">
        <v>Austria</v>
      </c>
      <c r="G133" s="70">
        <f t="shared" si="3"/>
        <v>1.5476030240097212E-4</v>
      </c>
    </row>
    <row r="134" spans="1:7" x14ac:dyDescent="0.2">
      <c r="A134" s="12" t="s">
        <v>266</v>
      </c>
      <c r="B134" s="13">
        <v>4560</v>
      </c>
      <c r="C134" s="13">
        <v>760</v>
      </c>
      <c r="D134" s="70">
        <f t="shared" si="2"/>
        <v>5.1058528915405065E-7</v>
      </c>
      <c r="F134" s="8" t="str">
        <v>Bélgica</v>
      </c>
      <c r="G134" s="70">
        <f t="shared" si="3"/>
        <v>9.0083009965808772E-3</v>
      </c>
    </row>
    <row r="135" spans="1:7" x14ac:dyDescent="0.2">
      <c r="A135" s="12" t="s">
        <v>272</v>
      </c>
      <c r="B135" s="13">
        <v>1382152.98</v>
      </c>
      <c r="C135" s="13">
        <v>60188.33</v>
      </c>
      <c r="D135" s="70">
        <f t="shared" si="2"/>
        <v>1.5476030240097212E-4</v>
      </c>
      <c r="F135" s="8" t="str">
        <v>Bulgaria</v>
      </c>
      <c r="G135" s="70">
        <f t="shared" si="3"/>
        <v>1.9274212958273588E-4</v>
      </c>
    </row>
    <row r="136" spans="1:7" x14ac:dyDescent="0.2">
      <c r="A136" s="12" t="s">
        <v>279</v>
      </c>
      <c r="B136" s="13">
        <v>80452479.569999993</v>
      </c>
      <c r="C136" s="13">
        <v>413124686.92000002</v>
      </c>
      <c r="D136" s="70">
        <f t="shared" si="2"/>
        <v>9.0083009965808772E-3</v>
      </c>
      <c r="F136" s="8" t="str">
        <v>Dinamarca</v>
      </c>
      <c r="G136" s="70">
        <f t="shared" si="3"/>
        <v>2.223966257832663E-2</v>
      </c>
    </row>
    <row r="137" spans="1:7" x14ac:dyDescent="0.2">
      <c r="A137" s="12" t="s">
        <v>287</v>
      </c>
      <c r="B137" s="13">
        <v>1721365.91</v>
      </c>
      <c r="C137" s="13">
        <v>834144.95</v>
      </c>
      <c r="D137" s="70">
        <f t="shared" si="2"/>
        <v>1.9274212958273588E-4</v>
      </c>
      <c r="F137" s="8" t="str">
        <v>España</v>
      </c>
      <c r="G137" s="70">
        <f t="shared" si="3"/>
        <v>6.7674774138395552E-2</v>
      </c>
    </row>
    <row r="138" spans="1:7" x14ac:dyDescent="0.2">
      <c r="A138" s="12" t="s">
        <v>308</v>
      </c>
      <c r="B138" s="13">
        <v>198620805.40000001</v>
      </c>
      <c r="C138" s="13">
        <v>1112875780.8</v>
      </c>
      <c r="D138" s="70">
        <f t="shared" si="2"/>
        <v>2.223966257832663E-2</v>
      </c>
      <c r="F138" s="8" t="str">
        <v>Finlandia</v>
      </c>
      <c r="G138" s="70">
        <f t="shared" si="3"/>
        <v>1.9591383053343633E-4</v>
      </c>
    </row>
    <row r="139" spans="1:7" x14ac:dyDescent="0.2">
      <c r="A139" s="12" t="s">
        <v>411</v>
      </c>
      <c r="B139" s="13">
        <v>604398474.89999998</v>
      </c>
      <c r="C139" s="13">
        <v>3311355006.96</v>
      </c>
      <c r="D139" s="70">
        <f t="shared" ref="D139:D155" si="4">+B139/$B$8</f>
        <v>6.7674774138395552E-2</v>
      </c>
      <c r="F139" s="8" t="str">
        <v>Francia</v>
      </c>
      <c r="G139" s="70">
        <f t="shared" ref="G139:G151" si="5">+SUMIF(A139:A284,F139,D139:D284)</f>
        <v>1.3033671468659828E-2</v>
      </c>
    </row>
    <row r="140" spans="1:7" x14ac:dyDescent="0.2">
      <c r="A140" s="12" t="s">
        <v>319</v>
      </c>
      <c r="B140" s="13">
        <v>1749692.14</v>
      </c>
      <c r="C140" s="13">
        <v>150656.68</v>
      </c>
      <c r="D140" s="70">
        <f t="shared" si="4"/>
        <v>1.9591383053343633E-4</v>
      </c>
      <c r="F140" s="8" t="str">
        <v>Grecia</v>
      </c>
      <c r="G140" s="70">
        <f t="shared" si="5"/>
        <v>3.0705299391084835E-3</v>
      </c>
    </row>
    <row r="141" spans="1:7" x14ac:dyDescent="0.2">
      <c r="A141" s="12" t="s">
        <v>320</v>
      </c>
      <c r="B141" s="13">
        <v>116402769.84</v>
      </c>
      <c r="C141" s="13">
        <v>423730689.55000001</v>
      </c>
      <c r="D141" s="70">
        <f t="shared" si="4"/>
        <v>1.3033671468659828E-2</v>
      </c>
      <c r="F141" s="8" t="str">
        <v>Hungría</v>
      </c>
      <c r="G141" s="70">
        <f t="shared" si="5"/>
        <v>1.4459515617379813E-5</v>
      </c>
    </row>
    <row r="142" spans="1:7" x14ac:dyDescent="0.2">
      <c r="A142" s="12" t="s">
        <v>326</v>
      </c>
      <c r="B142" s="13">
        <v>27422679.07</v>
      </c>
      <c r="C142" s="13">
        <v>148435370.90000001</v>
      </c>
      <c r="D142" s="70">
        <f t="shared" si="4"/>
        <v>3.0705299391084835E-3</v>
      </c>
      <c r="F142" s="8" t="str">
        <v>Irlanda</v>
      </c>
      <c r="G142" s="70">
        <f t="shared" si="5"/>
        <v>6.529092365547785E-3</v>
      </c>
    </row>
    <row r="143" spans="1:7" x14ac:dyDescent="0.2">
      <c r="A143" s="12" t="s">
        <v>336</v>
      </c>
      <c r="B143" s="13">
        <v>129136.88</v>
      </c>
      <c r="C143" s="13">
        <v>59659.4</v>
      </c>
      <c r="D143" s="70">
        <f t="shared" si="4"/>
        <v>1.4459515617379813E-5</v>
      </c>
      <c r="F143" s="8" t="str">
        <v>Islandia</v>
      </c>
      <c r="G143" s="70">
        <f t="shared" si="5"/>
        <v>1.086158232217095E-7</v>
      </c>
    </row>
    <row r="144" spans="1:7" x14ac:dyDescent="0.2">
      <c r="A144" s="12" t="s">
        <v>342</v>
      </c>
      <c r="B144" s="13">
        <v>58310848</v>
      </c>
      <c r="C144" s="13">
        <v>347131810.58999997</v>
      </c>
      <c r="D144" s="70">
        <f t="shared" si="4"/>
        <v>6.529092365547785E-3</v>
      </c>
      <c r="F144" s="8" t="str">
        <v>Italia</v>
      </c>
      <c r="G144" s="70">
        <f t="shared" si="5"/>
        <v>3.9360503752594887E-2</v>
      </c>
    </row>
    <row r="145" spans="1:7" x14ac:dyDescent="0.2">
      <c r="A145" s="12" t="s">
        <v>337</v>
      </c>
      <c r="B145" s="13">
        <v>970.04</v>
      </c>
      <c r="C145" s="13">
        <v>1769</v>
      </c>
      <c r="D145" s="70">
        <f t="shared" si="4"/>
        <v>1.086158232217095E-7</v>
      </c>
      <c r="F145" s="8" t="str">
        <v>Luxemburgo</v>
      </c>
      <c r="G145" s="70">
        <f t="shared" si="5"/>
        <v>3.1845372440225366E-5</v>
      </c>
    </row>
    <row r="146" spans="1:7" x14ac:dyDescent="0.2">
      <c r="A146" s="12" t="s">
        <v>344</v>
      </c>
      <c r="B146" s="13">
        <v>351525789.95999998</v>
      </c>
      <c r="C146" s="13">
        <v>1688701790.5899999</v>
      </c>
      <c r="D146" s="70">
        <f t="shared" si="4"/>
        <v>3.9360503752594887E-2</v>
      </c>
      <c r="F146" s="8" t="str">
        <v>Malta</v>
      </c>
      <c r="G146" s="70">
        <f t="shared" si="5"/>
        <v>3.124133246379419E-4</v>
      </c>
    </row>
    <row r="147" spans="1:7" x14ac:dyDescent="0.2">
      <c r="A147" s="12" t="s">
        <v>358</v>
      </c>
      <c r="B147" s="13">
        <v>284408.7</v>
      </c>
      <c r="C147" s="13">
        <v>25084.1</v>
      </c>
      <c r="D147" s="70">
        <f t="shared" si="4"/>
        <v>3.1845372440225366E-5</v>
      </c>
      <c r="F147" s="8" t="str">
        <v>Noruega</v>
      </c>
      <c r="G147" s="70">
        <f t="shared" si="5"/>
        <v>3.9370463529325956E-5</v>
      </c>
    </row>
    <row r="148" spans="1:7" x14ac:dyDescent="0.2">
      <c r="A148" s="12" t="s">
        <v>365</v>
      </c>
      <c r="B148" s="13">
        <v>2790140.63</v>
      </c>
      <c r="C148" s="13">
        <v>12196434.26</v>
      </c>
      <c r="D148" s="70">
        <f t="shared" si="4"/>
        <v>3.124133246379419E-4</v>
      </c>
      <c r="F148" s="8" t="str">
        <v>Países Bajos</v>
      </c>
      <c r="G148" s="70">
        <f t="shared" si="5"/>
        <v>5.6881817133906477E-2</v>
      </c>
    </row>
    <row r="149" spans="1:7" x14ac:dyDescent="0.2">
      <c r="A149" s="12" t="s">
        <v>384</v>
      </c>
      <c r="B149" s="13">
        <v>351614.74</v>
      </c>
      <c r="C149" s="13">
        <v>77257.61</v>
      </c>
      <c r="D149" s="70">
        <f t="shared" si="4"/>
        <v>3.9370463529325956E-5</v>
      </c>
      <c r="F149" s="8" t="str">
        <v>Polonia</v>
      </c>
      <c r="G149" s="70">
        <f t="shared" si="5"/>
        <v>2.1713967426740186E-2</v>
      </c>
    </row>
    <row r="150" spans="1:7" x14ac:dyDescent="0.2">
      <c r="A150" s="12" t="s">
        <v>378</v>
      </c>
      <c r="B150" s="13">
        <v>508007362.61000001</v>
      </c>
      <c r="C150" s="13">
        <v>2657885086.27</v>
      </c>
      <c r="D150" s="70">
        <f t="shared" si="4"/>
        <v>5.6881817133906477E-2</v>
      </c>
      <c r="F150" s="8" t="str">
        <v>Portugal</v>
      </c>
      <c r="G150" s="70">
        <f t="shared" si="5"/>
        <v>3.1109062075101454E-3</v>
      </c>
    </row>
    <row r="151" spans="1:7" x14ac:dyDescent="0.2">
      <c r="A151" s="12" t="s">
        <v>392</v>
      </c>
      <c r="B151" s="13">
        <v>193925860.31999999</v>
      </c>
      <c r="C151" s="13">
        <v>1024127998.96</v>
      </c>
      <c r="D151" s="70">
        <f t="shared" si="4"/>
        <v>2.1713967426740186E-2</v>
      </c>
      <c r="F151" s="8" t="str">
        <v>Reino Unido</v>
      </c>
      <c r="G151" s="70">
        <f t="shared" si="5"/>
        <v>1.4868907879310396E-2</v>
      </c>
    </row>
    <row r="152" spans="1:7" x14ac:dyDescent="0.2">
      <c r="A152" s="12" t="s">
        <v>393</v>
      </c>
      <c r="B152" s="13">
        <v>27783276.579999998</v>
      </c>
      <c r="C152" s="13">
        <v>124393979.19</v>
      </c>
      <c r="D152" s="70">
        <f t="shared" si="4"/>
        <v>3.1109062075101454E-3</v>
      </c>
      <c r="F152" s="8" t="str">
        <v>Rumania</v>
      </c>
    </row>
    <row r="153" spans="1:7" x14ac:dyDescent="0.2">
      <c r="A153" s="12" t="s">
        <v>431</v>
      </c>
      <c r="B153" s="13">
        <v>132793132.45</v>
      </c>
      <c r="C153" s="13">
        <v>591520175.90999997</v>
      </c>
      <c r="D153" s="70">
        <f t="shared" si="4"/>
        <v>1.4868907879310396E-2</v>
      </c>
      <c r="F153" s="8" t="str">
        <v>Suecia</v>
      </c>
    </row>
    <row r="154" spans="1:7" x14ac:dyDescent="0.2">
      <c r="A154" s="12" t="s">
        <v>396</v>
      </c>
      <c r="B154" s="13">
        <v>6269065.5199999996</v>
      </c>
      <c r="C154" s="13">
        <v>31545626.190000001</v>
      </c>
      <c r="D154" s="70">
        <f t="shared" si="4"/>
        <v>7.0195013843308966E-4</v>
      </c>
    </row>
    <row r="155" spans="1:7" x14ac:dyDescent="0.2">
      <c r="A155" s="12" t="s">
        <v>418</v>
      </c>
      <c r="B155" s="13">
        <v>3318634.24</v>
      </c>
      <c r="C155" s="13">
        <v>381267.56</v>
      </c>
      <c r="D155" s="70">
        <f t="shared" si="4"/>
        <v>3.7158899627783628E-4</v>
      </c>
    </row>
    <row r="156" spans="1:7" x14ac:dyDescent="0.2">
      <c r="A156" s="12" t="s">
        <v>419</v>
      </c>
      <c r="B156" s="13">
        <v>289994.90000000002</v>
      </c>
      <c r="C156" s="13">
        <v>60090.080000000002</v>
      </c>
    </row>
    <row r="157" spans="1:7" x14ac:dyDescent="0.2">
      <c r="A157" s="12" t="s">
        <v>306</v>
      </c>
      <c r="B157" s="13">
        <v>13267052.109999999</v>
      </c>
      <c r="C157" s="13">
        <v>71525178.379999995</v>
      </c>
    </row>
    <row r="158" spans="1:7" x14ac:dyDescent="0.2">
      <c r="A158" s="12" t="s">
        <v>427</v>
      </c>
      <c r="B158" s="13">
        <v>117099439.54000001</v>
      </c>
      <c r="C158" s="13">
        <v>289511003.97000003</v>
      </c>
    </row>
    <row r="159" spans="1:7" x14ac:dyDescent="0.2">
      <c r="A159" s="12" t="s">
        <v>324</v>
      </c>
      <c r="B159" s="13">
        <v>110819900.98999999</v>
      </c>
      <c r="C159" s="13">
        <v>195383098.72999999</v>
      </c>
    </row>
    <row r="160" spans="1:7" x14ac:dyDescent="0.2">
      <c r="A160" s="12" t="s">
        <v>484</v>
      </c>
      <c r="B160" s="13">
        <v>95186</v>
      </c>
      <c r="C160" s="13">
        <v>22762.63</v>
      </c>
    </row>
    <row r="161" spans="1:3" x14ac:dyDescent="0.2">
      <c r="A161" s="12" t="s">
        <v>316</v>
      </c>
      <c r="B161" s="13">
        <v>454087.67999999999</v>
      </c>
      <c r="C161" s="13">
        <v>46239.71</v>
      </c>
    </row>
    <row r="162" spans="1:3" x14ac:dyDescent="0.2">
      <c r="A162" s="12" t="s">
        <v>352</v>
      </c>
      <c r="B162" s="13">
        <v>13182558.439999999</v>
      </c>
      <c r="C162" s="13">
        <v>73323155.709999993</v>
      </c>
    </row>
    <row r="163" spans="1:3" x14ac:dyDescent="0.2">
      <c r="A163" s="12" t="s">
        <v>357</v>
      </c>
      <c r="B163" s="13">
        <v>119092.11</v>
      </c>
      <c r="C163" s="13">
        <v>482534.7</v>
      </c>
    </row>
    <row r="164" spans="1:3" x14ac:dyDescent="0.2">
      <c r="A164" s="12" t="s">
        <v>397</v>
      </c>
      <c r="B164" s="13">
        <v>110250146.47</v>
      </c>
      <c r="C164" s="13">
        <v>75477553.430000007</v>
      </c>
    </row>
    <row r="165" spans="1:3" x14ac:dyDescent="0.2">
      <c r="A165" s="12" t="s">
        <v>429</v>
      </c>
      <c r="B165" s="13">
        <v>2452417.0699999998</v>
      </c>
      <c r="C165" s="13">
        <v>1447686.65</v>
      </c>
    </row>
    <row r="166" spans="1:3" x14ac:dyDescent="0.2">
      <c r="A166" s="12" t="s">
        <v>283</v>
      </c>
      <c r="B166" s="13">
        <v>427423.15</v>
      </c>
      <c r="C166" s="13">
        <v>308338.75</v>
      </c>
    </row>
    <row r="167" spans="1:3" x14ac:dyDescent="0.2">
      <c r="A167" s="12" t="s">
        <v>304</v>
      </c>
      <c r="B167" s="13">
        <v>3585383.35</v>
      </c>
      <c r="C167" s="13">
        <v>3710582.99</v>
      </c>
    </row>
    <row r="168" spans="1:3" x14ac:dyDescent="0.2">
      <c r="A168" s="12" t="s">
        <v>407</v>
      </c>
      <c r="B168" s="13">
        <v>11665068.140000001</v>
      </c>
      <c r="C168" s="13">
        <v>64842420</v>
      </c>
    </row>
    <row r="169" spans="1:3" x14ac:dyDescent="0.2">
      <c r="A169" s="12" t="s">
        <v>307</v>
      </c>
      <c r="B169" s="13">
        <v>351960.4</v>
      </c>
      <c r="C169" s="13">
        <v>110264.25</v>
      </c>
    </row>
    <row r="170" spans="1:3" x14ac:dyDescent="0.2">
      <c r="A170" s="12" t="s">
        <v>485</v>
      </c>
      <c r="B170" s="13">
        <v>143599.22</v>
      </c>
      <c r="C170" s="13">
        <v>70224.240000000005</v>
      </c>
    </row>
    <row r="171" spans="1:3" x14ac:dyDescent="0.2">
      <c r="A171" s="12" t="s">
        <v>1</v>
      </c>
      <c r="B171" s="13" t="s">
        <v>466</v>
      </c>
      <c r="C171" s="13" t="s">
        <v>466</v>
      </c>
    </row>
    <row r="172" spans="1:3" x14ac:dyDescent="0.2">
      <c r="A172" s="12" t="s">
        <v>6</v>
      </c>
      <c r="B172" s="13">
        <v>27493951.23</v>
      </c>
      <c r="C172" s="13">
        <v>46620815.450000003</v>
      </c>
    </row>
    <row r="173" spans="1:3" x14ac:dyDescent="0.2">
      <c r="A173" s="12" t="s">
        <v>271</v>
      </c>
      <c r="B173" s="13">
        <v>26555078.559999999</v>
      </c>
      <c r="C173" s="13">
        <v>46519816.200000003</v>
      </c>
    </row>
    <row r="174" spans="1:3" x14ac:dyDescent="0.2">
      <c r="A174" s="14" t="s">
        <v>379</v>
      </c>
      <c r="B174" s="15">
        <v>938872.67</v>
      </c>
      <c r="C174" s="15">
        <v>100999.25</v>
      </c>
    </row>
    <row r="176" spans="1:3" x14ac:dyDescent="0.2">
      <c r="A176" s="7" t="s">
        <v>16</v>
      </c>
    </row>
  </sheetData>
  <mergeCells count="2">
    <mergeCell ref="A1:C2"/>
    <mergeCell ref="B4:C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75"/>
  <sheetViews>
    <sheetView workbookViewId="0">
      <selection activeCell="D1" sqref="D1:G1048576"/>
    </sheetView>
  </sheetViews>
  <sheetFormatPr baseColWidth="10" defaultRowHeight="15" x14ac:dyDescent="0.2"/>
  <cols>
    <col min="1" max="1" width="80.625" style="8" customWidth="1"/>
    <col min="2" max="3" width="20" style="9" customWidth="1"/>
    <col min="4" max="16384" width="11" style="8"/>
  </cols>
  <sheetData>
    <row r="1" spans="1:7" x14ac:dyDescent="0.2">
      <c r="A1" s="66" t="s">
        <v>254</v>
      </c>
      <c r="B1" s="66"/>
      <c r="C1" s="66"/>
    </row>
    <row r="2" spans="1:7" x14ac:dyDescent="0.2">
      <c r="A2" s="66"/>
      <c r="B2" s="66"/>
      <c r="C2" s="66"/>
    </row>
    <row r="3" spans="1:7" x14ac:dyDescent="0.2">
      <c r="A3" s="1"/>
      <c r="B3" s="1"/>
      <c r="C3" s="1"/>
    </row>
    <row r="4" spans="1:7" x14ac:dyDescent="0.2">
      <c r="A4" s="2"/>
      <c r="B4" s="67" t="s">
        <v>21</v>
      </c>
      <c r="C4" s="67"/>
    </row>
    <row r="5" spans="1:7" x14ac:dyDescent="0.2">
      <c r="A5" s="3" t="s">
        <v>465</v>
      </c>
      <c r="B5" s="4" t="s">
        <v>10</v>
      </c>
      <c r="C5" s="4" t="s">
        <v>11</v>
      </c>
    </row>
    <row r="6" spans="1:7" x14ac:dyDescent="0.2">
      <c r="A6" s="5"/>
      <c r="B6" s="6" t="s">
        <v>13</v>
      </c>
      <c r="C6" s="6" t="s">
        <v>14</v>
      </c>
    </row>
    <row r="8" spans="1:7" x14ac:dyDescent="0.2">
      <c r="A8" s="10" t="s">
        <v>0</v>
      </c>
      <c r="B8" s="11">
        <v>7720431043.7799997</v>
      </c>
      <c r="C8" s="11">
        <v>26962405437.119999</v>
      </c>
    </row>
    <row r="9" spans="1:7" x14ac:dyDescent="0.2">
      <c r="A9" s="12" t="s">
        <v>1</v>
      </c>
      <c r="B9" s="13" t="s">
        <v>466</v>
      </c>
      <c r="C9" s="13" t="s">
        <v>466</v>
      </c>
    </row>
    <row r="10" spans="1:7" x14ac:dyDescent="0.2">
      <c r="A10" s="12" t="s">
        <v>2</v>
      </c>
      <c r="B10" s="13">
        <v>778438227.55999994</v>
      </c>
      <c r="C10" s="13">
        <v>3164401437.7800002</v>
      </c>
      <c r="D10" s="70">
        <f>+B10/$B$8</f>
        <v>0.10082833758189605</v>
      </c>
      <c r="F10" s="8" t="str" cm="1">
        <f t="array" ref="F10:F152">+_xlfn.UNIQUE(A10:A155)</f>
        <v xml:space="preserve">   AFRICA</v>
      </c>
      <c r="G10" s="70">
        <f>+SUMIF(A10:A155,F10,D10:D155)</f>
        <v>0.10082833758189605</v>
      </c>
    </row>
    <row r="11" spans="1:7" x14ac:dyDescent="0.2">
      <c r="A11" s="12" t="s">
        <v>288</v>
      </c>
      <c r="B11" s="13">
        <v>329750</v>
      </c>
      <c r="C11" s="13">
        <v>150000</v>
      </c>
      <c r="D11" s="70">
        <f t="shared" ref="D11:D74" si="0">+B11/$B$8</f>
        <v>4.2711345795344492E-5</v>
      </c>
      <c r="F11" s="8" t="str">
        <v>Burkina Faso</v>
      </c>
      <c r="G11" s="70">
        <f t="shared" ref="G11:G74" si="1">+SUMIF(A11:A156,F11,D11:D156)</f>
        <v>4.2711345795344492E-5</v>
      </c>
    </row>
    <row r="12" spans="1:7" x14ac:dyDescent="0.2">
      <c r="A12" s="12" t="s">
        <v>265</v>
      </c>
      <c r="B12" s="13">
        <v>212193993.28</v>
      </c>
      <c r="C12" s="13">
        <v>586970737.53999996</v>
      </c>
      <c r="D12" s="70">
        <f t="shared" si="0"/>
        <v>2.7484733958080626E-2</v>
      </c>
      <c r="F12" s="8" t="str">
        <v>Argelia</v>
      </c>
      <c r="G12" s="70">
        <f t="shared" si="1"/>
        <v>2.7484733958080626E-2</v>
      </c>
    </row>
    <row r="13" spans="1:7" x14ac:dyDescent="0.2">
      <c r="A13" s="12" t="s">
        <v>292</v>
      </c>
      <c r="B13" s="13">
        <v>1689965.7</v>
      </c>
      <c r="C13" s="13">
        <v>2164049.56</v>
      </c>
      <c r="D13" s="70">
        <f t="shared" si="0"/>
        <v>2.1889525214547812E-4</v>
      </c>
      <c r="F13" s="8" t="str">
        <v>Camerún</v>
      </c>
      <c r="G13" s="70">
        <f t="shared" si="1"/>
        <v>2.1889525214547812E-4</v>
      </c>
    </row>
    <row r="14" spans="1:7" x14ac:dyDescent="0.2">
      <c r="A14" s="12" t="s">
        <v>470</v>
      </c>
      <c r="B14" s="13">
        <v>32728.1</v>
      </c>
      <c r="C14" s="13">
        <v>14650</v>
      </c>
      <c r="D14" s="70">
        <f t="shared" si="0"/>
        <v>4.2391544998472E-6</v>
      </c>
      <c r="F14" s="8" t="str">
        <v>República Centroafricana</v>
      </c>
      <c r="G14" s="70">
        <f t="shared" si="1"/>
        <v>4.2391544998472E-6</v>
      </c>
    </row>
    <row r="15" spans="1:7" x14ac:dyDescent="0.2">
      <c r="A15" s="12" t="s">
        <v>301</v>
      </c>
      <c r="B15" s="13">
        <v>8196322.7000000002</v>
      </c>
      <c r="C15" s="13">
        <v>19190166.640000001</v>
      </c>
      <c r="D15" s="70">
        <f t="shared" si="0"/>
        <v>1.0616405552386101E-3</v>
      </c>
      <c r="F15" s="8" t="str">
        <v>Congo</v>
      </c>
      <c r="G15" s="70">
        <f t="shared" si="1"/>
        <v>1.0616405552386101E-3</v>
      </c>
    </row>
    <row r="16" spans="1:7" x14ac:dyDescent="0.2">
      <c r="A16" s="12" t="s">
        <v>477</v>
      </c>
      <c r="B16" s="13">
        <v>1316455.06</v>
      </c>
      <c r="C16" s="13">
        <v>10412148.800000001</v>
      </c>
      <c r="D16" s="70">
        <f t="shared" si="0"/>
        <v>1.7051574614614402E-4</v>
      </c>
      <c r="F16" s="8" t="str">
        <v>Rep. Democrática del Congo</v>
      </c>
      <c r="G16" s="70">
        <f t="shared" si="1"/>
        <v>1.7051574614614402E-4</v>
      </c>
    </row>
    <row r="17" spans="1:7" x14ac:dyDescent="0.2">
      <c r="A17" s="12" t="s">
        <v>303</v>
      </c>
      <c r="B17" s="13">
        <v>3840431.14</v>
      </c>
      <c r="C17" s="13">
        <v>6616164.96</v>
      </c>
      <c r="D17" s="70">
        <f t="shared" si="0"/>
        <v>4.9743739931387134E-4</v>
      </c>
      <c r="F17" s="8" t="str">
        <v>Costa de Marfil</v>
      </c>
      <c r="G17" s="70">
        <f t="shared" si="1"/>
        <v>4.9743739931387134E-4</v>
      </c>
    </row>
    <row r="18" spans="1:7" x14ac:dyDescent="0.2">
      <c r="A18" s="12" t="s">
        <v>281</v>
      </c>
      <c r="B18" s="13">
        <v>151089.35999999999</v>
      </c>
      <c r="C18" s="13">
        <v>483333.41</v>
      </c>
      <c r="D18" s="70">
        <f t="shared" si="0"/>
        <v>1.9570067933153268E-5</v>
      </c>
      <c r="F18" s="8" t="str">
        <v>Benin</v>
      </c>
      <c r="G18" s="70">
        <f t="shared" si="1"/>
        <v>1.9570067933153268E-5</v>
      </c>
    </row>
    <row r="19" spans="1:7" x14ac:dyDescent="0.2">
      <c r="A19" s="12" t="s">
        <v>313</v>
      </c>
      <c r="B19" s="13">
        <v>157319574.78999999</v>
      </c>
      <c r="C19" s="13">
        <v>806981562.12</v>
      </c>
      <c r="D19" s="70">
        <f t="shared" si="0"/>
        <v>2.037704551700455E-2</v>
      </c>
      <c r="F19" s="8" t="str">
        <v>Egipto</v>
      </c>
      <c r="G19" s="70">
        <f t="shared" si="1"/>
        <v>2.037704551700455E-2</v>
      </c>
    </row>
    <row r="20" spans="1:7" x14ac:dyDescent="0.2">
      <c r="A20" s="12" t="s">
        <v>321</v>
      </c>
      <c r="B20" s="13">
        <v>582108.13</v>
      </c>
      <c r="C20" s="13">
        <v>597086.49</v>
      </c>
      <c r="D20" s="70">
        <f t="shared" si="0"/>
        <v>7.5398397667054883E-5</v>
      </c>
      <c r="F20" s="8" t="str">
        <v>Gabón</v>
      </c>
      <c r="G20" s="70">
        <f t="shared" si="1"/>
        <v>7.5398397667054883E-5</v>
      </c>
    </row>
    <row r="21" spans="1:7" x14ac:dyDescent="0.2">
      <c r="A21" s="12" t="s">
        <v>322</v>
      </c>
      <c r="B21" s="13">
        <v>140616.46</v>
      </c>
      <c r="C21" s="13">
        <v>71620.460000000006</v>
      </c>
      <c r="D21" s="70">
        <f t="shared" si="0"/>
        <v>1.8213550409635262E-5</v>
      </c>
      <c r="F21" s="8" t="str">
        <v>Gambia</v>
      </c>
      <c r="G21" s="70">
        <f t="shared" si="1"/>
        <v>1.8213550409635262E-5</v>
      </c>
    </row>
    <row r="22" spans="1:7" x14ac:dyDescent="0.2">
      <c r="A22" s="12" t="s">
        <v>325</v>
      </c>
      <c r="B22" s="13">
        <v>5536938.8099999996</v>
      </c>
      <c r="C22" s="13">
        <v>14595977.23</v>
      </c>
      <c r="D22" s="70">
        <f t="shared" si="0"/>
        <v>7.1718000958778845E-4</v>
      </c>
      <c r="F22" s="8" t="str">
        <v>Ghana</v>
      </c>
      <c r="G22" s="70">
        <f t="shared" si="1"/>
        <v>7.1718000958778845E-4</v>
      </c>
    </row>
    <row r="23" spans="1:7" x14ac:dyDescent="0.2">
      <c r="A23" s="12" t="s">
        <v>329</v>
      </c>
      <c r="B23" s="13">
        <v>351735.46</v>
      </c>
      <c r="C23" s="13">
        <v>178709.39</v>
      </c>
      <c r="D23" s="70">
        <f t="shared" si="0"/>
        <v>4.5559044307944089E-5</v>
      </c>
      <c r="F23" s="8" t="str">
        <v>Guinea</v>
      </c>
      <c r="G23" s="70">
        <f t="shared" si="1"/>
        <v>4.5559044307944089E-5</v>
      </c>
    </row>
    <row r="24" spans="1:7" x14ac:dyDescent="0.2">
      <c r="A24" s="12" t="s">
        <v>330</v>
      </c>
      <c r="B24" s="13">
        <v>22952.400000000001</v>
      </c>
      <c r="C24" s="13">
        <v>6269</v>
      </c>
      <c r="D24" s="70">
        <f t="shared" si="0"/>
        <v>2.9729428149600153E-6</v>
      </c>
      <c r="F24" s="8" t="str">
        <v>Guinea Ecuatorial</v>
      </c>
      <c r="G24" s="70">
        <f t="shared" si="1"/>
        <v>2.9729428149600153E-6</v>
      </c>
    </row>
    <row r="25" spans="1:7" x14ac:dyDescent="0.2">
      <c r="A25" s="12" t="s">
        <v>349</v>
      </c>
      <c r="B25" s="13">
        <v>3220338.36</v>
      </c>
      <c r="C25" s="13">
        <v>21018595.73</v>
      </c>
      <c r="D25" s="70">
        <f t="shared" si="0"/>
        <v>4.1711898490363175E-4</v>
      </c>
      <c r="F25" s="8" t="str">
        <v>Kenya</v>
      </c>
      <c r="G25" s="70">
        <f t="shared" si="1"/>
        <v>4.1711898490363175E-4</v>
      </c>
    </row>
    <row r="26" spans="1:7" x14ac:dyDescent="0.2">
      <c r="A26" s="12" t="s">
        <v>355</v>
      </c>
      <c r="B26" s="13">
        <v>1398190.47</v>
      </c>
      <c r="C26" s="13">
        <v>2941189.48</v>
      </c>
      <c r="D26" s="70">
        <f t="shared" si="0"/>
        <v>1.81102643372025E-4</v>
      </c>
      <c r="F26" s="8" t="str">
        <v>Liberia</v>
      </c>
      <c r="G26" s="70">
        <f t="shared" si="1"/>
        <v>1.81102643372025E-4</v>
      </c>
    </row>
    <row r="27" spans="1:7" x14ac:dyDescent="0.2">
      <c r="A27" s="12" t="s">
        <v>356</v>
      </c>
      <c r="B27" s="13">
        <v>19311573.920000002</v>
      </c>
      <c r="C27" s="13">
        <v>113699644.14</v>
      </c>
      <c r="D27" s="70">
        <f t="shared" si="0"/>
        <v>2.501359549808875E-3</v>
      </c>
      <c r="F27" s="8" t="str">
        <v>Libia</v>
      </c>
      <c r="G27" s="70">
        <f t="shared" si="1"/>
        <v>2.501359549808875E-3</v>
      </c>
    </row>
    <row r="28" spans="1:7" x14ac:dyDescent="0.2">
      <c r="A28" s="12" t="s">
        <v>360</v>
      </c>
      <c r="B28" s="13">
        <v>8951399.8000000007</v>
      </c>
      <c r="C28" s="13">
        <v>19805800</v>
      </c>
      <c r="D28" s="70">
        <f t="shared" si="0"/>
        <v>1.1594430089770359E-3</v>
      </c>
      <c r="F28" s="8" t="str">
        <v>Madagascar</v>
      </c>
      <c r="G28" s="70">
        <f t="shared" si="1"/>
        <v>1.1594430089770359E-3</v>
      </c>
    </row>
    <row r="29" spans="1:7" x14ac:dyDescent="0.2">
      <c r="A29" s="12" t="s">
        <v>361</v>
      </c>
      <c r="B29" s="13">
        <v>226302.7</v>
      </c>
      <c r="C29" s="13">
        <v>1137020</v>
      </c>
      <c r="D29" s="70">
        <f t="shared" si="0"/>
        <v>2.9312184606884328E-5</v>
      </c>
      <c r="F29" s="8" t="str">
        <v>Malawi</v>
      </c>
      <c r="G29" s="70">
        <f t="shared" si="1"/>
        <v>2.9312184606884328E-5</v>
      </c>
    </row>
    <row r="30" spans="1:7" x14ac:dyDescent="0.2">
      <c r="A30" s="12" t="s">
        <v>478</v>
      </c>
      <c r="B30" s="13">
        <v>270062.5</v>
      </c>
      <c r="C30" s="13">
        <v>125000</v>
      </c>
      <c r="D30" s="70">
        <f t="shared" si="0"/>
        <v>3.498023600865875E-5</v>
      </c>
      <c r="F30" s="8" t="str">
        <v>Malí</v>
      </c>
      <c r="G30" s="70">
        <f t="shared" si="1"/>
        <v>3.498023600865875E-5</v>
      </c>
    </row>
    <row r="31" spans="1:7" x14ac:dyDescent="0.2">
      <c r="A31" s="12" t="s">
        <v>372</v>
      </c>
      <c r="B31" s="13">
        <v>82145490.609999999</v>
      </c>
      <c r="C31" s="13">
        <v>282646899.56</v>
      </c>
      <c r="D31" s="70">
        <f t="shared" si="0"/>
        <v>1.0640013510149914E-2</v>
      </c>
      <c r="F31" s="8" t="str">
        <v>Marruecos</v>
      </c>
      <c r="G31" s="70">
        <f t="shared" si="1"/>
        <v>1.0640013510149914E-2</v>
      </c>
    </row>
    <row r="32" spans="1:7" x14ac:dyDescent="0.2">
      <c r="A32" s="12" t="s">
        <v>367</v>
      </c>
      <c r="B32" s="13">
        <v>9999157.2400000002</v>
      </c>
      <c r="C32" s="13">
        <v>37521443.439999998</v>
      </c>
      <c r="D32" s="70">
        <f t="shared" si="0"/>
        <v>1.2951553071710764E-3</v>
      </c>
      <c r="F32" s="8" t="str">
        <v>Mauricio</v>
      </c>
      <c r="G32" s="70">
        <f t="shared" si="1"/>
        <v>1.2951553071710764E-3</v>
      </c>
    </row>
    <row r="33" spans="1:7" x14ac:dyDescent="0.2">
      <c r="A33" s="12" t="s">
        <v>366</v>
      </c>
      <c r="B33" s="13">
        <v>831648.05</v>
      </c>
      <c r="C33" s="13">
        <v>2561299.04</v>
      </c>
      <c r="D33" s="70">
        <f t="shared" si="0"/>
        <v>1.0772041681144489E-4</v>
      </c>
      <c r="F33" s="8" t="str">
        <v>Mauritania</v>
      </c>
      <c r="G33" s="70">
        <f t="shared" si="1"/>
        <v>1.0772041681144489E-4</v>
      </c>
    </row>
    <row r="34" spans="1:7" x14ac:dyDescent="0.2">
      <c r="A34" s="12" t="s">
        <v>381</v>
      </c>
      <c r="B34" s="13">
        <v>2406248.7999999998</v>
      </c>
      <c r="C34" s="13">
        <v>2082061.1</v>
      </c>
      <c r="D34" s="70">
        <f t="shared" si="0"/>
        <v>3.1167285691109241E-4</v>
      </c>
      <c r="F34" s="8" t="str">
        <v>Níger</v>
      </c>
      <c r="G34" s="70">
        <f t="shared" si="1"/>
        <v>3.1167285691109241E-4</v>
      </c>
    </row>
    <row r="35" spans="1:7" x14ac:dyDescent="0.2">
      <c r="A35" s="12" t="s">
        <v>382</v>
      </c>
      <c r="B35" s="13">
        <v>11975798.619999999</v>
      </c>
      <c r="C35" s="13">
        <v>36031419.270000003</v>
      </c>
      <c r="D35" s="70">
        <f t="shared" si="0"/>
        <v>1.5511826414988002E-3</v>
      </c>
      <c r="F35" s="8" t="str">
        <v>Nigeria</v>
      </c>
      <c r="G35" s="70">
        <f t="shared" si="1"/>
        <v>1.5511826414988002E-3</v>
      </c>
    </row>
    <row r="36" spans="1:7" x14ac:dyDescent="0.2">
      <c r="A36" s="12" t="s">
        <v>401</v>
      </c>
      <c r="B36" s="13">
        <v>8361935.6299999999</v>
      </c>
      <c r="C36" s="13">
        <v>26955571.109999999</v>
      </c>
      <c r="D36" s="70">
        <f t="shared" si="0"/>
        <v>1.0830918095870866E-3</v>
      </c>
      <c r="F36" s="8" t="str">
        <v>Senegal</v>
      </c>
      <c r="G36" s="70">
        <f t="shared" si="1"/>
        <v>1.0830918095870866E-3</v>
      </c>
    </row>
    <row r="37" spans="1:7" x14ac:dyDescent="0.2">
      <c r="A37" s="12" t="s">
        <v>404</v>
      </c>
      <c r="B37" s="13">
        <v>811928.74</v>
      </c>
      <c r="C37" s="13">
        <v>826458.62</v>
      </c>
      <c r="D37" s="70">
        <f t="shared" si="0"/>
        <v>1.0516624465600714E-4</v>
      </c>
      <c r="F37" s="8" t="str">
        <v>Sierra Leona</v>
      </c>
      <c r="G37" s="70">
        <f t="shared" si="1"/>
        <v>1.0516624465600714E-4</v>
      </c>
    </row>
    <row r="38" spans="1:7" x14ac:dyDescent="0.2">
      <c r="A38" s="12" t="s">
        <v>486</v>
      </c>
      <c r="B38" s="13">
        <v>14288</v>
      </c>
      <c r="C38" s="13">
        <v>6400</v>
      </c>
      <c r="D38" s="70">
        <f t="shared" si="0"/>
        <v>1.8506738702771255E-6</v>
      </c>
      <c r="F38" s="8" t="str">
        <v>Swazilandia</v>
      </c>
      <c r="G38" s="70">
        <f t="shared" si="1"/>
        <v>1.8506738702771255E-6</v>
      </c>
    </row>
    <row r="39" spans="1:7" x14ac:dyDescent="0.2">
      <c r="A39" s="12" t="s">
        <v>416</v>
      </c>
      <c r="B39" s="13">
        <v>1996002.99</v>
      </c>
      <c r="C39" s="13">
        <v>18483620.219999999</v>
      </c>
      <c r="D39" s="70">
        <f t="shared" si="0"/>
        <v>2.5853517487318131E-4</v>
      </c>
      <c r="F39" s="8" t="str">
        <v>Sudán</v>
      </c>
      <c r="G39" s="70">
        <f t="shared" si="1"/>
        <v>2.5853517487318131E-4</v>
      </c>
    </row>
    <row r="40" spans="1:7" x14ac:dyDescent="0.2">
      <c r="A40" s="12" t="s">
        <v>422</v>
      </c>
      <c r="B40" s="13">
        <v>2633550.59</v>
      </c>
      <c r="C40" s="13">
        <v>22685372.489999998</v>
      </c>
      <c r="D40" s="70">
        <f t="shared" si="0"/>
        <v>3.4111445009559822E-4</v>
      </c>
      <c r="F40" s="8" t="str">
        <v>Tanzania</v>
      </c>
      <c r="G40" s="70">
        <f t="shared" si="1"/>
        <v>3.4111445009559822E-4</v>
      </c>
    </row>
    <row r="41" spans="1:7" x14ac:dyDescent="0.2">
      <c r="A41" s="12" t="s">
        <v>424</v>
      </c>
      <c r="B41" s="13">
        <v>2079618.43</v>
      </c>
      <c r="C41" s="13">
        <v>2854693.26</v>
      </c>
      <c r="D41" s="70">
        <f t="shared" si="0"/>
        <v>2.6936558570462904E-4</v>
      </c>
      <c r="F41" s="8" t="str">
        <v>Togo</v>
      </c>
      <c r="G41" s="70">
        <f t="shared" si="1"/>
        <v>2.6936558570462904E-4</v>
      </c>
    </row>
    <row r="42" spans="1:7" x14ac:dyDescent="0.2">
      <c r="A42" s="12" t="s">
        <v>426</v>
      </c>
      <c r="B42" s="13">
        <v>54344990.469999999</v>
      </c>
      <c r="C42" s="13">
        <v>268648642.89999998</v>
      </c>
      <c r="D42" s="70">
        <f t="shared" si="0"/>
        <v>7.0391135108684487E-3</v>
      </c>
      <c r="F42" s="8" t="str">
        <v>Túnez</v>
      </c>
      <c r="G42" s="70">
        <f t="shared" si="1"/>
        <v>7.0391135108684487E-3</v>
      </c>
    </row>
    <row r="43" spans="1:7" x14ac:dyDescent="0.2">
      <c r="A43" s="12" t="s">
        <v>428</v>
      </c>
      <c r="B43" s="13">
        <v>133445.59</v>
      </c>
      <c r="C43" s="13">
        <v>685422</v>
      </c>
      <c r="D43" s="70">
        <f t="shared" si="0"/>
        <v>1.7284733098874194E-5</v>
      </c>
      <c r="F43" s="8" t="str">
        <v>Uganda</v>
      </c>
      <c r="G43" s="70">
        <f t="shared" si="1"/>
        <v>1.7284733098874194E-5</v>
      </c>
    </row>
    <row r="44" spans="1:7" x14ac:dyDescent="0.2">
      <c r="A44" s="12" t="s">
        <v>65</v>
      </c>
      <c r="B44" s="13">
        <v>409238.71</v>
      </c>
      <c r="C44" s="13">
        <v>135127.62</v>
      </c>
      <c r="D44" s="70">
        <f t="shared" si="0"/>
        <v>5.3007235953451726E-5</v>
      </c>
      <c r="F44" s="8" t="str">
        <v>Territorios vinculados a España</v>
      </c>
      <c r="G44" s="70">
        <f t="shared" si="1"/>
        <v>5.3007235953451726E-5</v>
      </c>
    </row>
    <row r="45" spans="1:7" x14ac:dyDescent="0.2">
      <c r="A45" s="12" t="s">
        <v>66</v>
      </c>
      <c r="B45" s="13">
        <v>4500807.7</v>
      </c>
      <c r="C45" s="13">
        <v>24513730</v>
      </c>
      <c r="D45" s="70">
        <f t="shared" si="0"/>
        <v>5.8297362860666908E-4</v>
      </c>
      <c r="F45" s="8" t="str">
        <v>Territorios vinculados a Francia</v>
      </c>
      <c r="G45" s="70">
        <f t="shared" si="1"/>
        <v>6.8664251645261657E-4</v>
      </c>
    </row>
    <row r="46" spans="1:7" x14ac:dyDescent="0.2">
      <c r="A46" s="12" t="s">
        <v>267</v>
      </c>
      <c r="B46" s="13">
        <v>5984327.1399999997</v>
      </c>
      <c r="C46" s="13">
        <v>18583103.579999998</v>
      </c>
      <c r="D46" s="70">
        <f t="shared" si="0"/>
        <v>7.7512863026233487E-4</v>
      </c>
      <c r="F46" s="8" t="str">
        <v>Angola</v>
      </c>
      <c r="G46" s="70">
        <f t="shared" si="1"/>
        <v>7.7512863026233487E-4</v>
      </c>
    </row>
    <row r="47" spans="1:7" x14ac:dyDescent="0.2">
      <c r="A47" s="12" t="s">
        <v>290</v>
      </c>
      <c r="B47" s="13">
        <v>265172.26</v>
      </c>
      <c r="C47" s="13">
        <v>2671525.59</v>
      </c>
      <c r="D47" s="70">
        <f t="shared" si="0"/>
        <v>3.4346820598007574E-5</v>
      </c>
      <c r="F47" s="8" t="str">
        <v>Cabo Verde</v>
      </c>
      <c r="G47" s="70">
        <f t="shared" si="1"/>
        <v>3.4346820598007574E-5</v>
      </c>
    </row>
    <row r="48" spans="1:7" x14ac:dyDescent="0.2">
      <c r="A48" s="12" t="s">
        <v>373</v>
      </c>
      <c r="B48" s="13">
        <v>6412357.29</v>
      </c>
      <c r="C48" s="13">
        <v>30648274.120000001</v>
      </c>
      <c r="D48" s="70">
        <f t="shared" si="0"/>
        <v>8.3056985466713608E-4</v>
      </c>
      <c r="F48" s="8" t="str">
        <v>Mozambique</v>
      </c>
      <c r="G48" s="70"/>
    </row>
    <row r="49" spans="1:7" x14ac:dyDescent="0.2">
      <c r="A49" s="12" t="s">
        <v>409</v>
      </c>
      <c r="B49" s="13">
        <v>157421502.09</v>
      </c>
      <c r="C49" s="13">
        <v>770324787.82000005</v>
      </c>
      <c r="D49" s="70">
        <f t="shared" si="0"/>
        <v>2.0390247797994046E-2</v>
      </c>
      <c r="F49" s="8" t="str">
        <v>Sudáfrica</v>
      </c>
      <c r="G49" s="70">
        <f t="shared" si="1"/>
        <v>2.0390247797994046E-2</v>
      </c>
    </row>
    <row r="50" spans="1:7" x14ac:dyDescent="0.2">
      <c r="A50" s="12" t="s">
        <v>315</v>
      </c>
      <c r="B50" s="13">
        <v>628189.47</v>
      </c>
      <c r="C50" s="13">
        <v>8375861.0899999999</v>
      </c>
      <c r="D50" s="70">
        <f t="shared" si="0"/>
        <v>8.1367149895873189E-5</v>
      </c>
      <c r="F50" s="8" t="str">
        <v>Eritrea</v>
      </c>
      <c r="G50" s="70">
        <f t="shared" si="1"/>
        <v>8.1367149895873189E-5</v>
      </c>
    </row>
    <row r="51" spans="1:7" x14ac:dyDescent="0.2">
      <c r="A51" s="12" t="s">
        <v>1</v>
      </c>
      <c r="B51" s="13" t="s">
        <v>466</v>
      </c>
      <c r="C51" s="13" t="s">
        <v>466</v>
      </c>
      <c r="D51" s="70" t="e">
        <f t="shared" si="0"/>
        <v>#VALUE!</v>
      </c>
      <c r="F51" s="8" t="str">
        <v xml:space="preserve">   </v>
      </c>
      <c r="G51" s="70" t="e">
        <f t="shared" si="1"/>
        <v>#VALUE!</v>
      </c>
    </row>
    <row r="52" spans="1:7" x14ac:dyDescent="0.2">
      <c r="A52" s="12" t="s">
        <v>3</v>
      </c>
      <c r="B52" s="13">
        <v>2066063238.49</v>
      </c>
      <c r="C52" s="13">
        <v>3877798494.3400002</v>
      </c>
      <c r="D52" s="70">
        <f t="shared" si="0"/>
        <v>0.26760982991416432</v>
      </c>
      <c r="F52" s="8" t="str">
        <v xml:space="preserve">   AMERICA</v>
      </c>
      <c r="G52" s="70">
        <f t="shared" si="1"/>
        <v>0.26760982991416432</v>
      </c>
    </row>
    <row r="53" spans="1:7" x14ac:dyDescent="0.2">
      <c r="A53" s="12" t="s">
        <v>277</v>
      </c>
      <c r="B53" s="13">
        <v>555070.14</v>
      </c>
      <c r="C53" s="13">
        <v>269203.02</v>
      </c>
      <c r="D53" s="70">
        <f t="shared" si="0"/>
        <v>7.1896262896771129E-5</v>
      </c>
      <c r="F53" s="8" t="str">
        <v>Barbados</v>
      </c>
      <c r="G53" s="70">
        <f t="shared" si="1"/>
        <v>7.1896262896771129E-5</v>
      </c>
    </row>
    <row r="54" spans="1:7" x14ac:dyDescent="0.2">
      <c r="A54" s="12" t="s">
        <v>282</v>
      </c>
      <c r="B54" s="13">
        <v>47278571.039999999</v>
      </c>
      <c r="C54" s="13">
        <v>103583038</v>
      </c>
      <c r="D54" s="70">
        <f t="shared" si="0"/>
        <v>6.1238253112940108E-3</v>
      </c>
      <c r="F54" s="8" t="str">
        <v>Bolivia</v>
      </c>
      <c r="G54" s="70">
        <f t="shared" si="1"/>
        <v>6.1238253112940108E-3</v>
      </c>
    </row>
    <row r="55" spans="1:7" x14ac:dyDescent="0.2">
      <c r="A55" s="12" t="s">
        <v>285</v>
      </c>
      <c r="B55" s="13">
        <v>560508175.99000001</v>
      </c>
      <c r="C55" s="13">
        <v>1072244540.55</v>
      </c>
      <c r="D55" s="70">
        <f t="shared" si="0"/>
        <v>7.2600632375516908E-2</v>
      </c>
      <c r="F55" s="8" t="str">
        <v>Brasil</v>
      </c>
      <c r="G55" s="70">
        <f t="shared" si="1"/>
        <v>7.2600632375516908E-2</v>
      </c>
    </row>
    <row r="56" spans="1:7" x14ac:dyDescent="0.2">
      <c r="A56" s="12" t="s">
        <v>293</v>
      </c>
      <c r="B56" s="13">
        <v>16879514.260000002</v>
      </c>
      <c r="C56" s="13">
        <v>9812125.9100000001</v>
      </c>
      <c r="D56" s="70">
        <f t="shared" si="0"/>
        <v>2.1863435039160229E-3</v>
      </c>
      <c r="F56" s="8" t="str">
        <v>Canadá</v>
      </c>
      <c r="G56" s="70">
        <f t="shared" si="1"/>
        <v>2.1863435039160229E-3</v>
      </c>
    </row>
    <row r="57" spans="1:7" x14ac:dyDescent="0.2">
      <c r="A57" s="12" t="s">
        <v>298</v>
      </c>
      <c r="B57" s="13">
        <v>42302126.039999999</v>
      </c>
      <c r="C57" s="13">
        <v>141617852.21000001</v>
      </c>
      <c r="D57" s="70">
        <f t="shared" si="0"/>
        <v>5.4792440733061011E-3</v>
      </c>
      <c r="F57" s="8" t="str">
        <v>Colombia</v>
      </c>
      <c r="G57" s="70">
        <f t="shared" si="1"/>
        <v>5.4792440733061011E-3</v>
      </c>
    </row>
    <row r="58" spans="1:7" x14ac:dyDescent="0.2">
      <c r="A58" s="12" t="s">
        <v>302</v>
      </c>
      <c r="B58" s="13">
        <v>1607878.33</v>
      </c>
      <c r="C58" s="13">
        <v>409304.9</v>
      </c>
      <c r="D58" s="70">
        <f t="shared" si="0"/>
        <v>2.0826276679142088E-4</v>
      </c>
      <c r="F58" s="8" t="str">
        <v>Costa Rica</v>
      </c>
      <c r="G58" s="70">
        <f t="shared" si="1"/>
        <v>2.0826276679142088E-4</v>
      </c>
    </row>
    <row r="59" spans="1:7" x14ac:dyDescent="0.2">
      <c r="A59" s="12" t="s">
        <v>442</v>
      </c>
      <c r="B59" s="13">
        <v>15185536.59</v>
      </c>
      <c r="C59" s="13">
        <v>36624999.990000002</v>
      </c>
      <c r="D59" s="70">
        <f t="shared" si="0"/>
        <v>1.9669285955522258E-3</v>
      </c>
      <c r="F59" s="8" t="str">
        <v>Cuba</v>
      </c>
      <c r="G59" s="70">
        <f t="shared" si="1"/>
        <v>1.9669285955522258E-3</v>
      </c>
    </row>
    <row r="60" spans="1:7" x14ac:dyDescent="0.2">
      <c r="A60" s="12" t="s">
        <v>296</v>
      </c>
      <c r="B60" s="13">
        <v>317251061.86000001</v>
      </c>
      <c r="C60" s="13">
        <v>647579454.41999996</v>
      </c>
      <c r="D60" s="70">
        <f t="shared" si="0"/>
        <v>4.1092402750698066E-2</v>
      </c>
      <c r="F60" s="8" t="str">
        <v>Chile</v>
      </c>
      <c r="G60" s="70">
        <f t="shared" si="1"/>
        <v>4.1092402750698066E-2</v>
      </c>
    </row>
    <row r="61" spans="1:7" x14ac:dyDescent="0.2">
      <c r="A61" s="12" t="s">
        <v>311</v>
      </c>
      <c r="B61" s="13">
        <v>51510610.049999997</v>
      </c>
      <c r="C61" s="13">
        <v>119804338.45</v>
      </c>
      <c r="D61" s="70">
        <f t="shared" si="0"/>
        <v>6.6719862865040102E-3</v>
      </c>
      <c r="F61" s="8" t="str">
        <v>República Dominicana</v>
      </c>
      <c r="G61" s="70">
        <f t="shared" si="1"/>
        <v>6.6719862865040102E-3</v>
      </c>
    </row>
    <row r="62" spans="1:7" x14ac:dyDescent="0.2">
      <c r="A62" s="12" t="s">
        <v>312</v>
      </c>
      <c r="B62" s="13">
        <v>52455246.520000003</v>
      </c>
      <c r="C62" s="13">
        <v>215954568.81999999</v>
      </c>
      <c r="D62" s="70">
        <f t="shared" si="0"/>
        <v>6.794341691874939E-3</v>
      </c>
      <c r="F62" s="8" t="str">
        <v>Ecuador</v>
      </c>
      <c r="G62" s="70">
        <f t="shared" si="1"/>
        <v>6.794341691874939E-3</v>
      </c>
    </row>
    <row r="63" spans="1:7" x14ac:dyDescent="0.2">
      <c r="A63" s="12" t="s">
        <v>314</v>
      </c>
      <c r="B63" s="13">
        <v>2648871.75</v>
      </c>
      <c r="C63" s="13">
        <v>3550430.06</v>
      </c>
      <c r="D63" s="70">
        <f t="shared" si="0"/>
        <v>3.4309894550953543E-4</v>
      </c>
      <c r="F63" s="8" t="str">
        <v>El Salvador</v>
      </c>
      <c r="G63" s="70">
        <f t="shared" si="1"/>
        <v>3.4309894550953543E-4</v>
      </c>
    </row>
    <row r="64" spans="1:7" x14ac:dyDescent="0.2">
      <c r="A64" s="12" t="s">
        <v>432</v>
      </c>
      <c r="B64" s="13">
        <v>349135148.42000002</v>
      </c>
      <c r="C64" s="13">
        <v>355157823.04000002</v>
      </c>
      <c r="D64" s="70">
        <f t="shared" si="0"/>
        <v>4.5222235188705211E-2</v>
      </c>
      <c r="F64" s="8" t="str">
        <v>Estados Unidos</v>
      </c>
      <c r="G64" s="70">
        <f t="shared" si="1"/>
        <v>4.5222235188705211E-2</v>
      </c>
    </row>
    <row r="65" spans="1:7" x14ac:dyDescent="0.2">
      <c r="A65" s="12" t="s">
        <v>328</v>
      </c>
      <c r="B65" s="13">
        <v>21716049.829999998</v>
      </c>
      <c r="C65" s="13">
        <v>45637493.859999999</v>
      </c>
      <c r="D65" s="70">
        <f t="shared" si="0"/>
        <v>2.8128027705778985E-3</v>
      </c>
      <c r="F65" s="8" t="str">
        <v>Guatemala</v>
      </c>
      <c r="G65" s="70">
        <f t="shared" si="1"/>
        <v>2.8128027705778985E-3</v>
      </c>
    </row>
    <row r="66" spans="1:7" x14ac:dyDescent="0.2">
      <c r="A66" s="12" t="s">
        <v>332</v>
      </c>
      <c r="B66" s="13">
        <v>185749.77</v>
      </c>
      <c r="C66" s="13">
        <v>140579.49</v>
      </c>
      <c r="D66" s="70">
        <f t="shared" si="0"/>
        <v>2.4059507681200018E-5</v>
      </c>
      <c r="F66" s="8" t="str">
        <v>Guyana</v>
      </c>
      <c r="G66" s="70">
        <f t="shared" si="1"/>
        <v>2.4059507681200018E-5</v>
      </c>
    </row>
    <row r="67" spans="1:7" x14ac:dyDescent="0.2">
      <c r="A67" s="12" t="s">
        <v>333</v>
      </c>
      <c r="B67" s="13">
        <v>497728.74</v>
      </c>
      <c r="C67" s="13">
        <v>1049297.04</v>
      </c>
      <c r="D67" s="70">
        <f t="shared" si="0"/>
        <v>6.4469035106659938E-5</v>
      </c>
      <c r="F67" s="8" t="str">
        <v>Haití</v>
      </c>
      <c r="G67" s="70">
        <f t="shared" si="1"/>
        <v>6.4469035106659938E-5</v>
      </c>
    </row>
    <row r="68" spans="1:7" x14ac:dyDescent="0.2">
      <c r="A68" s="12" t="s">
        <v>334</v>
      </c>
      <c r="B68" s="13">
        <v>2034573.25</v>
      </c>
      <c r="C68" s="13">
        <v>6431491.7400000002</v>
      </c>
      <c r="D68" s="70">
        <f t="shared" si="0"/>
        <v>2.6353104359881088E-4</v>
      </c>
      <c r="F68" s="8" t="str">
        <v>Honduras</v>
      </c>
      <c r="G68" s="70">
        <f t="shared" si="1"/>
        <v>2.6353104359881088E-4</v>
      </c>
    </row>
    <row r="69" spans="1:7" x14ac:dyDescent="0.2">
      <c r="A69" s="12" t="s">
        <v>345</v>
      </c>
      <c r="B69" s="13">
        <v>3507860.51</v>
      </c>
      <c r="C69" s="13">
        <v>6181597.9900000002</v>
      </c>
      <c r="D69" s="70">
        <f t="shared" si="0"/>
        <v>4.5436070733720542E-4</v>
      </c>
      <c r="F69" s="8" t="str">
        <v>Jamaica</v>
      </c>
      <c r="G69" s="70">
        <f t="shared" si="1"/>
        <v>4.5436070733720542E-4</v>
      </c>
    </row>
    <row r="70" spans="1:7" x14ac:dyDescent="0.2">
      <c r="A70" s="12" t="s">
        <v>368</v>
      </c>
      <c r="B70" s="13">
        <v>149088874.75</v>
      </c>
      <c r="C70" s="13">
        <v>30052073.399999999</v>
      </c>
      <c r="D70" s="70">
        <f t="shared" si="0"/>
        <v>1.9310952187069158E-2</v>
      </c>
      <c r="F70" s="8" t="str">
        <v>México</v>
      </c>
      <c r="G70" s="70">
        <f t="shared" si="1"/>
        <v>1.9310952187069158E-2</v>
      </c>
    </row>
    <row r="71" spans="1:7" x14ac:dyDescent="0.2">
      <c r="A71" s="12" t="s">
        <v>380</v>
      </c>
      <c r="B71" s="13">
        <v>6398769.1500000004</v>
      </c>
      <c r="C71" s="13">
        <v>11329156.35</v>
      </c>
      <c r="D71" s="70">
        <f t="shared" si="0"/>
        <v>8.2880983117583802E-4</v>
      </c>
      <c r="F71" s="8" t="str">
        <v>Nicaragua</v>
      </c>
      <c r="G71" s="70">
        <f t="shared" si="1"/>
        <v>8.2880983117583802E-4</v>
      </c>
    </row>
    <row r="72" spans="1:7" x14ac:dyDescent="0.2">
      <c r="A72" s="12" t="s">
        <v>387</v>
      </c>
      <c r="B72" s="13">
        <v>3290013.32</v>
      </c>
      <c r="C72" s="13">
        <v>8800452.9399999995</v>
      </c>
      <c r="D72" s="70">
        <f t="shared" si="0"/>
        <v>4.2614373489555536E-4</v>
      </c>
      <c r="F72" s="8" t="str">
        <v>Panamá</v>
      </c>
      <c r="G72" s="70">
        <f t="shared" si="1"/>
        <v>4.2614373489555536E-4</v>
      </c>
    </row>
    <row r="73" spans="1:7" x14ac:dyDescent="0.2">
      <c r="A73" s="12" t="s">
        <v>389</v>
      </c>
      <c r="B73" s="13">
        <v>47614990.759999998</v>
      </c>
      <c r="C73" s="13">
        <v>72762877.299999997</v>
      </c>
      <c r="D73" s="70">
        <f t="shared" si="0"/>
        <v>6.167400562221358E-3</v>
      </c>
      <c r="F73" s="8" t="str">
        <v>Paraguay</v>
      </c>
      <c r="G73" s="70">
        <f t="shared" si="1"/>
        <v>6.167400562221358E-3</v>
      </c>
    </row>
    <row r="74" spans="1:7" x14ac:dyDescent="0.2">
      <c r="A74" s="12" t="s">
        <v>390</v>
      </c>
      <c r="B74" s="13">
        <v>177450823.03</v>
      </c>
      <c r="C74" s="13">
        <v>693273054.29999995</v>
      </c>
      <c r="D74" s="70">
        <f t="shared" si="0"/>
        <v>2.298457456892437E-2</v>
      </c>
      <c r="F74" s="8" t="str">
        <v>Perú</v>
      </c>
      <c r="G74" s="70">
        <f t="shared" si="1"/>
        <v>2.298457456892437E-2</v>
      </c>
    </row>
    <row r="75" spans="1:7" x14ac:dyDescent="0.2">
      <c r="A75" s="12" t="s">
        <v>394</v>
      </c>
      <c r="B75" s="13">
        <v>5367476.13</v>
      </c>
      <c r="C75" s="13">
        <v>16762044.67</v>
      </c>
      <c r="D75" s="70">
        <f t="shared" ref="D75:D138" si="2">+B75/$B$8</f>
        <v>6.952301108011749E-4</v>
      </c>
      <c r="F75" s="8" t="str">
        <v>Puerto Rico(Estado Asociado)</v>
      </c>
      <c r="G75" s="70">
        <f t="shared" ref="G75:G138" si="3">+SUMIF(A75:A220,F75,D75:D220)</f>
        <v>6.952301108011749E-4</v>
      </c>
    </row>
    <row r="76" spans="1:7" x14ac:dyDescent="0.2">
      <c r="A76" s="12" t="s">
        <v>425</v>
      </c>
      <c r="B76" s="13">
        <v>4433750.2</v>
      </c>
      <c r="C76" s="13">
        <v>5088237.4400000004</v>
      </c>
      <c r="D76" s="70">
        <f t="shared" si="2"/>
        <v>5.7428790890789332E-4</v>
      </c>
      <c r="F76" s="8" t="str">
        <v>Trinidad y Tobago</v>
      </c>
      <c r="G76" s="70">
        <f t="shared" si="3"/>
        <v>5.7428790890789332E-4</v>
      </c>
    </row>
    <row r="77" spans="1:7" x14ac:dyDescent="0.2">
      <c r="A77" s="12" t="s">
        <v>433</v>
      </c>
      <c r="B77" s="13">
        <v>76634511.359999999</v>
      </c>
      <c r="C77" s="13">
        <v>134890844.06999999</v>
      </c>
      <c r="D77" s="70">
        <f t="shared" si="2"/>
        <v>9.9261959501265075E-3</v>
      </c>
      <c r="F77" s="8" t="str">
        <v>Uruguay</v>
      </c>
      <c r="G77" s="70">
        <f t="shared" si="3"/>
        <v>9.9261959501265075E-3</v>
      </c>
    </row>
    <row r="78" spans="1:7" x14ac:dyDescent="0.2">
      <c r="A78" s="12" t="s">
        <v>435</v>
      </c>
      <c r="B78" s="13">
        <v>80830922.769999996</v>
      </c>
      <c r="C78" s="13">
        <v>77685236.799999997</v>
      </c>
      <c r="D78" s="70">
        <f t="shared" si="2"/>
        <v>1.0469742208904488E-2</v>
      </c>
      <c r="F78" s="8" t="str">
        <v>Venezuela</v>
      </c>
      <c r="G78" s="70">
        <f t="shared" si="3"/>
        <v>1.0469742208904488E-2</v>
      </c>
    </row>
    <row r="79" spans="1:7" x14ac:dyDescent="0.2">
      <c r="A79" s="12" t="s">
        <v>66</v>
      </c>
      <c r="B79" s="13">
        <v>800368.5</v>
      </c>
      <c r="C79" s="13">
        <v>1227015</v>
      </c>
      <c r="D79" s="70">
        <f t="shared" si="2"/>
        <v>1.0366888784594748E-4</v>
      </c>
      <c r="F79" s="8" t="str">
        <v>Suriname</v>
      </c>
      <c r="G79" s="70">
        <f t="shared" si="3"/>
        <v>4.0907534593479066E-6</v>
      </c>
    </row>
    <row r="80" spans="1:7" x14ac:dyDescent="0.2">
      <c r="A80" s="12" t="s">
        <v>417</v>
      </c>
      <c r="B80" s="13">
        <v>31582.38</v>
      </c>
      <c r="C80" s="13">
        <v>10257.24</v>
      </c>
      <c r="D80" s="70">
        <f t="shared" si="2"/>
        <v>4.0907534593479066E-6</v>
      </c>
      <c r="F80" s="8" t="str">
        <v>Dominica</v>
      </c>
      <c r="G80" s="70">
        <f t="shared" si="3"/>
        <v>5.5828489051431036E-8</v>
      </c>
    </row>
    <row r="81" spans="1:7" x14ac:dyDescent="0.2">
      <c r="A81" s="12" t="s">
        <v>310</v>
      </c>
      <c r="B81" s="13">
        <v>431.02</v>
      </c>
      <c r="C81" s="13">
        <v>33.86</v>
      </c>
      <c r="D81" s="70">
        <f t="shared" si="2"/>
        <v>5.5828489051431036E-8</v>
      </c>
      <c r="F81" s="8" t="str">
        <v>Santa Lucía</v>
      </c>
      <c r="G81" s="70">
        <f t="shared" si="3"/>
        <v>2.3904879009143973E-5</v>
      </c>
    </row>
    <row r="82" spans="1:7" x14ac:dyDescent="0.2">
      <c r="A82" s="12" t="s">
        <v>468</v>
      </c>
      <c r="B82" s="13">
        <v>184555.97</v>
      </c>
      <c r="C82" s="13">
        <v>145300.60999999999</v>
      </c>
      <c r="D82" s="70">
        <f t="shared" si="2"/>
        <v>2.3904879009143973E-5</v>
      </c>
      <c r="F82" s="8" t="str">
        <v>San Vicente y las Granadinas</v>
      </c>
      <c r="G82" s="70">
        <f t="shared" si="3"/>
        <v>2.7726334033183006E-5</v>
      </c>
    </row>
    <row r="83" spans="1:7" x14ac:dyDescent="0.2">
      <c r="A83" s="12" t="s">
        <v>415</v>
      </c>
      <c r="B83" s="13">
        <v>214059.25</v>
      </c>
      <c r="C83" s="13">
        <v>95047.52</v>
      </c>
      <c r="D83" s="70">
        <f t="shared" si="2"/>
        <v>2.7726334033183006E-5</v>
      </c>
      <c r="F83" s="8" t="str">
        <v>Belice</v>
      </c>
      <c r="G83" s="70">
        <f t="shared" si="3"/>
        <v>1.3135678490607583E-6</v>
      </c>
    </row>
    <row r="84" spans="1:7" x14ac:dyDescent="0.2">
      <c r="A84" s="12" t="s">
        <v>280</v>
      </c>
      <c r="B84" s="13">
        <v>10141.31</v>
      </c>
      <c r="C84" s="13">
        <v>374</v>
      </c>
      <c r="D84" s="70">
        <f t="shared" si="2"/>
        <v>1.3135678490607583E-6</v>
      </c>
      <c r="F84" s="8" t="str">
        <v>Antigua y Barbuda</v>
      </c>
      <c r="G84" s="70">
        <f t="shared" si="3"/>
        <v>2.0116661766589529E-6</v>
      </c>
    </row>
    <row r="85" spans="1:7" x14ac:dyDescent="0.2">
      <c r="A85" s="12" t="s">
        <v>268</v>
      </c>
      <c r="B85" s="13">
        <v>15530.93</v>
      </c>
      <c r="C85" s="13">
        <v>28772.400000000001</v>
      </c>
      <c r="D85" s="70">
        <f t="shared" si="2"/>
        <v>2.0116661766589529E-6</v>
      </c>
      <c r="F85" s="8" t="str">
        <v>San Cristóbal y Nevis</v>
      </c>
      <c r="G85" s="70">
        <f t="shared" si="3"/>
        <v>2.1815670529910825E-5</v>
      </c>
    </row>
    <row r="86" spans="1:7" x14ac:dyDescent="0.2">
      <c r="A86" s="12" t="s">
        <v>472</v>
      </c>
      <c r="B86" s="13">
        <v>168426.38</v>
      </c>
      <c r="C86" s="13">
        <v>65659.88</v>
      </c>
      <c r="D86" s="70">
        <f t="shared" si="2"/>
        <v>2.1815670529910825E-5</v>
      </c>
      <c r="F86" s="8" t="str">
        <v>Bahamas</v>
      </c>
      <c r="G86" s="70">
        <f t="shared" si="3"/>
        <v>1.3341439437242789E-3</v>
      </c>
    </row>
    <row r="87" spans="1:7" x14ac:dyDescent="0.2">
      <c r="A87" s="12" t="s">
        <v>274</v>
      </c>
      <c r="B87" s="13">
        <v>10300166.32</v>
      </c>
      <c r="C87" s="13">
        <v>32486119.870000001</v>
      </c>
      <c r="D87" s="70">
        <f t="shared" si="2"/>
        <v>1.3341439437242789E-3</v>
      </c>
      <c r="F87" s="8" t="str">
        <v>Grenada</v>
      </c>
      <c r="G87" s="70">
        <f t="shared" si="3"/>
        <v>2.5477204431282138E-5</v>
      </c>
    </row>
    <row r="88" spans="1:7" x14ac:dyDescent="0.2">
      <c r="A88" s="12" t="s">
        <v>327</v>
      </c>
      <c r="B88" s="13">
        <v>196695</v>
      </c>
      <c r="C88" s="13">
        <v>75858</v>
      </c>
      <c r="D88" s="70">
        <f t="shared" si="2"/>
        <v>2.5477204431282138E-5</v>
      </c>
      <c r="F88" s="8" t="str">
        <v>Antillas Holandesas</v>
      </c>
      <c r="G88" s="70">
        <f t="shared" si="3"/>
        <v>2.0413161494003611E-3</v>
      </c>
    </row>
    <row r="89" spans="1:7" x14ac:dyDescent="0.2">
      <c r="A89" s="12" t="s">
        <v>377</v>
      </c>
      <c r="B89" s="13">
        <v>15759840.57</v>
      </c>
      <c r="C89" s="13">
        <v>26345427.25</v>
      </c>
      <c r="D89" s="70">
        <f t="shared" si="2"/>
        <v>2.0413161494003611E-3</v>
      </c>
      <c r="F89" s="8" t="str">
        <v>Aruba</v>
      </c>
      <c r="G89" s="70">
        <f t="shared" si="3"/>
        <v>2.3393661309300675E-4</v>
      </c>
    </row>
    <row r="90" spans="1:7" x14ac:dyDescent="0.2">
      <c r="A90" s="12" t="s">
        <v>270</v>
      </c>
      <c r="B90" s="13">
        <v>1806091.49</v>
      </c>
      <c r="C90" s="13">
        <v>552614.68999999994</v>
      </c>
      <c r="D90" s="70">
        <f t="shared" si="2"/>
        <v>2.3393661309300675E-4</v>
      </c>
      <c r="F90" s="8" t="str">
        <v>Punta Arenas (Chile)</v>
      </c>
      <c r="G90" s="70">
        <f t="shared" si="3"/>
        <v>1.1963370889040214E-5</v>
      </c>
    </row>
    <row r="91" spans="1:7" x14ac:dyDescent="0.2">
      <c r="A91" s="12" t="s">
        <v>446</v>
      </c>
      <c r="B91" s="13">
        <v>92362.38</v>
      </c>
      <c r="C91" s="13">
        <v>55307.34</v>
      </c>
      <c r="D91" s="70">
        <f t="shared" si="2"/>
        <v>1.1963370889040214E-5</v>
      </c>
      <c r="F91" s="8" t="str">
        <v>Florida (Uruguay)</v>
      </c>
      <c r="G91" s="70">
        <f t="shared" si="3"/>
        <v>1.37206069712056E-7</v>
      </c>
    </row>
    <row r="92" spans="1:7" x14ac:dyDescent="0.2">
      <c r="A92" s="12" t="s">
        <v>469</v>
      </c>
      <c r="B92" s="13">
        <v>1059.29</v>
      </c>
      <c r="C92" s="13">
        <v>240</v>
      </c>
      <c r="D92" s="70">
        <f t="shared" si="2"/>
        <v>1.37206069712056E-7</v>
      </c>
      <c r="F92" s="8" t="str">
        <v>Zonamérica (ex Montevideo)</v>
      </c>
      <c r="G92" s="70">
        <f t="shared" si="3"/>
        <v>1.4509959271024374E-5</v>
      </c>
    </row>
    <row r="93" spans="1:7" x14ac:dyDescent="0.2">
      <c r="A93" s="12" t="s">
        <v>480</v>
      </c>
      <c r="B93" s="13">
        <v>112023.14</v>
      </c>
      <c r="C93" s="13">
        <v>18349.919999999998</v>
      </c>
      <c r="D93" s="70">
        <f t="shared" si="2"/>
        <v>1.4509959271024374E-5</v>
      </c>
      <c r="F93" s="8" t="str">
        <v xml:space="preserve">   ASIA</v>
      </c>
      <c r="G93" s="70">
        <f t="shared" si="3"/>
        <v>0.35359324640420819</v>
      </c>
    </row>
    <row r="94" spans="1:7" x14ac:dyDescent="0.2">
      <c r="A94" s="12" t="s">
        <v>1</v>
      </c>
      <c r="B94" s="13" t="s">
        <v>466</v>
      </c>
      <c r="C94" s="13" t="s">
        <v>466</v>
      </c>
      <c r="D94" s="70" t="e">
        <f t="shared" si="2"/>
        <v>#VALUE!</v>
      </c>
      <c r="F94" s="8" t="str">
        <v>Arabia Saudita</v>
      </c>
      <c r="G94" s="70">
        <f t="shared" si="3"/>
        <v>5.4001864706231867E-3</v>
      </c>
    </row>
    <row r="95" spans="1:7" x14ac:dyDescent="0.2">
      <c r="A95" s="12" t="s">
        <v>4</v>
      </c>
      <c r="B95" s="13">
        <v>2729892276.4099998</v>
      </c>
      <c r="C95" s="13">
        <v>9701453292.7999992</v>
      </c>
      <c r="D95" s="70">
        <f t="shared" si="2"/>
        <v>0.35359324640420819</v>
      </c>
      <c r="F95" s="8" t="str">
        <v>Bahrein</v>
      </c>
      <c r="G95" s="70">
        <f t="shared" si="3"/>
        <v>2.9532860109371019E-5</v>
      </c>
    </row>
    <row r="96" spans="1:7" x14ac:dyDescent="0.2">
      <c r="A96" s="12" t="s">
        <v>400</v>
      </c>
      <c r="B96" s="13">
        <v>41691767.270000003</v>
      </c>
      <c r="C96" s="13">
        <v>297259826.19</v>
      </c>
      <c r="D96" s="70">
        <f t="shared" si="2"/>
        <v>5.4001864706231867E-3</v>
      </c>
      <c r="F96" s="8" t="str">
        <v>Myanmar (ex Birmania) Unión de</v>
      </c>
      <c r="G96" s="70">
        <f t="shared" si="3"/>
        <v>1.7314059181668809E-6</v>
      </c>
    </row>
    <row r="97" spans="1:7" x14ac:dyDescent="0.2">
      <c r="A97" s="12" t="s">
        <v>275</v>
      </c>
      <c r="B97" s="13">
        <v>228006.41</v>
      </c>
      <c r="C97" s="13">
        <v>1305174.1499999999</v>
      </c>
      <c r="D97" s="70">
        <f t="shared" si="2"/>
        <v>2.9532860109371019E-5</v>
      </c>
      <c r="F97" s="8" t="str">
        <v>Camboya (ex Kampuchea)</v>
      </c>
      <c r="G97" s="70">
        <f t="shared" si="3"/>
        <v>2.3186912231308978E-4</v>
      </c>
    </row>
    <row r="98" spans="1:7" x14ac:dyDescent="0.2">
      <c r="A98" s="12" t="s">
        <v>374</v>
      </c>
      <c r="B98" s="13">
        <v>13367.2</v>
      </c>
      <c r="C98" s="13">
        <v>2695</v>
      </c>
      <c r="D98" s="70">
        <f t="shared" si="2"/>
        <v>1.7314059181668809E-6</v>
      </c>
      <c r="F98" s="8" t="str">
        <v>Sri Lanka</v>
      </c>
      <c r="G98" s="70">
        <f t="shared" si="3"/>
        <v>4.6265968956198935E-4</v>
      </c>
    </row>
    <row r="99" spans="1:7" x14ac:dyDescent="0.2">
      <c r="A99" s="12" t="s">
        <v>291</v>
      </c>
      <c r="B99" s="13">
        <v>1790129.57</v>
      </c>
      <c r="C99" s="13">
        <v>92929</v>
      </c>
      <c r="D99" s="70">
        <f t="shared" si="2"/>
        <v>2.3186912231308978E-4</v>
      </c>
      <c r="F99" s="8" t="str">
        <v>Corea Republicana</v>
      </c>
      <c r="G99" s="70">
        <f t="shared" si="3"/>
        <v>2.179605184163538E-2</v>
      </c>
    </row>
    <row r="100" spans="1:7" x14ac:dyDescent="0.2">
      <c r="A100" s="12" t="s">
        <v>412</v>
      </c>
      <c r="B100" s="13">
        <v>3571932.23</v>
      </c>
      <c r="C100" s="13">
        <v>29940219.75</v>
      </c>
      <c r="D100" s="70">
        <f t="shared" si="2"/>
        <v>4.6265968956198935E-4</v>
      </c>
      <c r="F100" s="8" t="str">
        <v>China</v>
      </c>
      <c r="G100" s="70">
        <f t="shared" si="3"/>
        <v>0.13905759380429131</v>
      </c>
    </row>
    <row r="101" spans="1:7" x14ac:dyDescent="0.2">
      <c r="A101" s="12" t="s">
        <v>350</v>
      </c>
      <c r="B101" s="13">
        <v>168274915.27000001</v>
      </c>
      <c r="C101" s="13">
        <v>597796820.73000002</v>
      </c>
      <c r="D101" s="70">
        <f t="shared" si="2"/>
        <v>2.179605184163538E-2</v>
      </c>
      <c r="F101" s="8" t="str">
        <v>Filipinas</v>
      </c>
      <c r="G101" s="70">
        <f t="shared" si="3"/>
        <v>1.7776370245618477E-2</v>
      </c>
    </row>
    <row r="102" spans="1:7" x14ac:dyDescent="0.2">
      <c r="A102" s="12" t="s">
        <v>297</v>
      </c>
      <c r="B102" s="13">
        <v>1073584564.08</v>
      </c>
      <c r="C102" s="13">
        <v>3234818930.6399999</v>
      </c>
      <c r="D102" s="70">
        <f t="shared" si="2"/>
        <v>0.13905759380429131</v>
      </c>
      <c r="F102" s="8" t="str">
        <v>Taiwan</v>
      </c>
      <c r="G102" s="70">
        <f t="shared" si="3"/>
        <v>2.9613196129015893E-3</v>
      </c>
    </row>
    <row r="103" spans="1:7" x14ac:dyDescent="0.2">
      <c r="A103" s="12" t="s">
        <v>391</v>
      </c>
      <c r="B103" s="13">
        <v>137241240.69</v>
      </c>
      <c r="C103" s="13">
        <v>687978291.87</v>
      </c>
      <c r="D103" s="70">
        <f t="shared" si="2"/>
        <v>1.7776370245618477E-2</v>
      </c>
      <c r="F103" s="8" t="str">
        <v>India</v>
      </c>
      <c r="G103" s="70">
        <f t="shared" si="3"/>
        <v>5.2631717727388977E-2</v>
      </c>
    </row>
    <row r="104" spans="1:7" x14ac:dyDescent="0.2">
      <c r="A104" s="12" t="s">
        <v>421</v>
      </c>
      <c r="B104" s="13">
        <v>22862663.870000001</v>
      </c>
      <c r="C104" s="13">
        <v>70757800.780000001</v>
      </c>
      <c r="D104" s="70">
        <f t="shared" si="2"/>
        <v>2.9613196129015893E-3</v>
      </c>
      <c r="F104" s="8" t="str">
        <v>Indonesia</v>
      </c>
      <c r="G104" s="70">
        <f t="shared" si="3"/>
        <v>1.6921100521356158E-2</v>
      </c>
    </row>
    <row r="105" spans="1:7" x14ac:dyDescent="0.2">
      <c r="A105" s="12" t="s">
        <v>338</v>
      </c>
      <c r="B105" s="13">
        <v>406339547.43000001</v>
      </c>
      <c r="C105" s="13">
        <v>858713627.79999995</v>
      </c>
      <c r="D105" s="70">
        <f t="shared" si="2"/>
        <v>5.2631717727388977E-2</v>
      </c>
      <c r="F105" s="8" t="str">
        <v>Iraq</v>
      </c>
      <c r="G105" s="70">
        <f t="shared" si="3"/>
        <v>1.6379363442651254E-4</v>
      </c>
    </row>
    <row r="106" spans="1:7" x14ac:dyDescent="0.2">
      <c r="A106" s="12" t="s">
        <v>339</v>
      </c>
      <c r="B106" s="13">
        <v>130638189.76000001</v>
      </c>
      <c r="C106" s="13">
        <v>689334477.75999999</v>
      </c>
      <c r="D106" s="70">
        <f t="shared" si="2"/>
        <v>1.6921100521356158E-2</v>
      </c>
      <c r="F106" s="8" t="str">
        <v>Irán</v>
      </c>
      <c r="G106" s="70">
        <f t="shared" si="3"/>
        <v>5.966896114837279E-6</v>
      </c>
    </row>
    <row r="107" spans="1:7" x14ac:dyDescent="0.2">
      <c r="A107" s="12" t="s">
        <v>341</v>
      </c>
      <c r="B107" s="13">
        <v>1264557.46</v>
      </c>
      <c r="C107" s="13">
        <v>9733867.3000000007</v>
      </c>
      <c r="D107" s="70">
        <f t="shared" si="2"/>
        <v>1.6379363442651254E-4</v>
      </c>
      <c r="F107" s="8" t="str">
        <v>Israel</v>
      </c>
      <c r="G107" s="70">
        <f t="shared" si="3"/>
        <v>5.677175416949295E-3</v>
      </c>
    </row>
    <row r="108" spans="1:7" x14ac:dyDescent="0.2">
      <c r="A108" s="12" t="s">
        <v>340</v>
      </c>
      <c r="B108" s="13">
        <v>46067.01</v>
      </c>
      <c r="C108" s="13">
        <v>9924.7900000000009</v>
      </c>
      <c r="D108" s="70">
        <f t="shared" si="2"/>
        <v>5.966896114837279E-6</v>
      </c>
      <c r="F108" s="8" t="str">
        <v>Japón</v>
      </c>
      <c r="G108" s="70">
        <f t="shared" si="3"/>
        <v>3.7544864730516452E-3</v>
      </c>
    </row>
    <row r="109" spans="1:7" x14ac:dyDescent="0.2">
      <c r="A109" s="12" t="s">
        <v>343</v>
      </c>
      <c r="B109" s="13">
        <v>43830241.329999998</v>
      </c>
      <c r="C109" s="13">
        <v>179501534.93000001</v>
      </c>
      <c r="D109" s="70">
        <f t="shared" si="2"/>
        <v>5.677175416949295E-3</v>
      </c>
      <c r="F109" s="8" t="str">
        <v>Jordania</v>
      </c>
      <c r="G109" s="70">
        <f t="shared" si="3"/>
        <v>3.3185292653628781E-3</v>
      </c>
    </row>
    <row r="110" spans="1:7" x14ac:dyDescent="0.2">
      <c r="A110" s="12" t="s">
        <v>346</v>
      </c>
      <c r="B110" s="13">
        <v>28986253.920000002</v>
      </c>
      <c r="C110" s="13">
        <v>95002223.680000007</v>
      </c>
      <c r="D110" s="70">
        <f t="shared" si="2"/>
        <v>3.7544864730516452E-3</v>
      </c>
      <c r="F110" s="8" t="str">
        <v>Qatar</v>
      </c>
      <c r="G110" s="70">
        <f t="shared" si="3"/>
        <v>8.0530089119945849E-6</v>
      </c>
    </row>
    <row r="111" spans="1:7" x14ac:dyDescent="0.2">
      <c r="A111" s="12" t="s">
        <v>347</v>
      </c>
      <c r="B111" s="13">
        <v>25620476.359999999</v>
      </c>
      <c r="C111" s="13">
        <v>117134493.42</v>
      </c>
      <c r="D111" s="70">
        <f t="shared" si="2"/>
        <v>3.3185292653628781E-3</v>
      </c>
      <c r="F111" s="8" t="str">
        <v>Kuwait</v>
      </c>
      <c r="G111" s="70">
        <f t="shared" si="3"/>
        <v>4.364315192886289E-4</v>
      </c>
    </row>
    <row r="112" spans="1:7" x14ac:dyDescent="0.2">
      <c r="A112" s="12" t="s">
        <v>395</v>
      </c>
      <c r="B112" s="13">
        <v>62172.7</v>
      </c>
      <c r="C112" s="13">
        <v>35773.18</v>
      </c>
      <c r="D112" s="70">
        <f t="shared" si="2"/>
        <v>8.0530089119945849E-6</v>
      </c>
      <c r="F112" s="8" t="str">
        <v>Líbano</v>
      </c>
      <c r="G112" s="70">
        <f t="shared" si="3"/>
        <v>1.2881378414761205E-3</v>
      </c>
    </row>
    <row r="113" spans="1:7" x14ac:dyDescent="0.2">
      <c r="A113" s="12" t="s">
        <v>351</v>
      </c>
      <c r="B113" s="13">
        <v>3369439.45</v>
      </c>
      <c r="C113" s="13">
        <v>27631622.859999999</v>
      </c>
      <c r="D113" s="70">
        <f t="shared" si="2"/>
        <v>4.364315192886289E-4</v>
      </c>
      <c r="F113" s="8" t="str">
        <v>Malasia</v>
      </c>
      <c r="G113" s="70">
        <f t="shared" si="3"/>
        <v>2.1326710244067546E-2</v>
      </c>
    </row>
    <row r="114" spans="1:7" x14ac:dyDescent="0.2">
      <c r="A114" s="12" t="s">
        <v>353</v>
      </c>
      <c r="B114" s="13">
        <v>9944979.3800000008</v>
      </c>
      <c r="C114" s="13">
        <v>31645636.77</v>
      </c>
      <c r="D114" s="70">
        <f t="shared" si="2"/>
        <v>1.2881378414761205E-3</v>
      </c>
      <c r="F114" s="8" t="str">
        <v>Omán</v>
      </c>
      <c r="G114" s="70">
        <f t="shared" si="3"/>
        <v>1.616117791771776E-3</v>
      </c>
    </row>
    <row r="115" spans="1:7" x14ac:dyDescent="0.2">
      <c r="A115" s="12" t="s">
        <v>362</v>
      </c>
      <c r="B115" s="13">
        <v>164651395.83000001</v>
      </c>
      <c r="C115" s="13">
        <v>944744974.00999999</v>
      </c>
      <c r="D115" s="70">
        <f t="shared" si="2"/>
        <v>2.1326710244067546E-2</v>
      </c>
      <c r="F115" s="8" t="str">
        <v>Emiratos Arabes Unidos</v>
      </c>
      <c r="G115" s="70">
        <f t="shared" si="3"/>
        <v>3.9459924125018996E-3</v>
      </c>
    </row>
    <row r="116" spans="1:7" x14ac:dyDescent="0.2">
      <c r="A116" s="12" t="s">
        <v>385</v>
      </c>
      <c r="B116" s="13">
        <v>12477125.970000001</v>
      </c>
      <c r="C116" s="13">
        <v>48024395.280000001</v>
      </c>
      <c r="D116" s="70">
        <f t="shared" si="2"/>
        <v>1.616117791771776E-3</v>
      </c>
      <c r="F116" s="8" t="str">
        <v>Paquistán</v>
      </c>
      <c r="G116" s="70">
        <f t="shared" si="3"/>
        <v>4.142328429416552E-5</v>
      </c>
    </row>
    <row r="117" spans="1:7" x14ac:dyDescent="0.2">
      <c r="A117" s="12" t="s">
        <v>430</v>
      </c>
      <c r="B117" s="13">
        <v>30464762.32</v>
      </c>
      <c r="C117" s="13">
        <v>131986969.25</v>
      </c>
      <c r="D117" s="70">
        <f t="shared" si="2"/>
        <v>3.9459924125018996E-3</v>
      </c>
      <c r="F117" s="8" t="str">
        <v>Singapur</v>
      </c>
      <c r="G117" s="70">
        <f t="shared" si="3"/>
        <v>2.0069011965961311E-4</v>
      </c>
    </row>
    <row r="118" spans="1:7" x14ac:dyDescent="0.2">
      <c r="A118" s="12" t="s">
        <v>386</v>
      </c>
      <c r="B118" s="13">
        <v>319805.61</v>
      </c>
      <c r="C118" s="13">
        <v>566239.6</v>
      </c>
      <c r="D118" s="70">
        <f t="shared" si="2"/>
        <v>4.142328429416552E-5</v>
      </c>
      <c r="F118" s="8" t="str">
        <v>Siria</v>
      </c>
      <c r="G118" s="70">
        <f t="shared" si="3"/>
        <v>9.0908593590179332E-3</v>
      </c>
    </row>
    <row r="119" spans="1:7" x14ac:dyDescent="0.2">
      <c r="A119" s="12" t="s">
        <v>405</v>
      </c>
      <c r="B119" s="13">
        <v>1549414.23</v>
      </c>
      <c r="C119" s="13">
        <v>775866.6</v>
      </c>
      <c r="D119" s="70">
        <f t="shared" si="2"/>
        <v>2.0069011965961311E-4</v>
      </c>
      <c r="F119" s="8" t="str">
        <v>Tailandia</v>
      </c>
      <c r="G119" s="70">
        <f t="shared" si="3"/>
        <v>2.0507696795965539E-2</v>
      </c>
    </row>
    <row r="120" spans="1:7" x14ac:dyDescent="0.2">
      <c r="A120" s="12" t="s">
        <v>420</v>
      </c>
      <c r="B120" s="13">
        <v>70185352.810000002</v>
      </c>
      <c r="C120" s="13">
        <v>390031045.58999997</v>
      </c>
      <c r="D120" s="70">
        <f t="shared" si="2"/>
        <v>9.0908593590179332E-3</v>
      </c>
      <c r="F120" s="8" t="str">
        <v>Vietnam</v>
      </c>
      <c r="G120" s="70">
        <f t="shared" si="3"/>
        <v>9.5952294606247834E-3</v>
      </c>
    </row>
    <row r="121" spans="1:7" x14ac:dyDescent="0.2">
      <c r="A121" s="12" t="s">
        <v>423</v>
      </c>
      <c r="B121" s="13">
        <v>158328258.97999999</v>
      </c>
      <c r="C121" s="13">
        <v>591043398.01999998</v>
      </c>
      <c r="D121" s="70">
        <f t="shared" si="2"/>
        <v>2.0507696795965539E-2</v>
      </c>
      <c r="F121" s="8" t="str">
        <v>Hong Kong (China)</v>
      </c>
      <c r="G121" s="70">
        <f t="shared" si="3"/>
        <v>3.1516338857275543E-3</v>
      </c>
    </row>
    <row r="122" spans="1:7" x14ac:dyDescent="0.2">
      <c r="A122" s="12" t="s">
        <v>436</v>
      </c>
      <c r="B122" s="13">
        <v>74079307.400000006</v>
      </c>
      <c r="C122" s="13">
        <v>331485463.06999999</v>
      </c>
      <c r="D122" s="70">
        <f t="shared" si="2"/>
        <v>9.5952294606247834E-3</v>
      </c>
      <c r="F122" s="8" t="str">
        <v>Bangladesh</v>
      </c>
      <c r="G122" s="70">
        <f t="shared" si="3"/>
        <v>1.0092931869753314E-2</v>
      </c>
    </row>
    <row r="123" spans="1:7" x14ac:dyDescent="0.2">
      <c r="A123" s="12" t="s">
        <v>481</v>
      </c>
      <c r="B123" s="13">
        <v>24331972.09</v>
      </c>
      <c r="C123" s="13">
        <v>11450470.640000001</v>
      </c>
      <c r="D123" s="70">
        <f t="shared" si="2"/>
        <v>3.1516338857275543E-3</v>
      </c>
      <c r="F123" s="8" t="str">
        <v>República de Yemen</v>
      </c>
      <c r="G123" s="70">
        <f t="shared" si="3"/>
        <v>2.0923981599466155E-3</v>
      </c>
    </row>
    <row r="124" spans="1:7" x14ac:dyDescent="0.2">
      <c r="A124" s="12" t="s">
        <v>276</v>
      </c>
      <c r="B124" s="13">
        <v>77921784.530000001</v>
      </c>
      <c r="C124" s="13">
        <v>205862564.16999999</v>
      </c>
      <c r="D124" s="70">
        <f t="shared" si="2"/>
        <v>1.0092931869753314E-2</v>
      </c>
      <c r="F124" s="8" t="str">
        <v>Armenia</v>
      </c>
      <c r="G124" s="70">
        <f t="shared" si="3"/>
        <v>1.1582384389281274E-7</v>
      </c>
    </row>
    <row r="125" spans="1:7" x14ac:dyDescent="0.2">
      <c r="A125" s="12" t="s">
        <v>437</v>
      </c>
      <c r="B125" s="13">
        <v>16154215.710000001</v>
      </c>
      <c r="C125" s="13">
        <v>116726200.58</v>
      </c>
      <c r="D125" s="70">
        <f t="shared" si="2"/>
        <v>2.0923981599466155E-3</v>
      </c>
      <c r="F125" s="8" t="str">
        <v>Azerbaidzhan</v>
      </c>
      <c r="G125" s="70">
        <f t="shared" si="3"/>
        <v>4.739372684311312E-7</v>
      </c>
    </row>
    <row r="126" spans="1:7" x14ac:dyDescent="0.2">
      <c r="A126" s="12" t="s">
        <v>269</v>
      </c>
      <c r="B126" s="13">
        <v>894.21</v>
      </c>
      <c r="C126" s="13">
        <v>3725.88</v>
      </c>
      <c r="D126" s="70">
        <f t="shared" si="2"/>
        <v>1.1582384389281274E-7</v>
      </c>
      <c r="F126" s="8" t="str">
        <v>Georgia</v>
      </c>
      <c r="G126" s="70">
        <f t="shared" si="3"/>
        <v>1.8776581149156218E-6</v>
      </c>
    </row>
    <row r="127" spans="1:7" x14ac:dyDescent="0.2">
      <c r="A127" s="12" t="s">
        <v>482</v>
      </c>
      <c r="B127" s="13">
        <v>3659</v>
      </c>
      <c r="C127" s="13">
        <v>350</v>
      </c>
      <c r="D127" s="70">
        <f t="shared" si="2"/>
        <v>4.739372684311312E-7</v>
      </c>
      <c r="F127" s="8" t="str">
        <v>Kazajstan</v>
      </c>
      <c r="G127" s="70">
        <f t="shared" si="3"/>
        <v>6.3882443506486445E-6</v>
      </c>
    </row>
    <row r="128" spans="1:7" x14ac:dyDescent="0.2">
      <c r="A128" s="12" t="s">
        <v>323</v>
      </c>
      <c r="B128" s="13">
        <v>14496.33</v>
      </c>
      <c r="C128" s="13">
        <v>52116.51</v>
      </c>
      <c r="D128" s="70">
        <f t="shared" si="2"/>
        <v>1.8776581149156218E-6</v>
      </c>
      <c r="F128" s="8" t="str">
        <v xml:space="preserve">   EUROPA</v>
      </c>
      <c r="G128" s="70">
        <f t="shared" si="3"/>
        <v>0.27627989262833463</v>
      </c>
    </row>
    <row r="129" spans="1:7" x14ac:dyDescent="0.2">
      <c r="A129" s="12" t="s">
        <v>487</v>
      </c>
      <c r="B129" s="13">
        <v>49320</v>
      </c>
      <c r="C129" s="13">
        <v>3643</v>
      </c>
      <c r="D129" s="70">
        <f t="shared" si="2"/>
        <v>6.3882443506486445E-6</v>
      </c>
      <c r="F129" s="8" t="str">
        <v>Albania</v>
      </c>
      <c r="G129" s="70">
        <f t="shared" si="3"/>
        <v>9.5910383215787223E-6</v>
      </c>
    </row>
    <row r="130" spans="1:7" x14ac:dyDescent="0.2">
      <c r="A130" s="12" t="s">
        <v>1</v>
      </c>
      <c r="B130" s="13" t="s">
        <v>466</v>
      </c>
      <c r="C130" s="13" t="s">
        <v>466</v>
      </c>
      <c r="D130" s="70" t="e">
        <f t="shared" si="2"/>
        <v>#VALUE!</v>
      </c>
      <c r="F130" s="8" t="str">
        <v>Austria</v>
      </c>
      <c r="G130" s="70">
        <f t="shared" si="3"/>
        <v>4.1462587540095616E-4</v>
      </c>
    </row>
    <row r="131" spans="1:7" x14ac:dyDescent="0.2">
      <c r="A131" s="12" t="s">
        <v>5</v>
      </c>
      <c r="B131" s="13">
        <v>2132999859.8199999</v>
      </c>
      <c r="C131" s="13">
        <v>10213195904.65</v>
      </c>
      <c r="D131" s="70">
        <f t="shared" si="2"/>
        <v>0.27627989262833463</v>
      </c>
      <c r="F131" s="8" t="str">
        <v>Bélgica</v>
      </c>
      <c r="G131" s="70">
        <f t="shared" si="3"/>
        <v>7.1414691041661385E-3</v>
      </c>
    </row>
    <row r="132" spans="1:7" x14ac:dyDescent="0.2">
      <c r="A132" s="12" t="s">
        <v>264</v>
      </c>
      <c r="B132" s="13">
        <v>74046.95</v>
      </c>
      <c r="C132" s="13">
        <v>62987.4</v>
      </c>
      <c r="D132" s="70">
        <f t="shared" si="2"/>
        <v>9.5910383215787223E-6</v>
      </c>
      <c r="F132" s="8" t="str">
        <v>Bulgaria</v>
      </c>
      <c r="G132" s="70">
        <f t="shared" si="3"/>
        <v>2.6460274800923573E-4</v>
      </c>
    </row>
    <row r="133" spans="1:7" x14ac:dyDescent="0.2">
      <c r="A133" s="12" t="s">
        <v>272</v>
      </c>
      <c r="B133" s="13">
        <v>3201090.48</v>
      </c>
      <c r="C133" s="13">
        <v>108720.51</v>
      </c>
      <c r="D133" s="70">
        <f t="shared" si="2"/>
        <v>4.1462587540095616E-4</v>
      </c>
      <c r="F133" s="8" t="str">
        <v>Dinamarca</v>
      </c>
      <c r="G133" s="70">
        <f t="shared" si="3"/>
        <v>2.0138372426143317E-2</v>
      </c>
    </row>
    <row r="134" spans="1:7" x14ac:dyDescent="0.2">
      <c r="A134" s="12" t="s">
        <v>279</v>
      </c>
      <c r="B134" s="13">
        <v>55135219.770000003</v>
      </c>
      <c r="C134" s="13">
        <v>295578805.35000002</v>
      </c>
      <c r="D134" s="70">
        <f t="shared" si="2"/>
        <v>7.1414691041661385E-3</v>
      </c>
      <c r="F134" s="8" t="str">
        <v>España</v>
      </c>
      <c r="G134" s="70">
        <f t="shared" si="3"/>
        <v>7.0287782380647007E-2</v>
      </c>
    </row>
    <row r="135" spans="1:7" x14ac:dyDescent="0.2">
      <c r="A135" s="12" t="s">
        <v>287</v>
      </c>
      <c r="B135" s="13">
        <v>2042847.27</v>
      </c>
      <c r="C135" s="13">
        <v>1278353.8799999999</v>
      </c>
      <c r="D135" s="70">
        <f t="shared" si="2"/>
        <v>2.6460274800923573E-4</v>
      </c>
      <c r="F135" s="8" t="str">
        <v>Finlandia</v>
      </c>
      <c r="G135" s="70">
        <f t="shared" si="3"/>
        <v>2.4415573551669098E-4</v>
      </c>
    </row>
    <row r="136" spans="1:7" x14ac:dyDescent="0.2">
      <c r="A136" s="12" t="s">
        <v>308</v>
      </c>
      <c r="B136" s="13">
        <v>155476915.65000001</v>
      </c>
      <c r="C136" s="13">
        <v>891451656.07000005</v>
      </c>
      <c r="D136" s="70">
        <f t="shared" si="2"/>
        <v>2.0138372426143317E-2</v>
      </c>
      <c r="F136" s="8" t="str">
        <v>Francia</v>
      </c>
      <c r="G136" s="70">
        <f t="shared" si="3"/>
        <v>5.565042311285788E-3</v>
      </c>
    </row>
    <row r="137" spans="1:7" x14ac:dyDescent="0.2">
      <c r="A137" s="12" t="s">
        <v>411</v>
      </c>
      <c r="B137" s="13">
        <v>542651977.09000003</v>
      </c>
      <c r="C137" s="13">
        <v>3011434389.0900002</v>
      </c>
      <c r="D137" s="70">
        <f t="shared" si="2"/>
        <v>7.0287782380647007E-2</v>
      </c>
      <c r="F137" s="8" t="str">
        <v>Grecia</v>
      </c>
      <c r="G137" s="70">
        <f t="shared" si="3"/>
        <v>3.0918186905161357E-3</v>
      </c>
    </row>
    <row r="138" spans="1:7" x14ac:dyDescent="0.2">
      <c r="A138" s="12" t="s">
        <v>319</v>
      </c>
      <c r="B138" s="13">
        <v>1884987.52</v>
      </c>
      <c r="C138" s="13">
        <v>205842.42</v>
      </c>
      <c r="D138" s="70">
        <f t="shared" si="2"/>
        <v>2.4415573551669098E-4</v>
      </c>
      <c r="F138" s="8" t="str">
        <v>Hungría</v>
      </c>
      <c r="G138" s="70">
        <f t="shared" si="3"/>
        <v>1.4177857347509926E-5</v>
      </c>
    </row>
    <row r="139" spans="1:7" x14ac:dyDescent="0.2">
      <c r="A139" s="12" t="s">
        <v>320</v>
      </c>
      <c r="B139" s="13">
        <v>42964525.420000002</v>
      </c>
      <c r="C139" s="13">
        <v>151723792.12</v>
      </c>
      <c r="D139" s="70">
        <f t="shared" ref="D139:D155" si="4">+B139/$B$8</f>
        <v>5.565042311285788E-3</v>
      </c>
      <c r="F139" s="8" t="str">
        <v>Irlanda</v>
      </c>
      <c r="G139" s="70">
        <f t="shared" ref="G139:G151" si="5">+SUMIF(A139:A284,F139,D139:D284)</f>
        <v>4.003134523803499E-3</v>
      </c>
    </row>
    <row r="140" spans="1:7" x14ac:dyDescent="0.2">
      <c r="A140" s="12" t="s">
        <v>326</v>
      </c>
      <c r="B140" s="13">
        <v>23870173</v>
      </c>
      <c r="C140" s="13">
        <v>121984622.83</v>
      </c>
      <c r="D140" s="70">
        <f t="shared" si="4"/>
        <v>3.0918186905161357E-3</v>
      </c>
      <c r="F140" s="8" t="str">
        <v>Italia</v>
      </c>
      <c r="G140" s="70">
        <f t="shared" si="5"/>
        <v>3.767830110526782E-2</v>
      </c>
    </row>
    <row r="141" spans="1:7" x14ac:dyDescent="0.2">
      <c r="A141" s="12" t="s">
        <v>336</v>
      </c>
      <c r="B141" s="13">
        <v>109459.17</v>
      </c>
      <c r="C141" s="13">
        <v>14004.5</v>
      </c>
      <c r="D141" s="70">
        <f t="shared" si="4"/>
        <v>1.4177857347509926E-5</v>
      </c>
      <c r="F141" s="8" t="str">
        <v>Luxemburgo</v>
      </c>
      <c r="G141" s="70">
        <f t="shared" si="5"/>
        <v>3.673235579617996E-5</v>
      </c>
    </row>
    <row r="142" spans="1:7" x14ac:dyDescent="0.2">
      <c r="A142" s="12" t="s">
        <v>342</v>
      </c>
      <c r="B142" s="13">
        <v>30905924.050000001</v>
      </c>
      <c r="C142" s="13">
        <v>188373909.97999999</v>
      </c>
      <c r="D142" s="70">
        <f t="shared" si="4"/>
        <v>4.003134523803499E-3</v>
      </c>
      <c r="F142" s="8" t="str">
        <v>Malta</v>
      </c>
      <c r="G142" s="70">
        <f t="shared" si="5"/>
        <v>5.4688355819220946E-5</v>
      </c>
    </row>
    <row r="143" spans="1:7" x14ac:dyDescent="0.2">
      <c r="A143" s="12" t="s">
        <v>344</v>
      </c>
      <c r="B143" s="13">
        <v>290892725.52999997</v>
      </c>
      <c r="C143" s="13">
        <v>1395046806.3800001</v>
      </c>
      <c r="D143" s="70">
        <f t="shared" si="4"/>
        <v>3.767830110526782E-2</v>
      </c>
      <c r="F143" s="8" t="str">
        <v>Noruega</v>
      </c>
      <c r="G143" s="70">
        <f t="shared" si="5"/>
        <v>5.0770810305442004E-5</v>
      </c>
    </row>
    <row r="144" spans="1:7" x14ac:dyDescent="0.2">
      <c r="A144" s="12" t="s">
        <v>358</v>
      </c>
      <c r="B144" s="13">
        <v>283589.62</v>
      </c>
      <c r="C144" s="13">
        <v>28835.84</v>
      </c>
      <c r="D144" s="70">
        <f t="shared" si="4"/>
        <v>3.673235579617996E-5</v>
      </c>
      <c r="F144" s="8" t="str">
        <v>Países Bajos</v>
      </c>
      <c r="G144" s="70">
        <f t="shared" si="5"/>
        <v>5.6675007801866004E-2</v>
      </c>
    </row>
    <row r="145" spans="1:7" x14ac:dyDescent="0.2">
      <c r="A145" s="12" t="s">
        <v>365</v>
      </c>
      <c r="B145" s="13">
        <v>422217.68</v>
      </c>
      <c r="C145" s="13">
        <v>172975.02</v>
      </c>
      <c r="D145" s="70">
        <f t="shared" si="4"/>
        <v>5.4688355819220946E-5</v>
      </c>
      <c r="F145" s="8" t="str">
        <v>Polonia</v>
      </c>
      <c r="G145" s="70">
        <f t="shared" si="5"/>
        <v>2.3555906528887106E-2</v>
      </c>
    </row>
    <row r="146" spans="1:7" x14ac:dyDescent="0.2">
      <c r="A146" s="12" t="s">
        <v>384</v>
      </c>
      <c r="B146" s="13">
        <v>391972.54</v>
      </c>
      <c r="C146" s="13">
        <v>616798.61</v>
      </c>
      <c r="D146" s="70">
        <f t="shared" si="4"/>
        <v>5.0770810305442004E-5</v>
      </c>
      <c r="F146" s="8" t="str">
        <v>Portugal</v>
      </c>
      <c r="G146" s="70">
        <f t="shared" si="5"/>
        <v>2.4249211156523458E-3</v>
      </c>
    </row>
    <row r="147" spans="1:7" x14ac:dyDescent="0.2">
      <c r="A147" s="12" t="s">
        <v>378</v>
      </c>
      <c r="B147" s="13">
        <v>437555489.63999999</v>
      </c>
      <c r="C147" s="13">
        <v>2285803009.3400002</v>
      </c>
      <c r="D147" s="70">
        <f t="shared" si="4"/>
        <v>5.6675007801866004E-2</v>
      </c>
      <c r="F147" s="8" t="str">
        <v>Reino Unido</v>
      </c>
      <c r="G147" s="70">
        <f t="shared" si="5"/>
        <v>8.3006579576447477E-3</v>
      </c>
    </row>
    <row r="148" spans="1:7" x14ac:dyDescent="0.2">
      <c r="A148" s="12" t="s">
        <v>392</v>
      </c>
      <c r="B148" s="13">
        <v>181861752.03</v>
      </c>
      <c r="C148" s="13">
        <v>948611314.19000006</v>
      </c>
      <c r="D148" s="70">
        <f t="shared" si="4"/>
        <v>2.3555906528887106E-2</v>
      </c>
      <c r="F148" s="8" t="str">
        <v>Rumania</v>
      </c>
      <c r="G148" s="70">
        <f t="shared" si="5"/>
        <v>1.8357994546714686E-4</v>
      </c>
    </row>
    <row r="149" spans="1:7" x14ac:dyDescent="0.2">
      <c r="A149" s="12" t="s">
        <v>393</v>
      </c>
      <c r="B149" s="13">
        <v>18721436.260000002</v>
      </c>
      <c r="C149" s="13">
        <v>138429169.30000001</v>
      </c>
      <c r="D149" s="70">
        <f t="shared" si="4"/>
        <v>2.4249211156523458E-3</v>
      </c>
      <c r="F149" s="8" t="str">
        <v>Suecia</v>
      </c>
      <c r="G149" s="70">
        <f t="shared" si="5"/>
        <v>4.1173121707510987E-4</v>
      </c>
    </row>
    <row r="150" spans="1:7" x14ac:dyDescent="0.2">
      <c r="A150" s="12" t="s">
        <v>431</v>
      </c>
      <c r="B150" s="13">
        <v>64084657.380000003</v>
      </c>
      <c r="C150" s="13">
        <v>200785328.50999999</v>
      </c>
      <c r="D150" s="70">
        <f t="shared" si="4"/>
        <v>8.3006579576447477E-3</v>
      </c>
      <c r="F150" s="8" t="str">
        <v>Suiza</v>
      </c>
      <c r="G150" s="70">
        <f t="shared" si="5"/>
        <v>7.3328037876343771E-5</v>
      </c>
    </row>
    <row r="151" spans="1:7" x14ac:dyDescent="0.2">
      <c r="A151" s="12" t="s">
        <v>396</v>
      </c>
      <c r="B151" s="13">
        <v>1417316.31</v>
      </c>
      <c r="C151" s="13">
        <v>7291950.6399999997</v>
      </c>
      <c r="D151" s="70">
        <f t="shared" si="4"/>
        <v>1.8357994546714686E-4</v>
      </c>
      <c r="F151" s="8" t="str">
        <v>Chipre</v>
      </c>
      <c r="G151" s="70">
        <f t="shared" si="5"/>
        <v>1.1186526712077846E-3</v>
      </c>
    </row>
    <row r="152" spans="1:7" x14ac:dyDescent="0.2">
      <c r="A152" s="12" t="s">
        <v>418</v>
      </c>
      <c r="B152" s="13">
        <v>3178742.47</v>
      </c>
      <c r="C152" s="13">
        <v>447458.05</v>
      </c>
      <c r="D152" s="70">
        <f t="shared" si="4"/>
        <v>4.1173121707510987E-4</v>
      </c>
      <c r="F152" s="8" t="str">
        <v>Turquía</v>
      </c>
    </row>
    <row r="153" spans="1:7" x14ac:dyDescent="0.2">
      <c r="A153" s="12" t="s">
        <v>419</v>
      </c>
      <c r="B153" s="13">
        <v>566124.06000000006</v>
      </c>
      <c r="C153" s="13">
        <v>284954.73</v>
      </c>
      <c r="D153" s="70">
        <f t="shared" si="4"/>
        <v>7.3328037876343771E-5</v>
      </c>
    </row>
    <row r="154" spans="1:7" x14ac:dyDescent="0.2">
      <c r="A154" s="12" t="s">
        <v>306</v>
      </c>
      <c r="B154" s="13">
        <v>8636480.8100000005</v>
      </c>
      <c r="C154" s="13">
        <v>47276049.93</v>
      </c>
      <c r="D154" s="70">
        <f t="shared" si="4"/>
        <v>1.1186526712077846E-3</v>
      </c>
    </row>
    <row r="155" spans="1:7" x14ac:dyDescent="0.2">
      <c r="A155" s="12" t="s">
        <v>427</v>
      </c>
      <c r="B155" s="13">
        <v>61702575.5</v>
      </c>
      <c r="C155" s="13">
        <v>245933260.77000001</v>
      </c>
      <c r="D155" s="70">
        <f t="shared" si="4"/>
        <v>7.9921153560086472E-3</v>
      </c>
    </row>
    <row r="156" spans="1:7" x14ac:dyDescent="0.2">
      <c r="A156" s="12" t="s">
        <v>324</v>
      </c>
      <c r="B156" s="13">
        <v>90052372.689999998</v>
      </c>
      <c r="C156" s="13">
        <v>128979830.31999999</v>
      </c>
    </row>
    <row r="157" spans="1:7" x14ac:dyDescent="0.2">
      <c r="A157" s="12" t="s">
        <v>484</v>
      </c>
      <c r="B157" s="13">
        <v>135462.45000000001</v>
      </c>
      <c r="C157" s="13">
        <v>48857.56</v>
      </c>
    </row>
    <row r="158" spans="1:7" x14ac:dyDescent="0.2">
      <c r="A158" s="12" t="s">
        <v>316</v>
      </c>
      <c r="B158" s="13">
        <v>259935.76</v>
      </c>
      <c r="C158" s="13">
        <v>48581.58</v>
      </c>
    </row>
    <row r="159" spans="1:7" x14ac:dyDescent="0.2">
      <c r="A159" s="12" t="s">
        <v>352</v>
      </c>
      <c r="B159" s="13">
        <v>8232153.9800000004</v>
      </c>
      <c r="C159" s="13">
        <v>41335391.700000003</v>
      </c>
    </row>
    <row r="160" spans="1:7" x14ac:dyDescent="0.2">
      <c r="A160" s="12" t="s">
        <v>357</v>
      </c>
      <c r="B160" s="13">
        <v>68433.03</v>
      </c>
      <c r="C160" s="13">
        <v>82160.19</v>
      </c>
    </row>
    <row r="161" spans="1:3" x14ac:dyDescent="0.2">
      <c r="A161" s="12" t="s">
        <v>488</v>
      </c>
      <c r="B161" s="13">
        <v>129352.05</v>
      </c>
      <c r="C161" s="13">
        <v>28936</v>
      </c>
    </row>
    <row r="162" spans="1:3" x14ac:dyDescent="0.2">
      <c r="A162" s="12" t="s">
        <v>397</v>
      </c>
      <c r="B162" s="13">
        <v>93677791.569999993</v>
      </c>
      <c r="C162" s="13">
        <v>82444131.150000006</v>
      </c>
    </row>
    <row r="163" spans="1:3" x14ac:dyDescent="0.2">
      <c r="A163" s="12" t="s">
        <v>429</v>
      </c>
      <c r="B163" s="13">
        <v>3651607.14</v>
      </c>
      <c r="C163" s="13">
        <v>1484561.38</v>
      </c>
    </row>
    <row r="164" spans="1:3" x14ac:dyDescent="0.2">
      <c r="A164" s="12" t="s">
        <v>283</v>
      </c>
      <c r="B164" s="13">
        <v>1440727.91</v>
      </c>
      <c r="C164" s="13">
        <v>897424.56</v>
      </c>
    </row>
    <row r="165" spans="1:3" x14ac:dyDescent="0.2">
      <c r="A165" s="12" t="s">
        <v>304</v>
      </c>
      <c r="B165" s="13">
        <v>3924583.12</v>
      </c>
      <c r="C165" s="13">
        <v>7944218.6900000004</v>
      </c>
    </row>
    <row r="166" spans="1:3" x14ac:dyDescent="0.2">
      <c r="A166" s="12" t="s">
        <v>407</v>
      </c>
      <c r="B166" s="13">
        <v>2931743.24</v>
      </c>
      <c r="C166" s="13">
        <v>16783420.870000001</v>
      </c>
    </row>
    <row r="167" spans="1:3" x14ac:dyDescent="0.2">
      <c r="A167" s="12" t="s">
        <v>383</v>
      </c>
      <c r="B167" s="13">
        <v>190505.31</v>
      </c>
      <c r="C167" s="13">
        <v>126939.07</v>
      </c>
    </row>
    <row r="168" spans="1:3" x14ac:dyDescent="0.2">
      <c r="A168" s="12" t="s">
        <v>307</v>
      </c>
      <c r="B168" s="13">
        <v>271147.05</v>
      </c>
      <c r="C168" s="13">
        <v>42680.49</v>
      </c>
    </row>
    <row r="169" spans="1:3" x14ac:dyDescent="0.2">
      <c r="A169" s="12" t="s">
        <v>485</v>
      </c>
      <c r="B169" s="13">
        <v>1798.32</v>
      </c>
      <c r="C169" s="13">
        <v>3775.63</v>
      </c>
    </row>
    <row r="170" spans="1:3" x14ac:dyDescent="0.2">
      <c r="A170" s="12" t="s">
        <v>1</v>
      </c>
      <c r="B170" s="13" t="s">
        <v>466</v>
      </c>
      <c r="C170" s="13" t="s">
        <v>466</v>
      </c>
    </row>
    <row r="171" spans="1:3" x14ac:dyDescent="0.2">
      <c r="A171" s="12" t="s">
        <v>6</v>
      </c>
      <c r="B171" s="13">
        <v>13037441.5</v>
      </c>
      <c r="C171" s="13">
        <v>5556307.5499999998</v>
      </c>
    </row>
    <row r="172" spans="1:3" x14ac:dyDescent="0.2">
      <c r="A172" s="12" t="s">
        <v>271</v>
      </c>
      <c r="B172" s="13">
        <v>12073137.109999999</v>
      </c>
      <c r="C172" s="13">
        <v>4432988.6100000003</v>
      </c>
    </row>
    <row r="173" spans="1:3" x14ac:dyDescent="0.2">
      <c r="A173" s="14" t="s">
        <v>379</v>
      </c>
      <c r="B173" s="15">
        <v>964304.39</v>
      </c>
      <c r="C173" s="15">
        <v>1123318.94</v>
      </c>
    </row>
    <row r="175" spans="1:3" x14ac:dyDescent="0.2">
      <c r="A175" s="7" t="s">
        <v>16</v>
      </c>
    </row>
  </sheetData>
  <mergeCells count="2">
    <mergeCell ref="A1:C2"/>
    <mergeCell ref="B4:C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76"/>
  <sheetViews>
    <sheetView workbookViewId="0">
      <selection activeCell="D1" sqref="D1:G1048576"/>
    </sheetView>
  </sheetViews>
  <sheetFormatPr baseColWidth="10" defaultRowHeight="15" x14ac:dyDescent="0.2"/>
  <cols>
    <col min="1" max="1" width="80.625" style="8" customWidth="1"/>
    <col min="2" max="3" width="20" style="9" customWidth="1"/>
    <col min="4" max="16384" width="11" style="8"/>
  </cols>
  <sheetData>
    <row r="1" spans="1:7" x14ac:dyDescent="0.2">
      <c r="A1" s="66" t="s">
        <v>255</v>
      </c>
      <c r="B1" s="66"/>
      <c r="C1" s="66"/>
    </row>
    <row r="2" spans="1:7" x14ac:dyDescent="0.2">
      <c r="A2" s="66"/>
      <c r="B2" s="66"/>
      <c r="C2" s="66"/>
    </row>
    <row r="3" spans="1:7" x14ac:dyDescent="0.2">
      <c r="A3" s="1"/>
      <c r="B3" s="1"/>
      <c r="C3" s="1"/>
    </row>
    <row r="4" spans="1:7" x14ac:dyDescent="0.2">
      <c r="A4" s="2"/>
      <c r="B4" s="67" t="s">
        <v>24</v>
      </c>
      <c r="C4" s="67"/>
    </row>
    <row r="5" spans="1:7" x14ac:dyDescent="0.2">
      <c r="A5" s="3" t="s">
        <v>465</v>
      </c>
      <c r="B5" s="4" t="s">
        <v>10</v>
      </c>
      <c r="C5" s="4" t="s">
        <v>11</v>
      </c>
    </row>
    <row r="6" spans="1:7" x14ac:dyDescent="0.2">
      <c r="A6" s="5"/>
      <c r="B6" s="6" t="s">
        <v>13</v>
      </c>
      <c r="C6" s="6" t="s">
        <v>14</v>
      </c>
    </row>
    <row r="8" spans="1:7" x14ac:dyDescent="0.2">
      <c r="A8" s="10" t="s">
        <v>0</v>
      </c>
      <c r="B8" s="11">
        <v>7155724187</v>
      </c>
      <c r="C8" s="11">
        <v>23242105106.299999</v>
      </c>
    </row>
    <row r="9" spans="1:7" x14ac:dyDescent="0.2">
      <c r="A9" s="12" t="s">
        <v>1</v>
      </c>
      <c r="B9" s="13" t="s">
        <v>466</v>
      </c>
      <c r="C9" s="13" t="s">
        <v>466</v>
      </c>
    </row>
    <row r="10" spans="1:7" x14ac:dyDescent="0.2">
      <c r="A10" s="12" t="s">
        <v>2</v>
      </c>
      <c r="B10" s="13">
        <v>868766829</v>
      </c>
      <c r="C10" s="13">
        <v>3371565784.79</v>
      </c>
      <c r="D10" s="70">
        <f>+B10/$B$8</f>
        <v>0.12140865219180925</v>
      </c>
      <c r="F10" s="8" t="str" cm="1">
        <f t="array" ref="F10:F152">+_xlfn.UNIQUE(A10:A155)</f>
        <v xml:space="preserve">   AFRICA</v>
      </c>
      <c r="G10" s="70">
        <f>+SUMIF(A10:A155,F10,D10:D155)</f>
        <v>0.12140865219180925</v>
      </c>
    </row>
    <row r="11" spans="1:7" x14ac:dyDescent="0.2">
      <c r="A11" s="12" t="s">
        <v>288</v>
      </c>
      <c r="B11" s="13">
        <v>88500</v>
      </c>
      <c r="C11" s="13">
        <v>45000</v>
      </c>
      <c r="D11" s="70">
        <f t="shared" ref="D11:D74" si="0">+B11/$B$8</f>
        <v>1.2367720958387464E-5</v>
      </c>
      <c r="F11" s="8" t="str">
        <v>Burkina Faso</v>
      </c>
      <c r="G11" s="70">
        <f t="shared" ref="G11:G74" si="1">+SUMIF(A11:A156,F11,D11:D156)</f>
        <v>1.2367720958387464E-5</v>
      </c>
    </row>
    <row r="12" spans="1:7" x14ac:dyDescent="0.2">
      <c r="A12" s="12" t="s">
        <v>265</v>
      </c>
      <c r="B12" s="13">
        <v>179592097</v>
      </c>
      <c r="C12" s="13">
        <v>553740143.23000002</v>
      </c>
      <c r="D12" s="70">
        <f t="shared" si="0"/>
        <v>2.5097682960764457E-2</v>
      </c>
      <c r="F12" s="8" t="str">
        <v>Argelia</v>
      </c>
      <c r="G12" s="70">
        <f t="shared" si="1"/>
        <v>2.5097682960764457E-2</v>
      </c>
    </row>
    <row r="13" spans="1:7" x14ac:dyDescent="0.2">
      <c r="A13" s="12" t="s">
        <v>292</v>
      </c>
      <c r="B13" s="13">
        <v>855662</v>
      </c>
      <c r="C13" s="13">
        <v>435864.4</v>
      </c>
      <c r="D13" s="70">
        <f t="shared" si="0"/>
        <v>1.1957727514910434E-4</v>
      </c>
      <c r="F13" s="8" t="str">
        <v>Camerún</v>
      </c>
      <c r="G13" s="70">
        <f t="shared" si="1"/>
        <v>1.1957727514910434E-4</v>
      </c>
    </row>
    <row r="14" spans="1:7" x14ac:dyDescent="0.2">
      <c r="A14" s="12" t="s">
        <v>470</v>
      </c>
      <c r="B14" s="13">
        <v>30000</v>
      </c>
      <c r="C14" s="13">
        <v>15000</v>
      </c>
      <c r="D14" s="70">
        <f t="shared" si="0"/>
        <v>4.1924477825042249E-6</v>
      </c>
      <c r="F14" s="8" t="str">
        <v>República Centroafricana</v>
      </c>
      <c r="G14" s="70">
        <f t="shared" si="1"/>
        <v>4.1924477825042249E-6</v>
      </c>
    </row>
    <row r="15" spans="1:7" x14ac:dyDescent="0.2">
      <c r="A15" s="12" t="s">
        <v>301</v>
      </c>
      <c r="B15" s="13">
        <v>11867085</v>
      </c>
      <c r="C15" s="13">
        <v>17024792.059999999</v>
      </c>
      <c r="D15" s="70">
        <f t="shared" si="0"/>
        <v>1.6584044731013051E-3</v>
      </c>
      <c r="F15" s="8" t="str">
        <v>Congo</v>
      </c>
      <c r="G15" s="70">
        <f t="shared" si="1"/>
        <v>1.6584044731013051E-3</v>
      </c>
    </row>
    <row r="16" spans="1:7" x14ac:dyDescent="0.2">
      <c r="A16" s="12" t="s">
        <v>477</v>
      </c>
      <c r="B16" s="13">
        <v>1857576</v>
      </c>
      <c r="C16" s="13">
        <v>13152638.359999999</v>
      </c>
      <c r="D16" s="70">
        <f t="shared" si="0"/>
        <v>2.5959301273443565E-4</v>
      </c>
      <c r="F16" s="8" t="str">
        <v>Rep. Democrática del Congo</v>
      </c>
      <c r="G16" s="70">
        <f t="shared" si="1"/>
        <v>2.5959301273443565E-4</v>
      </c>
    </row>
    <row r="17" spans="1:7" x14ac:dyDescent="0.2">
      <c r="A17" s="12" t="s">
        <v>303</v>
      </c>
      <c r="B17" s="13">
        <v>485164</v>
      </c>
      <c r="C17" s="13">
        <v>537771.05000000005</v>
      </c>
      <c r="D17" s="70">
        <f t="shared" si="0"/>
        <v>6.7800824531695993E-5</v>
      </c>
      <c r="F17" s="8" t="str">
        <v>Costa de Marfil</v>
      </c>
      <c r="G17" s="70">
        <f t="shared" si="1"/>
        <v>6.7800824531695993E-5</v>
      </c>
    </row>
    <row r="18" spans="1:7" x14ac:dyDescent="0.2">
      <c r="A18" s="12" t="s">
        <v>281</v>
      </c>
      <c r="B18" s="13">
        <v>352335</v>
      </c>
      <c r="C18" s="13">
        <v>210355.6</v>
      </c>
      <c r="D18" s="70">
        <f t="shared" si="0"/>
        <v>4.9238202981620876E-5</v>
      </c>
      <c r="F18" s="8" t="str">
        <v>Benin</v>
      </c>
      <c r="G18" s="70">
        <f t="shared" si="1"/>
        <v>4.9238202981620876E-5</v>
      </c>
    </row>
    <row r="19" spans="1:7" x14ac:dyDescent="0.2">
      <c r="A19" s="12" t="s">
        <v>313</v>
      </c>
      <c r="B19" s="13">
        <v>227586549</v>
      </c>
      <c r="C19" s="13">
        <v>933786611.66999996</v>
      </c>
      <c r="D19" s="70">
        <f t="shared" si="0"/>
        <v>3.1804824089427974E-2</v>
      </c>
      <c r="F19" s="8" t="str">
        <v>Egipto</v>
      </c>
      <c r="G19" s="70">
        <f t="shared" si="1"/>
        <v>3.1804824089427974E-2</v>
      </c>
    </row>
    <row r="20" spans="1:7" x14ac:dyDescent="0.2">
      <c r="A20" s="12" t="s">
        <v>321</v>
      </c>
      <c r="B20" s="13">
        <v>539251</v>
      </c>
      <c r="C20" s="13">
        <v>814364.56</v>
      </c>
      <c r="D20" s="70">
        <f t="shared" si="0"/>
        <v>7.5359388638772864E-5</v>
      </c>
      <c r="F20" s="8" t="str">
        <v>Gabón</v>
      </c>
      <c r="G20" s="70">
        <f t="shared" si="1"/>
        <v>7.5359388638772864E-5</v>
      </c>
    </row>
    <row r="21" spans="1:7" x14ac:dyDescent="0.2">
      <c r="A21" s="12" t="s">
        <v>322</v>
      </c>
      <c r="B21" s="13">
        <v>100150</v>
      </c>
      <c r="C21" s="13">
        <v>51874.879999999997</v>
      </c>
      <c r="D21" s="70">
        <f t="shared" si="0"/>
        <v>1.3995788180593272E-5</v>
      </c>
      <c r="F21" s="8" t="str">
        <v>Gambia</v>
      </c>
      <c r="G21" s="70">
        <f t="shared" si="1"/>
        <v>1.3995788180593272E-5</v>
      </c>
    </row>
    <row r="22" spans="1:7" x14ac:dyDescent="0.2">
      <c r="A22" s="12" t="s">
        <v>325</v>
      </c>
      <c r="B22" s="13">
        <v>2908436</v>
      </c>
      <c r="C22" s="13">
        <v>1427004.18</v>
      </c>
      <c r="D22" s="70">
        <f t="shared" si="0"/>
        <v>4.0644886862518194E-4</v>
      </c>
      <c r="F22" s="8" t="str">
        <v>Ghana</v>
      </c>
      <c r="G22" s="70">
        <f t="shared" si="1"/>
        <v>4.0644886862518194E-4</v>
      </c>
    </row>
    <row r="23" spans="1:7" x14ac:dyDescent="0.2">
      <c r="A23" s="12" t="s">
        <v>329</v>
      </c>
      <c r="B23" s="13">
        <v>157402</v>
      </c>
      <c r="C23" s="13">
        <v>87536.16</v>
      </c>
      <c r="D23" s="70">
        <f t="shared" si="0"/>
        <v>2.1996655528724335E-5</v>
      </c>
      <c r="F23" s="8" t="str">
        <v>Guinea</v>
      </c>
      <c r="G23" s="70">
        <f t="shared" si="1"/>
        <v>2.1996655528724335E-5</v>
      </c>
    </row>
    <row r="24" spans="1:7" x14ac:dyDescent="0.2">
      <c r="A24" s="12" t="s">
        <v>330</v>
      </c>
      <c r="B24" s="13">
        <v>25896</v>
      </c>
      <c r="C24" s="13">
        <v>21580</v>
      </c>
      <c r="D24" s="70">
        <f t="shared" si="0"/>
        <v>3.6189209258576473E-6</v>
      </c>
      <c r="F24" s="8" t="str">
        <v>Guinea Ecuatorial</v>
      </c>
      <c r="G24" s="70">
        <f t="shared" si="1"/>
        <v>3.6189209258576473E-6</v>
      </c>
    </row>
    <row r="25" spans="1:7" x14ac:dyDescent="0.2">
      <c r="A25" s="12" t="s">
        <v>349</v>
      </c>
      <c r="B25" s="13">
        <v>10461528</v>
      </c>
      <c r="C25" s="13">
        <v>69724770.489999995</v>
      </c>
      <c r="D25" s="70">
        <f t="shared" si="0"/>
        <v>1.4619803288401954E-3</v>
      </c>
      <c r="F25" s="8" t="str">
        <v>Kenya</v>
      </c>
      <c r="G25" s="70">
        <f t="shared" si="1"/>
        <v>1.4619803288401954E-3</v>
      </c>
    </row>
    <row r="26" spans="1:7" x14ac:dyDescent="0.2">
      <c r="A26" s="12" t="s">
        <v>355</v>
      </c>
      <c r="B26" s="13">
        <v>2237105</v>
      </c>
      <c r="C26" s="13">
        <v>8083402.5599999996</v>
      </c>
      <c r="D26" s="70">
        <f t="shared" si="0"/>
        <v>3.1263152988263718E-4</v>
      </c>
      <c r="F26" s="8" t="str">
        <v>Liberia</v>
      </c>
      <c r="G26" s="70">
        <f t="shared" si="1"/>
        <v>3.1263152988263718E-4</v>
      </c>
    </row>
    <row r="27" spans="1:7" x14ac:dyDescent="0.2">
      <c r="A27" s="12" t="s">
        <v>356</v>
      </c>
      <c r="B27" s="13">
        <v>17939792</v>
      </c>
      <c r="C27" s="13">
        <v>117396365.91</v>
      </c>
      <c r="D27" s="70">
        <f t="shared" si="0"/>
        <v>2.5070547062995682E-3</v>
      </c>
      <c r="F27" s="8" t="str">
        <v>Libia</v>
      </c>
      <c r="G27" s="70">
        <f t="shared" si="1"/>
        <v>2.5070547062995682E-3</v>
      </c>
    </row>
    <row r="28" spans="1:7" x14ac:dyDescent="0.2">
      <c r="A28" s="12" t="s">
        <v>360</v>
      </c>
      <c r="B28" s="13">
        <v>4972415</v>
      </c>
      <c r="C28" s="13">
        <v>9440200</v>
      </c>
      <c r="D28" s="70">
        <f t="shared" si="0"/>
        <v>6.9488634134802485E-4</v>
      </c>
      <c r="F28" s="8" t="str">
        <v>Madagascar</v>
      </c>
      <c r="G28" s="70">
        <f t="shared" si="1"/>
        <v>6.9488634134802485E-4</v>
      </c>
    </row>
    <row r="29" spans="1:7" x14ac:dyDescent="0.2">
      <c r="A29" s="12" t="s">
        <v>361</v>
      </c>
      <c r="B29" s="13">
        <v>260952</v>
      </c>
      <c r="C29" s="13">
        <v>1993590</v>
      </c>
      <c r="D29" s="70">
        <f t="shared" si="0"/>
        <v>3.6467587791334752E-5</v>
      </c>
      <c r="F29" s="8" t="str">
        <v>Malawi</v>
      </c>
      <c r="G29" s="70">
        <f t="shared" si="1"/>
        <v>3.6467587791334752E-5</v>
      </c>
    </row>
    <row r="30" spans="1:7" x14ac:dyDescent="0.2">
      <c r="A30" s="12" t="s">
        <v>478</v>
      </c>
      <c r="B30" s="13">
        <v>225138</v>
      </c>
      <c r="C30" s="13">
        <v>579912.5</v>
      </c>
      <c r="D30" s="70">
        <f t="shared" si="0"/>
        <v>3.1462643628581209E-5</v>
      </c>
      <c r="F30" s="8" t="str">
        <v>Malí</v>
      </c>
      <c r="G30" s="70">
        <f t="shared" si="1"/>
        <v>3.1462643628581209E-5</v>
      </c>
    </row>
    <row r="31" spans="1:7" x14ac:dyDescent="0.2">
      <c r="A31" s="12" t="s">
        <v>372</v>
      </c>
      <c r="B31" s="13">
        <v>90099760</v>
      </c>
      <c r="C31" s="13">
        <v>254750323.83000001</v>
      </c>
      <c r="D31" s="70">
        <f t="shared" si="0"/>
        <v>1.2591284633872097E-2</v>
      </c>
      <c r="F31" s="8" t="str">
        <v>Marruecos</v>
      </c>
      <c r="G31" s="70">
        <f t="shared" si="1"/>
        <v>1.2591284633872097E-2</v>
      </c>
    </row>
    <row r="32" spans="1:7" x14ac:dyDescent="0.2">
      <c r="A32" s="12" t="s">
        <v>367</v>
      </c>
      <c r="B32" s="13">
        <v>9630363</v>
      </c>
      <c r="C32" s="13">
        <v>39250547.799999997</v>
      </c>
      <c r="D32" s="70">
        <f t="shared" si="0"/>
        <v>1.3458264668020246E-3</v>
      </c>
      <c r="F32" s="8" t="str">
        <v>Mauricio</v>
      </c>
      <c r="G32" s="70">
        <f t="shared" si="1"/>
        <v>1.3458264668020246E-3</v>
      </c>
    </row>
    <row r="33" spans="1:7" x14ac:dyDescent="0.2">
      <c r="A33" s="12" t="s">
        <v>366</v>
      </c>
      <c r="B33" s="13">
        <v>1024684</v>
      </c>
      <c r="C33" s="13">
        <v>2586131</v>
      </c>
      <c r="D33" s="70">
        <f t="shared" si="0"/>
        <v>1.4319780545225198E-4</v>
      </c>
      <c r="F33" s="8" t="str">
        <v>Mauritania</v>
      </c>
      <c r="G33" s="70">
        <f t="shared" si="1"/>
        <v>1.4319780545225198E-4</v>
      </c>
    </row>
    <row r="34" spans="1:7" x14ac:dyDescent="0.2">
      <c r="A34" s="12" t="s">
        <v>381</v>
      </c>
      <c r="B34" s="13">
        <v>2675203</v>
      </c>
      <c r="C34" s="13">
        <v>1314099.2</v>
      </c>
      <c r="D34" s="70">
        <f t="shared" si="0"/>
        <v>3.738549628366217E-4</v>
      </c>
      <c r="F34" s="8" t="str">
        <v>Níger</v>
      </c>
      <c r="G34" s="70">
        <f t="shared" si="1"/>
        <v>3.738549628366217E-4</v>
      </c>
    </row>
    <row r="35" spans="1:7" x14ac:dyDescent="0.2">
      <c r="A35" s="12" t="s">
        <v>382</v>
      </c>
      <c r="B35" s="13">
        <v>8090327</v>
      </c>
      <c r="C35" s="13">
        <v>22550333.66</v>
      </c>
      <c r="D35" s="70">
        <f t="shared" si="0"/>
        <v>1.1306091163628021E-3</v>
      </c>
      <c r="F35" s="8" t="str">
        <v>Nigeria</v>
      </c>
      <c r="G35" s="70">
        <f t="shared" si="1"/>
        <v>1.1306091163628021E-3</v>
      </c>
    </row>
    <row r="36" spans="1:7" x14ac:dyDescent="0.2">
      <c r="A36" s="12" t="s">
        <v>439</v>
      </c>
      <c r="B36" s="13">
        <v>625814</v>
      </c>
      <c r="C36" s="13">
        <v>3990958.7</v>
      </c>
      <c r="D36" s="70">
        <f t="shared" si="0"/>
        <v>8.745641721866997E-5</v>
      </c>
      <c r="F36" s="8" t="str">
        <v>Zimbabwe</v>
      </c>
      <c r="G36" s="70">
        <f t="shared" si="1"/>
        <v>8.745641721866997E-5</v>
      </c>
    </row>
    <row r="37" spans="1:7" x14ac:dyDescent="0.2">
      <c r="A37" s="12" t="s">
        <v>398</v>
      </c>
      <c r="B37" s="13">
        <v>119304</v>
      </c>
      <c r="C37" s="13">
        <v>17880</v>
      </c>
      <c r="D37" s="70">
        <f t="shared" si="0"/>
        <v>1.6672526341462804E-5</v>
      </c>
      <c r="F37" s="8" t="str">
        <v>Rwanda</v>
      </c>
      <c r="G37" s="70">
        <f t="shared" si="1"/>
        <v>1.6672526341462804E-5</v>
      </c>
    </row>
    <row r="38" spans="1:7" x14ac:dyDescent="0.2">
      <c r="A38" s="12" t="s">
        <v>401</v>
      </c>
      <c r="B38" s="13">
        <v>4893126</v>
      </c>
      <c r="C38" s="13">
        <v>16937333.18</v>
      </c>
      <c r="D38" s="70">
        <f t="shared" si="0"/>
        <v>6.8380584160712568E-4</v>
      </c>
      <c r="F38" s="8" t="str">
        <v>Senegal</v>
      </c>
      <c r="G38" s="70">
        <f t="shared" si="1"/>
        <v>6.8380584160712568E-4</v>
      </c>
    </row>
    <row r="39" spans="1:7" x14ac:dyDescent="0.2">
      <c r="A39" s="12" t="s">
        <v>404</v>
      </c>
      <c r="B39" s="13">
        <v>903889</v>
      </c>
      <c r="C39" s="13">
        <v>1231252.6200000001</v>
      </c>
      <c r="D39" s="70">
        <f t="shared" si="0"/>
        <v>1.2631691445599873E-4</v>
      </c>
      <c r="F39" s="8" t="str">
        <v>Sierra Leona</v>
      </c>
      <c r="G39" s="70">
        <f t="shared" si="1"/>
        <v>1.2631691445599873E-4</v>
      </c>
    </row>
    <row r="40" spans="1:7" x14ac:dyDescent="0.2">
      <c r="A40" s="12" t="s">
        <v>416</v>
      </c>
      <c r="B40" s="13">
        <v>888678</v>
      </c>
      <c r="C40" s="13">
        <v>4017959</v>
      </c>
      <c r="D40" s="70">
        <f t="shared" si="0"/>
        <v>1.2419120368200966E-4</v>
      </c>
      <c r="F40" s="8" t="str">
        <v>Sudán</v>
      </c>
      <c r="G40" s="70">
        <f t="shared" si="1"/>
        <v>1.2419120368200966E-4</v>
      </c>
    </row>
    <row r="41" spans="1:7" x14ac:dyDescent="0.2">
      <c r="A41" s="12" t="s">
        <v>422</v>
      </c>
      <c r="B41" s="13">
        <v>3591282</v>
      </c>
      <c r="C41" s="13">
        <v>26521771.68</v>
      </c>
      <c r="D41" s="70">
        <f t="shared" si="0"/>
        <v>5.0187540857491125E-4</v>
      </c>
      <c r="F41" s="8" t="str">
        <v>Tanzania</v>
      </c>
      <c r="G41" s="70">
        <f t="shared" si="1"/>
        <v>5.0187540857491125E-4</v>
      </c>
    </row>
    <row r="42" spans="1:7" x14ac:dyDescent="0.2">
      <c r="A42" s="12" t="s">
        <v>424</v>
      </c>
      <c r="B42" s="13">
        <v>337737</v>
      </c>
      <c r="C42" s="13">
        <v>201123.14</v>
      </c>
      <c r="D42" s="70">
        <f t="shared" si="0"/>
        <v>4.7198157890654318E-5</v>
      </c>
      <c r="F42" s="8" t="str">
        <v>Togo</v>
      </c>
      <c r="G42" s="70">
        <f t="shared" si="1"/>
        <v>4.7198157890654318E-5</v>
      </c>
    </row>
    <row r="43" spans="1:7" x14ac:dyDescent="0.2">
      <c r="A43" s="12" t="s">
        <v>426</v>
      </c>
      <c r="B43" s="13">
        <v>81347861</v>
      </c>
      <c r="C43" s="13">
        <v>365526259.88</v>
      </c>
      <c r="D43" s="70">
        <f t="shared" si="0"/>
        <v>1.1368221982030398E-2</v>
      </c>
      <c r="F43" s="8" t="str">
        <v>Túnez</v>
      </c>
      <c r="G43" s="70">
        <f t="shared" si="1"/>
        <v>1.1368221982030398E-2</v>
      </c>
    </row>
    <row r="44" spans="1:7" x14ac:dyDescent="0.2">
      <c r="A44" s="12" t="s">
        <v>428</v>
      </c>
      <c r="B44" s="13">
        <v>265693</v>
      </c>
      <c r="C44" s="13">
        <v>1474100</v>
      </c>
      <c r="D44" s="70">
        <f t="shared" si="0"/>
        <v>3.7130134289229841E-5</v>
      </c>
      <c r="F44" s="8" t="str">
        <v>Uganda</v>
      </c>
      <c r="G44" s="70">
        <f t="shared" si="1"/>
        <v>3.7130134289229841E-5</v>
      </c>
    </row>
    <row r="45" spans="1:7" x14ac:dyDescent="0.2">
      <c r="A45" s="12" t="s">
        <v>438</v>
      </c>
      <c r="B45" s="13">
        <v>46848</v>
      </c>
      <c r="C45" s="13">
        <v>25600</v>
      </c>
      <c r="D45" s="70">
        <f t="shared" si="0"/>
        <v>6.5469264571585981E-6</v>
      </c>
      <c r="F45" s="8" t="str">
        <v>Zambia</v>
      </c>
      <c r="G45" s="70">
        <f t="shared" si="1"/>
        <v>6.5469264571585981E-6</v>
      </c>
    </row>
    <row r="46" spans="1:7" x14ac:dyDescent="0.2">
      <c r="A46" s="12" t="s">
        <v>66</v>
      </c>
      <c r="B46" s="13">
        <v>6217467</v>
      </c>
      <c r="C46" s="13">
        <v>29901485.190000001</v>
      </c>
      <c r="D46" s="70">
        <f t="shared" si="0"/>
        <v>8.6888019123143991E-4</v>
      </c>
      <c r="F46" s="8" t="str">
        <v>Territorios vinculados a Francia</v>
      </c>
      <c r="G46" s="70">
        <f t="shared" si="1"/>
        <v>8.7937318928975089E-4</v>
      </c>
    </row>
    <row r="47" spans="1:7" x14ac:dyDescent="0.2">
      <c r="A47" s="12" t="s">
        <v>267</v>
      </c>
      <c r="B47" s="13">
        <v>4593806</v>
      </c>
      <c r="C47" s="13">
        <v>9643863.4499999993</v>
      </c>
      <c r="D47" s="70">
        <f t="shared" si="0"/>
        <v>6.4197639259848686E-4</v>
      </c>
      <c r="F47" s="8" t="str">
        <v>Angola</v>
      </c>
      <c r="G47" s="70">
        <f t="shared" si="1"/>
        <v>6.4197639259848686E-4</v>
      </c>
    </row>
    <row r="48" spans="1:7" x14ac:dyDescent="0.2">
      <c r="A48" s="12" t="s">
        <v>290</v>
      </c>
      <c r="B48" s="13">
        <v>286504</v>
      </c>
      <c r="C48" s="13">
        <v>293171.59999999998</v>
      </c>
      <c r="D48" s="70">
        <f t="shared" si="0"/>
        <v>4.0038435315953015E-5</v>
      </c>
      <c r="F48" s="8" t="str">
        <v>Cabo Verde</v>
      </c>
      <c r="G48" s="70"/>
    </row>
    <row r="49" spans="1:7" x14ac:dyDescent="0.2">
      <c r="A49" s="12" t="s">
        <v>373</v>
      </c>
      <c r="B49" s="13">
        <v>9086987</v>
      </c>
      <c r="C49" s="13">
        <v>44561585.5</v>
      </c>
      <c r="D49" s="70">
        <f t="shared" si="0"/>
        <v>1.2698906165931575E-3</v>
      </c>
      <c r="F49" s="8" t="str">
        <v>Mozambique</v>
      </c>
      <c r="G49" s="70">
        <f t="shared" si="1"/>
        <v>1.2698906165931575E-3</v>
      </c>
    </row>
    <row r="50" spans="1:7" x14ac:dyDescent="0.2">
      <c r="A50" s="12" t="s">
        <v>299</v>
      </c>
      <c r="B50" s="13">
        <v>69907</v>
      </c>
      <c r="C50" s="13">
        <v>46417.51</v>
      </c>
      <c r="D50" s="70">
        <f t="shared" si="0"/>
        <v>9.7693815710507629E-6</v>
      </c>
      <c r="F50" s="8" t="str">
        <v>Comoras</v>
      </c>
      <c r="G50" s="70">
        <f t="shared" si="1"/>
        <v>9.7693815710507629E-6</v>
      </c>
    </row>
    <row r="51" spans="1:7" x14ac:dyDescent="0.2">
      <c r="A51" s="12" t="s">
        <v>409</v>
      </c>
      <c r="B51" s="13">
        <v>181428556</v>
      </c>
      <c r="C51" s="13">
        <v>818154810.24000001</v>
      </c>
      <c r="D51" s="70">
        <f t="shared" si="0"/>
        <v>2.5354324909504788E-2</v>
      </c>
      <c r="F51" s="8" t="str">
        <v>Sudáfrica</v>
      </c>
      <c r="G51" s="70">
        <f t="shared" si="1"/>
        <v>2.5354324909504788E-2</v>
      </c>
    </row>
    <row r="52" spans="1:7" x14ac:dyDescent="0.2">
      <c r="A52" s="12" t="s">
        <v>1</v>
      </c>
      <c r="B52" s="13" t="s">
        <v>466</v>
      </c>
      <c r="C52" s="13" t="s">
        <v>466</v>
      </c>
      <c r="D52" s="70" t="e">
        <f t="shared" si="0"/>
        <v>#VALUE!</v>
      </c>
      <c r="F52" s="8" t="str">
        <v xml:space="preserve">   </v>
      </c>
      <c r="G52" s="70" t="e">
        <f t="shared" si="1"/>
        <v>#VALUE!</v>
      </c>
    </row>
    <row r="53" spans="1:7" x14ac:dyDescent="0.2">
      <c r="A53" s="12" t="s">
        <v>3</v>
      </c>
      <c r="B53" s="13">
        <v>1886467749</v>
      </c>
      <c r="C53" s="13">
        <v>3705804402.2600002</v>
      </c>
      <c r="D53" s="70">
        <f t="shared" si="0"/>
        <v>0.26363058436869291</v>
      </c>
      <c r="F53" s="8" t="str">
        <v xml:space="preserve">   AMERICA</v>
      </c>
      <c r="G53" s="70">
        <f t="shared" si="1"/>
        <v>0.26363058436869291</v>
      </c>
    </row>
    <row r="54" spans="1:7" x14ac:dyDescent="0.2">
      <c r="A54" s="12" t="s">
        <v>277</v>
      </c>
      <c r="B54" s="13">
        <v>297688</v>
      </c>
      <c r="C54" s="13">
        <v>139271.85999999999</v>
      </c>
      <c r="D54" s="70">
        <f t="shared" si="0"/>
        <v>4.1601379849270592E-5</v>
      </c>
      <c r="F54" s="8" t="str">
        <v>Barbados</v>
      </c>
      <c r="G54" s="70">
        <f t="shared" si="1"/>
        <v>4.1601379849270592E-5</v>
      </c>
    </row>
    <row r="55" spans="1:7" x14ac:dyDescent="0.2">
      <c r="A55" s="12" t="s">
        <v>282</v>
      </c>
      <c r="B55" s="13">
        <v>46964242</v>
      </c>
      <c r="C55" s="13">
        <v>111544747.34</v>
      </c>
      <c r="D55" s="70">
        <f t="shared" si="0"/>
        <v>6.5631710743297269E-3</v>
      </c>
      <c r="F55" s="8" t="str">
        <v>Bolivia</v>
      </c>
      <c r="G55" s="70">
        <f t="shared" si="1"/>
        <v>6.5631710743297269E-3</v>
      </c>
    </row>
    <row r="56" spans="1:7" x14ac:dyDescent="0.2">
      <c r="A56" s="12" t="s">
        <v>285</v>
      </c>
      <c r="B56" s="13">
        <v>447207944</v>
      </c>
      <c r="C56" s="13">
        <v>1096533285.5699999</v>
      </c>
      <c r="D56" s="70">
        <f t="shared" si="0"/>
        <v>6.2496531771369122E-2</v>
      </c>
      <c r="F56" s="8" t="str">
        <v>Brasil</v>
      </c>
      <c r="G56" s="70">
        <f t="shared" si="1"/>
        <v>6.2496531771369122E-2</v>
      </c>
    </row>
    <row r="57" spans="1:7" x14ac:dyDescent="0.2">
      <c r="A57" s="12" t="s">
        <v>293</v>
      </c>
      <c r="B57" s="13">
        <v>14415068</v>
      </c>
      <c r="C57" s="13">
        <v>9804418.0199999996</v>
      </c>
      <c r="D57" s="70">
        <f t="shared" si="0"/>
        <v>2.0144806623749205E-3</v>
      </c>
      <c r="F57" s="8" t="str">
        <v>Canadá</v>
      </c>
      <c r="G57" s="70">
        <f t="shared" si="1"/>
        <v>2.0144806623749205E-3</v>
      </c>
    </row>
    <row r="58" spans="1:7" x14ac:dyDescent="0.2">
      <c r="A58" s="12" t="s">
        <v>298</v>
      </c>
      <c r="B58" s="13">
        <v>54772900</v>
      </c>
      <c r="C58" s="13">
        <v>173060379.22</v>
      </c>
      <c r="D58" s="70">
        <f t="shared" si="0"/>
        <v>7.6544174382108558E-3</v>
      </c>
      <c r="F58" s="8" t="str">
        <v>Colombia</v>
      </c>
      <c r="G58" s="70">
        <f t="shared" si="1"/>
        <v>7.6544174382108558E-3</v>
      </c>
    </row>
    <row r="59" spans="1:7" x14ac:dyDescent="0.2">
      <c r="A59" s="12" t="s">
        <v>302</v>
      </c>
      <c r="B59" s="13">
        <v>1771349</v>
      </c>
      <c r="C59" s="13">
        <v>338675.36</v>
      </c>
      <c r="D59" s="70">
        <f t="shared" si="0"/>
        <v>2.4754293956970254E-4</v>
      </c>
      <c r="F59" s="8" t="str">
        <v>Costa Rica</v>
      </c>
      <c r="G59" s="70">
        <f t="shared" si="1"/>
        <v>2.4754293956970254E-4</v>
      </c>
    </row>
    <row r="60" spans="1:7" x14ac:dyDescent="0.2">
      <c r="A60" s="12" t="s">
        <v>442</v>
      </c>
      <c r="B60" s="13">
        <v>21276705</v>
      </c>
      <c r="C60" s="13">
        <v>91349499.239999995</v>
      </c>
      <c r="D60" s="70">
        <f t="shared" si="0"/>
        <v>2.9733824898748856E-3</v>
      </c>
      <c r="F60" s="8" t="str">
        <v>Cuba</v>
      </c>
      <c r="G60" s="70">
        <f t="shared" si="1"/>
        <v>2.9733824898748856E-3</v>
      </c>
    </row>
    <row r="61" spans="1:7" x14ac:dyDescent="0.2">
      <c r="A61" s="12" t="s">
        <v>296</v>
      </c>
      <c r="B61" s="13">
        <v>230783642</v>
      </c>
      <c r="C61" s="13">
        <v>509485484.42000002</v>
      </c>
      <c r="D61" s="70">
        <f t="shared" si="0"/>
        <v>3.2251612271371632E-2</v>
      </c>
      <c r="F61" s="8" t="str">
        <v>Chile</v>
      </c>
      <c r="G61" s="70">
        <f t="shared" si="1"/>
        <v>3.2251612271371632E-2</v>
      </c>
    </row>
    <row r="62" spans="1:7" x14ac:dyDescent="0.2">
      <c r="A62" s="12" t="s">
        <v>311</v>
      </c>
      <c r="B62" s="13">
        <v>67891263</v>
      </c>
      <c r="C62" s="13">
        <v>131595478.5</v>
      </c>
      <c r="D62" s="70">
        <f t="shared" si="0"/>
        <v>9.4876858338587052E-3</v>
      </c>
      <c r="F62" s="8" t="str">
        <v>República Dominicana</v>
      </c>
      <c r="G62" s="70">
        <f t="shared" si="1"/>
        <v>9.4876858338587052E-3</v>
      </c>
    </row>
    <row r="63" spans="1:7" x14ac:dyDescent="0.2">
      <c r="A63" s="12" t="s">
        <v>312</v>
      </c>
      <c r="B63" s="13">
        <v>63130617</v>
      </c>
      <c r="C63" s="13">
        <v>224279161.13999999</v>
      </c>
      <c r="D63" s="70">
        <f t="shared" si="0"/>
        <v>8.8223938416591187E-3</v>
      </c>
      <c r="F63" s="8" t="str">
        <v>Ecuador</v>
      </c>
      <c r="G63" s="70">
        <f t="shared" si="1"/>
        <v>8.8223938416591187E-3</v>
      </c>
    </row>
    <row r="64" spans="1:7" x14ac:dyDescent="0.2">
      <c r="A64" s="12" t="s">
        <v>314</v>
      </c>
      <c r="B64" s="13">
        <v>11034840</v>
      </c>
      <c r="C64" s="13">
        <v>39933199.990000002</v>
      </c>
      <c r="D64" s="70">
        <f t="shared" si="0"/>
        <v>1.5420996829429642E-3</v>
      </c>
      <c r="F64" s="8" t="str">
        <v>El Salvador</v>
      </c>
      <c r="G64" s="70">
        <f t="shared" si="1"/>
        <v>1.5420996829429642E-3</v>
      </c>
    </row>
    <row r="65" spans="1:7" x14ac:dyDescent="0.2">
      <c r="A65" s="12" t="s">
        <v>432</v>
      </c>
      <c r="B65" s="13">
        <v>295868862</v>
      </c>
      <c r="C65" s="13">
        <v>314903622.26999998</v>
      </c>
      <c r="D65" s="70">
        <f t="shared" si="0"/>
        <v>4.1347158480131624E-2</v>
      </c>
      <c r="F65" s="8" t="str">
        <v>Estados Unidos</v>
      </c>
      <c r="G65" s="70">
        <f t="shared" si="1"/>
        <v>4.1347158480131624E-2</v>
      </c>
    </row>
    <row r="66" spans="1:7" x14ac:dyDescent="0.2">
      <c r="A66" s="12" t="s">
        <v>328</v>
      </c>
      <c r="B66" s="13">
        <v>23934170</v>
      </c>
      <c r="C66" s="13">
        <v>46062475.020000003</v>
      </c>
      <c r="D66" s="70">
        <f t="shared" si="0"/>
        <v>3.3447585980859716E-3</v>
      </c>
      <c r="F66" s="8" t="str">
        <v>Guatemala</v>
      </c>
      <c r="G66" s="70">
        <f t="shared" si="1"/>
        <v>3.3447585980859716E-3</v>
      </c>
    </row>
    <row r="67" spans="1:7" x14ac:dyDescent="0.2">
      <c r="A67" s="12" t="s">
        <v>332</v>
      </c>
      <c r="B67" s="13">
        <v>131973</v>
      </c>
      <c r="C67" s="13">
        <v>62331.7</v>
      </c>
      <c r="D67" s="70">
        <f t="shared" si="0"/>
        <v>1.8442997040014336E-5</v>
      </c>
      <c r="F67" s="8" t="str">
        <v>Guyana</v>
      </c>
      <c r="G67" s="70">
        <f t="shared" si="1"/>
        <v>1.8442997040014336E-5</v>
      </c>
    </row>
    <row r="68" spans="1:7" x14ac:dyDescent="0.2">
      <c r="A68" s="12" t="s">
        <v>333</v>
      </c>
      <c r="B68" s="13">
        <v>291497</v>
      </c>
      <c r="C68" s="13">
        <v>207198.05</v>
      </c>
      <c r="D68" s="70">
        <f t="shared" si="0"/>
        <v>4.0736198375221141E-5</v>
      </c>
      <c r="F68" s="8" t="str">
        <v>Haití</v>
      </c>
      <c r="G68" s="70">
        <f t="shared" si="1"/>
        <v>4.0736198375221141E-5</v>
      </c>
    </row>
    <row r="69" spans="1:7" x14ac:dyDescent="0.2">
      <c r="A69" s="12" t="s">
        <v>334</v>
      </c>
      <c r="B69" s="13">
        <v>8694845</v>
      </c>
      <c r="C69" s="13">
        <v>32769469.510000002</v>
      </c>
      <c r="D69" s="70">
        <f t="shared" si="0"/>
        <v>1.2150894546489317E-3</v>
      </c>
      <c r="F69" s="8" t="str">
        <v>Honduras</v>
      </c>
      <c r="G69" s="70">
        <f t="shared" si="1"/>
        <v>1.2150894546489317E-3</v>
      </c>
    </row>
    <row r="70" spans="1:7" x14ac:dyDescent="0.2">
      <c r="A70" s="12" t="s">
        <v>345</v>
      </c>
      <c r="B70" s="13">
        <v>3771633</v>
      </c>
      <c r="C70" s="13">
        <v>6506940.6500000004</v>
      </c>
      <c r="D70" s="70">
        <f t="shared" si="0"/>
        <v>5.2707914690899198E-4</v>
      </c>
      <c r="F70" s="8" t="str">
        <v>Jamaica</v>
      </c>
      <c r="G70" s="70">
        <f t="shared" si="1"/>
        <v>5.2707914690899198E-4</v>
      </c>
    </row>
    <row r="71" spans="1:7" x14ac:dyDescent="0.2">
      <c r="A71" s="12" t="s">
        <v>368</v>
      </c>
      <c r="B71" s="13">
        <v>185349814</v>
      </c>
      <c r="C71" s="13">
        <v>42353156.369999997</v>
      </c>
      <c r="D71" s="70">
        <f t="shared" si="0"/>
        <v>2.5902313889729019E-2</v>
      </c>
      <c r="F71" s="8" t="str">
        <v>México</v>
      </c>
      <c r="G71" s="70">
        <f t="shared" si="1"/>
        <v>2.5902313889729019E-2</v>
      </c>
    </row>
    <row r="72" spans="1:7" x14ac:dyDescent="0.2">
      <c r="A72" s="12" t="s">
        <v>380</v>
      </c>
      <c r="B72" s="13">
        <v>6241962</v>
      </c>
      <c r="C72" s="13">
        <v>15023390.310000001</v>
      </c>
      <c r="D72" s="70">
        <f t="shared" si="0"/>
        <v>8.7230332484585459E-4</v>
      </c>
      <c r="F72" s="8" t="str">
        <v>Nicaragua</v>
      </c>
      <c r="G72" s="70">
        <f t="shared" si="1"/>
        <v>8.7230332484585459E-4</v>
      </c>
    </row>
    <row r="73" spans="1:7" x14ac:dyDescent="0.2">
      <c r="A73" s="12" t="s">
        <v>387</v>
      </c>
      <c r="B73" s="13">
        <v>11510626</v>
      </c>
      <c r="C73" s="13">
        <v>37703905.439999998</v>
      </c>
      <c r="D73" s="70">
        <f t="shared" si="0"/>
        <v>1.6085899482978494E-3</v>
      </c>
      <c r="F73" s="8" t="str">
        <v>Panamá</v>
      </c>
      <c r="G73" s="70">
        <f t="shared" si="1"/>
        <v>1.6085899482978494E-3</v>
      </c>
    </row>
    <row r="74" spans="1:7" x14ac:dyDescent="0.2">
      <c r="A74" s="12" t="s">
        <v>389</v>
      </c>
      <c r="B74" s="13">
        <v>46216468</v>
      </c>
      <c r="C74" s="13">
        <v>90971267.879999995</v>
      </c>
      <c r="D74" s="70">
        <f t="shared" si="0"/>
        <v>6.4586709593925824E-3</v>
      </c>
      <c r="F74" s="8" t="str">
        <v>Paraguay</v>
      </c>
      <c r="G74" s="70">
        <f t="shared" si="1"/>
        <v>6.4586709593925824E-3</v>
      </c>
    </row>
    <row r="75" spans="1:7" x14ac:dyDescent="0.2">
      <c r="A75" s="12" t="s">
        <v>390</v>
      </c>
      <c r="B75" s="13">
        <v>153307297</v>
      </c>
      <c r="C75" s="13">
        <v>495201335.94</v>
      </c>
      <c r="D75" s="70">
        <f t="shared" ref="D75:D138" si="2">+B75/$B$8</f>
        <v>2.1424427911645557E-2</v>
      </c>
      <c r="F75" s="8" t="str">
        <v>Perú</v>
      </c>
      <c r="G75" s="70">
        <f t="shared" ref="G75:G138" si="3">+SUMIF(A75:A220,F75,D75:D220)</f>
        <v>2.1424427911645557E-2</v>
      </c>
    </row>
    <row r="76" spans="1:7" x14ac:dyDescent="0.2">
      <c r="A76" s="12" t="s">
        <v>394</v>
      </c>
      <c r="B76" s="13">
        <v>3281261</v>
      </c>
      <c r="C76" s="13">
        <v>8870024.1300000008</v>
      </c>
      <c r="D76" s="70">
        <f t="shared" si="2"/>
        <v>4.5855051344225324E-4</v>
      </c>
      <c r="F76" s="8" t="str">
        <v>Puerto Rico(Estado Asociado)</v>
      </c>
      <c r="G76" s="70">
        <f t="shared" si="3"/>
        <v>4.5855051344225324E-4</v>
      </c>
    </row>
    <row r="77" spans="1:7" x14ac:dyDescent="0.2">
      <c r="A77" s="12" t="s">
        <v>425</v>
      </c>
      <c r="B77" s="13">
        <v>3177442</v>
      </c>
      <c r="C77" s="13">
        <v>3849307.69</v>
      </c>
      <c r="D77" s="70">
        <f t="shared" si="2"/>
        <v>4.440419888978597E-4</v>
      </c>
      <c r="F77" s="8" t="str">
        <v>Trinidad y Tobago</v>
      </c>
      <c r="G77" s="70">
        <f t="shared" si="3"/>
        <v>4.440419888978597E-4</v>
      </c>
    </row>
    <row r="78" spans="1:7" x14ac:dyDescent="0.2">
      <c r="A78" s="12" t="s">
        <v>433</v>
      </c>
      <c r="B78" s="13">
        <v>60041740</v>
      </c>
      <c r="C78" s="13">
        <v>99696146.989999995</v>
      </c>
      <c r="D78" s="70">
        <f t="shared" si="2"/>
        <v>8.3907286573565078E-3</v>
      </c>
      <c r="F78" s="8" t="str">
        <v>Uruguay</v>
      </c>
      <c r="G78" s="70">
        <f t="shared" si="3"/>
        <v>8.3907286573565078E-3</v>
      </c>
    </row>
    <row r="79" spans="1:7" x14ac:dyDescent="0.2">
      <c r="A79" s="12" t="s">
        <v>435</v>
      </c>
      <c r="B79" s="13">
        <v>116159324</v>
      </c>
      <c r="C79" s="13">
        <v>112924036.27</v>
      </c>
      <c r="D79" s="70">
        <f t="shared" si="2"/>
        <v>1.6233063344032996E-2</v>
      </c>
      <c r="F79" s="8" t="str">
        <v>Venezuela</v>
      </c>
      <c r="G79" s="70">
        <f t="shared" si="3"/>
        <v>1.6233063344032996E-2</v>
      </c>
    </row>
    <row r="80" spans="1:7" x14ac:dyDescent="0.2">
      <c r="A80" s="12" t="s">
        <v>479</v>
      </c>
      <c r="B80" s="13">
        <v>99420</v>
      </c>
      <c r="C80" s="13">
        <v>14900</v>
      </c>
      <c r="D80" s="70">
        <f t="shared" si="2"/>
        <v>1.3893771951219002E-5</v>
      </c>
      <c r="F80" s="8" t="str">
        <v>Territ. vinc. al Reino Unido</v>
      </c>
      <c r="G80" s="70">
        <f t="shared" si="3"/>
        <v>1.3893771951219002E-5</v>
      </c>
    </row>
    <row r="81" spans="1:7" x14ac:dyDescent="0.2">
      <c r="A81" s="12" t="s">
        <v>66</v>
      </c>
      <c r="B81" s="13">
        <v>75085</v>
      </c>
      <c r="C81" s="13">
        <v>31076.1</v>
      </c>
      <c r="D81" s="70">
        <f t="shared" si="2"/>
        <v>1.0492998058310992E-5</v>
      </c>
      <c r="F81" s="8" t="str">
        <v>Territorios vinculados a EE.UU.</v>
      </c>
      <c r="G81" s="70">
        <f t="shared" si="3"/>
        <v>2.0424208113766416E-6</v>
      </c>
    </row>
    <row r="82" spans="1:7" x14ac:dyDescent="0.2">
      <c r="A82" s="12" t="s">
        <v>489</v>
      </c>
      <c r="B82" s="13">
        <v>14615</v>
      </c>
      <c r="C82" s="13">
        <v>2988.2</v>
      </c>
      <c r="D82" s="70">
        <f t="shared" si="2"/>
        <v>2.0424208113766416E-6</v>
      </c>
      <c r="F82" s="8" t="str">
        <v>Suriname</v>
      </c>
      <c r="G82" s="70">
        <f t="shared" si="3"/>
        <v>8.5989898984349994E-6</v>
      </c>
    </row>
    <row r="83" spans="1:7" x14ac:dyDescent="0.2">
      <c r="A83" s="12" t="s">
        <v>417</v>
      </c>
      <c r="B83" s="13">
        <v>61532</v>
      </c>
      <c r="C83" s="13">
        <v>59674.25</v>
      </c>
      <c r="D83" s="70">
        <f t="shared" si="2"/>
        <v>8.5989898984349994E-6</v>
      </c>
      <c r="F83" s="8" t="str">
        <v>Dominica</v>
      </c>
      <c r="G83" s="70">
        <f t="shared" si="3"/>
        <v>2.7737234529047953E-6</v>
      </c>
    </row>
    <row r="84" spans="1:7" x14ac:dyDescent="0.2">
      <c r="A84" s="12" t="s">
        <v>310</v>
      </c>
      <c r="B84" s="13">
        <v>19848</v>
      </c>
      <c r="C84" s="13">
        <v>8483.85</v>
      </c>
      <c r="D84" s="70">
        <f t="shared" si="2"/>
        <v>2.7737234529047953E-6</v>
      </c>
      <c r="F84" s="8" t="str">
        <v>Santa Lucía</v>
      </c>
      <c r="G84" s="70">
        <f t="shared" si="3"/>
        <v>4.1517810390139342E-5</v>
      </c>
    </row>
    <row r="85" spans="1:7" x14ac:dyDescent="0.2">
      <c r="A85" s="12" t="s">
        <v>468</v>
      </c>
      <c r="B85" s="13">
        <v>297090</v>
      </c>
      <c r="C85" s="13">
        <v>225708.94</v>
      </c>
      <c r="D85" s="70">
        <f t="shared" si="2"/>
        <v>4.1517810390139342E-5</v>
      </c>
      <c r="F85" s="8" t="str">
        <v>San Vicente y las Granadinas</v>
      </c>
      <c r="G85" s="70">
        <f t="shared" si="3"/>
        <v>3.1344696097633423E-5</v>
      </c>
    </row>
    <row r="86" spans="1:7" x14ac:dyDescent="0.2">
      <c r="A86" s="12" t="s">
        <v>415</v>
      </c>
      <c r="B86" s="13">
        <v>224294</v>
      </c>
      <c r="C86" s="13">
        <v>103082.2</v>
      </c>
      <c r="D86" s="70">
        <f t="shared" si="2"/>
        <v>3.1344696097633423E-5</v>
      </c>
      <c r="F86" s="8" t="str">
        <v>Belice</v>
      </c>
      <c r="G86" s="70">
        <f t="shared" si="3"/>
        <v>8.416338923377233E-6</v>
      </c>
    </row>
    <row r="87" spans="1:7" x14ac:dyDescent="0.2">
      <c r="A87" s="12" t="s">
        <v>280</v>
      </c>
      <c r="B87" s="13">
        <v>60225</v>
      </c>
      <c r="C87" s="13">
        <v>23650.33</v>
      </c>
      <c r="D87" s="70">
        <f t="shared" si="2"/>
        <v>8.416338923377233E-6</v>
      </c>
      <c r="F87" s="8" t="str">
        <v>Antigua y Barbuda</v>
      </c>
      <c r="G87" s="70">
        <f t="shared" si="3"/>
        <v>4.0575907121670062E-6</v>
      </c>
    </row>
    <row r="88" spans="1:7" x14ac:dyDescent="0.2">
      <c r="A88" s="12" t="s">
        <v>268</v>
      </c>
      <c r="B88" s="13">
        <v>29035</v>
      </c>
      <c r="C88" s="13">
        <v>73906.86</v>
      </c>
      <c r="D88" s="70">
        <f t="shared" si="2"/>
        <v>4.0575907121670062E-6</v>
      </c>
      <c r="F88" s="8" t="str">
        <v>San Cristóbal y Nevis</v>
      </c>
      <c r="G88" s="70">
        <f t="shared" si="3"/>
        <v>1.9892465986685465E-5</v>
      </c>
    </row>
    <row r="89" spans="1:7" x14ac:dyDescent="0.2">
      <c r="A89" s="12" t="s">
        <v>472</v>
      </c>
      <c r="B89" s="13">
        <v>142345</v>
      </c>
      <c r="C89" s="13">
        <v>65144.26</v>
      </c>
      <c r="D89" s="70">
        <f t="shared" si="2"/>
        <v>1.9892465986685465E-5</v>
      </c>
      <c r="F89" s="8" t="str">
        <v>Bahamas</v>
      </c>
      <c r="G89" s="70">
        <f t="shared" si="3"/>
        <v>2.0786156105655948E-6</v>
      </c>
    </row>
    <row r="90" spans="1:7" x14ac:dyDescent="0.2">
      <c r="A90" s="12" t="s">
        <v>274</v>
      </c>
      <c r="B90" s="13">
        <v>14874</v>
      </c>
      <c r="C90" s="13">
        <v>22793</v>
      </c>
      <c r="D90" s="70">
        <f t="shared" si="2"/>
        <v>2.0786156105655948E-6</v>
      </c>
      <c r="F90" s="8" t="str">
        <v>Grenada</v>
      </c>
      <c r="G90" s="70">
        <f t="shared" si="3"/>
        <v>2.0659823679143154E-5</v>
      </c>
    </row>
    <row r="91" spans="1:7" x14ac:dyDescent="0.2">
      <c r="A91" s="12" t="s">
        <v>327</v>
      </c>
      <c r="B91" s="13">
        <v>147836</v>
      </c>
      <c r="C91" s="13">
        <v>66547.320000000007</v>
      </c>
      <c r="D91" s="70">
        <f t="shared" si="2"/>
        <v>2.0659823679143154E-5</v>
      </c>
      <c r="F91" s="8" t="str">
        <v>Antillas Holandesas</v>
      </c>
      <c r="G91" s="70">
        <f t="shared" si="3"/>
        <v>6.6414745395496338E-4</v>
      </c>
    </row>
    <row r="92" spans="1:7" x14ac:dyDescent="0.2">
      <c r="A92" s="12" t="s">
        <v>377</v>
      </c>
      <c r="B92" s="13">
        <v>4752456</v>
      </c>
      <c r="C92" s="13">
        <v>9123646.2899999991</v>
      </c>
      <c r="D92" s="70">
        <f t="shared" si="2"/>
        <v>6.6414745395496338E-4</v>
      </c>
      <c r="F92" s="8" t="str">
        <v>Aruba</v>
      </c>
      <c r="G92" s="70">
        <f t="shared" si="3"/>
        <v>2.5433372673954347E-4</v>
      </c>
    </row>
    <row r="93" spans="1:7" x14ac:dyDescent="0.2">
      <c r="A93" s="12" t="s">
        <v>270</v>
      </c>
      <c r="B93" s="13">
        <v>1819942</v>
      </c>
      <c r="C93" s="13">
        <v>582320.18000000005</v>
      </c>
      <c r="D93" s="70">
        <f t="shared" si="2"/>
        <v>2.5433372673954347E-4</v>
      </c>
      <c r="F93" s="8" t="str">
        <v>Punta Arenas (Chile)</v>
      </c>
      <c r="G93" s="70">
        <f t="shared" si="3"/>
        <v>1.2449194193627464E-5</v>
      </c>
    </row>
    <row r="94" spans="1:7" x14ac:dyDescent="0.2">
      <c r="A94" s="12" t="s">
        <v>446</v>
      </c>
      <c r="B94" s="13">
        <v>89083</v>
      </c>
      <c r="C94" s="13">
        <v>17648.5</v>
      </c>
      <c r="D94" s="70">
        <f t="shared" si="2"/>
        <v>1.2449194193627464E-5</v>
      </c>
      <c r="F94" s="8" t="str">
        <v>Colonia (Uruguay)</v>
      </c>
      <c r="G94" s="70">
        <f t="shared" si="3"/>
        <v>1.9173461191985989E-7</v>
      </c>
    </row>
    <row r="95" spans="1:7" x14ac:dyDescent="0.2">
      <c r="A95" s="12" t="s">
        <v>440</v>
      </c>
      <c r="B95" s="13">
        <v>1372</v>
      </c>
      <c r="C95" s="13">
        <v>298.10000000000002</v>
      </c>
      <c r="D95" s="70">
        <f t="shared" si="2"/>
        <v>1.9173461191985989E-7</v>
      </c>
      <c r="F95" s="8" t="str">
        <v>Libertad (Uruguay)</v>
      </c>
      <c r="G95" s="70">
        <f t="shared" si="3"/>
        <v>1.2717091606929484E-6</v>
      </c>
    </row>
    <row r="96" spans="1:7" x14ac:dyDescent="0.2">
      <c r="A96" s="12" t="s">
        <v>490</v>
      </c>
      <c r="B96" s="13">
        <v>9100</v>
      </c>
      <c r="C96" s="13">
        <v>9520</v>
      </c>
      <c r="D96" s="70">
        <f t="shared" si="2"/>
        <v>1.2717091606929484E-6</v>
      </c>
      <c r="F96" s="8" t="str">
        <v>Zonamérica (ex Montevideo)</v>
      </c>
      <c r="G96" s="70">
        <f t="shared" si="3"/>
        <v>1.5145566984945056E-4</v>
      </c>
    </row>
    <row r="97" spans="1:7" x14ac:dyDescent="0.2">
      <c r="A97" s="12" t="s">
        <v>480</v>
      </c>
      <c r="B97" s="13">
        <v>1083775</v>
      </c>
      <c r="C97" s="13">
        <v>204565</v>
      </c>
      <c r="D97" s="70">
        <f t="shared" si="2"/>
        <v>1.5145566984945056E-4</v>
      </c>
      <c r="F97" s="8" t="str">
        <v>Nueva Palmira (Uruguay)</v>
      </c>
      <c r="G97" s="70">
        <f t="shared" si="3"/>
        <v>9.0836368620924879E-8</v>
      </c>
    </row>
    <row r="98" spans="1:7" x14ac:dyDescent="0.2">
      <c r="A98" s="12" t="s">
        <v>491</v>
      </c>
      <c r="B98" s="13">
        <v>650</v>
      </c>
      <c r="C98" s="13">
        <v>240</v>
      </c>
      <c r="D98" s="70">
        <f t="shared" si="2"/>
        <v>9.0836368620924879E-8</v>
      </c>
      <c r="F98" s="8" t="str">
        <v xml:space="preserve">   ASIA</v>
      </c>
      <c r="G98" s="70">
        <f t="shared" si="3"/>
        <v>0.3409036782652618</v>
      </c>
    </row>
    <row r="99" spans="1:7" x14ac:dyDescent="0.2">
      <c r="A99" s="12" t="s">
        <v>1</v>
      </c>
      <c r="B99" s="13" t="s">
        <v>466</v>
      </c>
      <c r="C99" s="13" t="s">
        <v>466</v>
      </c>
      <c r="D99" s="70" t="e">
        <f t="shared" si="2"/>
        <v>#VALUE!</v>
      </c>
      <c r="F99" s="8" t="str">
        <v>Afganistán</v>
      </c>
      <c r="G99" s="70">
        <f t="shared" si="3"/>
        <v>2.7294232546696675E-5</v>
      </c>
    </row>
    <row r="100" spans="1:7" x14ac:dyDescent="0.2">
      <c r="A100" s="12" t="s">
        <v>4</v>
      </c>
      <c r="B100" s="13">
        <v>2439412696</v>
      </c>
      <c r="C100" s="13">
        <v>7340369501.7700005</v>
      </c>
      <c r="D100" s="70">
        <f t="shared" si="2"/>
        <v>0.3409036782652618</v>
      </c>
      <c r="F100" s="8" t="str">
        <v>Arabia Saudita</v>
      </c>
      <c r="G100" s="70">
        <f t="shared" si="3"/>
        <v>5.9489573504435019E-3</v>
      </c>
    </row>
    <row r="101" spans="1:7" x14ac:dyDescent="0.2">
      <c r="A101" s="12" t="s">
        <v>263</v>
      </c>
      <c r="B101" s="13">
        <v>195310</v>
      </c>
      <c r="C101" s="13">
        <v>105000</v>
      </c>
      <c r="D101" s="70">
        <f t="shared" si="2"/>
        <v>2.7294232546696675E-5</v>
      </c>
      <c r="F101" s="8" t="str">
        <v>Bahrein</v>
      </c>
      <c r="G101" s="70">
        <f t="shared" si="3"/>
        <v>5.6502736750884776E-5</v>
      </c>
    </row>
    <row r="102" spans="1:7" x14ac:dyDescent="0.2">
      <c r="A102" s="12" t="s">
        <v>400</v>
      </c>
      <c r="B102" s="13">
        <v>42569098</v>
      </c>
      <c r="C102" s="13">
        <v>274340648.12</v>
      </c>
      <c r="D102" s="70">
        <f t="shared" si="2"/>
        <v>5.9489573504435019E-3</v>
      </c>
      <c r="F102" s="8" t="str">
        <v>Camboya (ex Kampuchea)</v>
      </c>
      <c r="G102" s="70">
        <f t="shared" si="3"/>
        <v>1.7299702554899492E-4</v>
      </c>
    </row>
    <row r="103" spans="1:7" x14ac:dyDescent="0.2">
      <c r="A103" s="12" t="s">
        <v>275</v>
      </c>
      <c r="B103" s="13">
        <v>404318</v>
      </c>
      <c r="C103" s="13">
        <v>1935892.46</v>
      </c>
      <c r="D103" s="70">
        <f t="shared" si="2"/>
        <v>5.6502736750884776E-5</v>
      </c>
      <c r="F103" s="8" t="str">
        <v>Sri Lanka</v>
      </c>
      <c r="G103" s="70">
        <f t="shared" si="3"/>
        <v>9.2914858458057002E-4</v>
      </c>
    </row>
    <row r="104" spans="1:7" x14ac:dyDescent="0.2">
      <c r="A104" s="12" t="s">
        <v>291</v>
      </c>
      <c r="B104" s="13">
        <v>1237919</v>
      </c>
      <c r="C104" s="13">
        <v>59955.5</v>
      </c>
      <c r="D104" s="70">
        <f t="shared" si="2"/>
        <v>1.7299702554899492E-4</v>
      </c>
      <c r="F104" s="8" t="str">
        <v>Corea Republicana</v>
      </c>
      <c r="G104" s="70">
        <f t="shared" si="3"/>
        <v>1.7883498393144539E-2</v>
      </c>
    </row>
    <row r="105" spans="1:7" x14ac:dyDescent="0.2">
      <c r="A105" s="12" t="s">
        <v>412</v>
      </c>
      <c r="B105" s="13">
        <v>6648731</v>
      </c>
      <c r="C105" s="13">
        <v>54111336.700000003</v>
      </c>
      <c r="D105" s="70">
        <f t="shared" si="2"/>
        <v>9.2914858458057002E-4</v>
      </c>
      <c r="F105" s="8" t="str">
        <v>China</v>
      </c>
      <c r="G105" s="70">
        <f t="shared" si="3"/>
        <v>0.14625869872141845</v>
      </c>
    </row>
    <row r="106" spans="1:7" x14ac:dyDescent="0.2">
      <c r="A106" s="12" t="s">
        <v>350</v>
      </c>
      <c r="B106" s="13">
        <v>127969382</v>
      </c>
      <c r="C106" s="13">
        <v>378401750.58999997</v>
      </c>
      <c r="D106" s="70">
        <f t="shared" si="2"/>
        <v>1.7883498393144539E-2</v>
      </c>
      <c r="F106" s="8" t="str">
        <v>Filipinas</v>
      </c>
      <c r="G106" s="70">
        <f t="shared" si="3"/>
        <v>1.8266039129548692E-2</v>
      </c>
    </row>
    <row r="107" spans="1:7" x14ac:dyDescent="0.2">
      <c r="A107" s="12" t="s">
        <v>297</v>
      </c>
      <c r="B107" s="13">
        <v>1046586908</v>
      </c>
      <c r="C107" s="13">
        <v>2445312710.5999999</v>
      </c>
      <c r="D107" s="70">
        <f t="shared" si="2"/>
        <v>0.14625869872141845</v>
      </c>
      <c r="F107" s="8" t="str">
        <v>Taiwan</v>
      </c>
      <c r="G107" s="70">
        <f t="shared" si="3"/>
        <v>3.3536186377329975E-3</v>
      </c>
    </row>
    <row r="108" spans="1:7" x14ac:dyDescent="0.2">
      <c r="A108" s="12" t="s">
        <v>391</v>
      </c>
      <c r="B108" s="13">
        <v>130706738</v>
      </c>
      <c r="C108" s="13">
        <v>618534361.69000006</v>
      </c>
      <c r="D108" s="70">
        <f t="shared" si="2"/>
        <v>1.8266039129548692E-2</v>
      </c>
      <c r="F108" s="8" t="str">
        <v>India</v>
      </c>
      <c r="G108" s="70">
        <f t="shared" si="3"/>
        <v>4.6154870613936368E-2</v>
      </c>
    </row>
    <row r="109" spans="1:7" x14ac:dyDescent="0.2">
      <c r="A109" s="12" t="s">
        <v>421</v>
      </c>
      <c r="B109" s="13">
        <v>23997570</v>
      </c>
      <c r="C109" s="13">
        <v>47189604.399999999</v>
      </c>
      <c r="D109" s="70">
        <f t="shared" si="2"/>
        <v>3.3536186377329975E-3</v>
      </c>
      <c r="F109" s="8" t="str">
        <v>Indonesia</v>
      </c>
      <c r="G109" s="70">
        <f t="shared" si="3"/>
        <v>1.3363519400835173E-2</v>
      </c>
    </row>
    <row r="110" spans="1:7" x14ac:dyDescent="0.2">
      <c r="A110" s="12" t="s">
        <v>338</v>
      </c>
      <c r="B110" s="13">
        <v>330271524</v>
      </c>
      <c r="C110" s="13">
        <v>625461582.77999997</v>
      </c>
      <c r="D110" s="70">
        <f t="shared" si="2"/>
        <v>4.6154870613936368E-2</v>
      </c>
      <c r="F110" s="8" t="str">
        <v>Iraq</v>
      </c>
      <c r="G110" s="70">
        <f t="shared" si="3"/>
        <v>7.4170955465866395E-4</v>
      </c>
    </row>
    <row r="111" spans="1:7" x14ac:dyDescent="0.2">
      <c r="A111" s="12" t="s">
        <v>339</v>
      </c>
      <c r="B111" s="13">
        <v>95625659</v>
      </c>
      <c r="C111" s="13">
        <v>479312708.86000001</v>
      </c>
      <c r="D111" s="70">
        <f t="shared" si="2"/>
        <v>1.3363519400835173E-2</v>
      </c>
      <c r="F111" s="8" t="str">
        <v>Israel</v>
      </c>
      <c r="G111" s="70">
        <f t="shared" si="3"/>
        <v>6.4191106028720947E-3</v>
      </c>
    </row>
    <row r="112" spans="1:7" x14ac:dyDescent="0.2">
      <c r="A112" s="12" t="s">
        <v>341</v>
      </c>
      <c r="B112" s="13">
        <v>5307469</v>
      </c>
      <c r="C112" s="13">
        <v>21729646.399999999</v>
      </c>
      <c r="D112" s="70">
        <f t="shared" si="2"/>
        <v>7.4170955465866395E-4</v>
      </c>
      <c r="F112" s="8" t="str">
        <v>Japón</v>
      </c>
      <c r="G112" s="70">
        <f t="shared" si="3"/>
        <v>1.448059585474909E-3</v>
      </c>
    </row>
    <row r="113" spans="1:7" x14ac:dyDescent="0.2">
      <c r="A113" s="12" t="s">
        <v>343</v>
      </c>
      <c r="B113" s="13">
        <v>45933385</v>
      </c>
      <c r="C113" s="13">
        <v>128470821.40000001</v>
      </c>
      <c r="D113" s="70">
        <f t="shared" si="2"/>
        <v>6.4191106028720947E-3</v>
      </c>
      <c r="F113" s="8" t="str">
        <v>Jordania</v>
      </c>
      <c r="G113" s="70">
        <f t="shared" si="3"/>
        <v>5.2983249506567374E-3</v>
      </c>
    </row>
    <row r="114" spans="1:7" x14ac:dyDescent="0.2">
      <c r="A114" s="12" t="s">
        <v>346</v>
      </c>
      <c r="B114" s="13">
        <v>10361915</v>
      </c>
      <c r="C114" s="13">
        <v>3842037.33</v>
      </c>
      <c r="D114" s="70">
        <f t="shared" si="2"/>
        <v>1.448059585474909E-3</v>
      </c>
      <c r="F114" s="8" t="str">
        <v>Qatar</v>
      </c>
      <c r="G114" s="70">
        <f t="shared" si="3"/>
        <v>1.6168873614524628E-7</v>
      </c>
    </row>
    <row r="115" spans="1:7" x14ac:dyDescent="0.2">
      <c r="A115" s="12" t="s">
        <v>347</v>
      </c>
      <c r="B115" s="13">
        <v>37913352</v>
      </c>
      <c r="C115" s="13">
        <v>166515394.41</v>
      </c>
      <c r="D115" s="70">
        <f t="shared" si="2"/>
        <v>5.2983249506567374E-3</v>
      </c>
      <c r="F115" s="8" t="str">
        <v>Kuwait</v>
      </c>
      <c r="G115" s="70">
        <f t="shared" si="3"/>
        <v>4.0756517772140344E-4</v>
      </c>
    </row>
    <row r="116" spans="1:7" x14ac:dyDescent="0.2">
      <c r="A116" s="12" t="s">
        <v>395</v>
      </c>
      <c r="B116" s="13">
        <v>1157</v>
      </c>
      <c r="C116" s="13">
        <v>4097.67</v>
      </c>
      <c r="D116" s="70">
        <f t="shared" si="2"/>
        <v>1.6168873614524628E-7</v>
      </c>
      <c r="F116" s="8" t="str">
        <v>Líbano</v>
      </c>
      <c r="G116" s="70">
        <f t="shared" si="3"/>
        <v>1.5674505761942108E-3</v>
      </c>
    </row>
    <row r="117" spans="1:7" x14ac:dyDescent="0.2">
      <c r="A117" s="12" t="s">
        <v>351</v>
      </c>
      <c r="B117" s="13">
        <v>2916424</v>
      </c>
      <c r="C117" s="13">
        <v>24843823.550000001</v>
      </c>
      <c r="D117" s="70">
        <f t="shared" si="2"/>
        <v>4.0756517772140344E-4</v>
      </c>
      <c r="F117" s="8" t="str">
        <v>Malasia</v>
      </c>
      <c r="G117" s="70">
        <f t="shared" si="3"/>
        <v>1.5485531317893989E-2</v>
      </c>
    </row>
    <row r="118" spans="1:7" x14ac:dyDescent="0.2">
      <c r="A118" s="12" t="s">
        <v>353</v>
      </c>
      <c r="B118" s="13">
        <v>11216244</v>
      </c>
      <c r="C118" s="13">
        <v>42509262.259999998</v>
      </c>
      <c r="D118" s="70">
        <f t="shared" si="2"/>
        <v>1.5674505761942108E-3</v>
      </c>
      <c r="F118" s="8" t="str">
        <v>Omán</v>
      </c>
      <c r="G118" s="70">
        <f t="shared" si="3"/>
        <v>6.6474487776397022E-4</v>
      </c>
    </row>
    <row r="119" spans="1:7" x14ac:dyDescent="0.2">
      <c r="A119" s="12" t="s">
        <v>362</v>
      </c>
      <c r="B119" s="13">
        <v>110810191</v>
      </c>
      <c r="C119" s="13">
        <v>568962342.38999999</v>
      </c>
      <c r="D119" s="70">
        <f t="shared" si="2"/>
        <v>1.5485531317893989E-2</v>
      </c>
      <c r="F119" s="8" t="str">
        <v>Emiratos Arabes Unidos</v>
      </c>
      <c r="G119" s="70">
        <f t="shared" si="3"/>
        <v>6.2779327187614531E-3</v>
      </c>
    </row>
    <row r="120" spans="1:7" x14ac:dyDescent="0.2">
      <c r="A120" s="12" t="s">
        <v>385</v>
      </c>
      <c r="B120" s="13">
        <v>4756731</v>
      </c>
      <c r="C120" s="13">
        <v>18972021.379999999</v>
      </c>
      <c r="D120" s="70">
        <f t="shared" si="2"/>
        <v>6.6474487776397022E-4</v>
      </c>
      <c r="F120" s="8" t="str">
        <v>Paquistán</v>
      </c>
      <c r="G120" s="70">
        <f t="shared" si="3"/>
        <v>3.1491399627921407E-3</v>
      </c>
    </row>
    <row r="121" spans="1:7" x14ac:dyDescent="0.2">
      <c r="A121" s="12" t="s">
        <v>430</v>
      </c>
      <c r="B121" s="13">
        <v>44923155</v>
      </c>
      <c r="C121" s="13">
        <v>206423288.47999999</v>
      </c>
      <c r="D121" s="70">
        <f t="shared" si="2"/>
        <v>6.2779327187614531E-3</v>
      </c>
      <c r="F121" s="8" t="str">
        <v>Singapur</v>
      </c>
      <c r="G121" s="70">
        <f t="shared" si="3"/>
        <v>2.8941654902831708E-4</v>
      </c>
    </row>
    <row r="122" spans="1:7" x14ac:dyDescent="0.2">
      <c r="A122" s="12" t="s">
        <v>386</v>
      </c>
      <c r="B122" s="13">
        <v>22534377</v>
      </c>
      <c r="C122" s="13">
        <v>48149902.600000001</v>
      </c>
      <c r="D122" s="70">
        <f t="shared" si="2"/>
        <v>3.1491399627921407E-3</v>
      </c>
      <c r="F122" s="8" t="str">
        <v>Siria</v>
      </c>
      <c r="G122" s="70">
        <f t="shared" si="3"/>
        <v>6.7896338274559603E-3</v>
      </c>
    </row>
    <row r="123" spans="1:7" x14ac:dyDescent="0.2">
      <c r="A123" s="12" t="s">
        <v>405</v>
      </c>
      <c r="B123" s="13">
        <v>2070985</v>
      </c>
      <c r="C123" s="13">
        <v>1298671.08</v>
      </c>
      <c r="D123" s="70">
        <f t="shared" si="2"/>
        <v>2.8941654902831708E-4</v>
      </c>
      <c r="F123" s="8" t="str">
        <v>Tailandia</v>
      </c>
      <c r="G123" s="70">
        <f t="shared" si="3"/>
        <v>1.8252979095713152E-2</v>
      </c>
    </row>
    <row r="124" spans="1:7" x14ac:dyDescent="0.2">
      <c r="A124" s="12" t="s">
        <v>420</v>
      </c>
      <c r="B124" s="13">
        <v>48584747</v>
      </c>
      <c r="C124" s="13">
        <v>253736330.63999999</v>
      </c>
      <c r="D124" s="70">
        <f t="shared" si="2"/>
        <v>6.7896338274559603E-3</v>
      </c>
      <c r="F124" s="8" t="str">
        <v>Vietnam</v>
      </c>
      <c r="G124" s="70">
        <f t="shared" si="3"/>
        <v>1.0386028871126472E-2</v>
      </c>
    </row>
    <row r="125" spans="1:7" x14ac:dyDescent="0.2">
      <c r="A125" s="12" t="s">
        <v>423</v>
      </c>
      <c r="B125" s="13">
        <v>130613284</v>
      </c>
      <c r="C125" s="13">
        <v>390616898.75999999</v>
      </c>
      <c r="D125" s="70">
        <f t="shared" si="2"/>
        <v>1.8252979095713152E-2</v>
      </c>
      <c r="F125" s="8" t="str">
        <v>Hong Kong (China)</v>
      </c>
      <c r="G125" s="70">
        <f t="shared" si="3"/>
        <v>1.9416430310773239E-3</v>
      </c>
    </row>
    <row r="126" spans="1:7" x14ac:dyDescent="0.2">
      <c r="A126" s="12" t="s">
        <v>436</v>
      </c>
      <c r="B126" s="13">
        <v>74319558</v>
      </c>
      <c r="C126" s="13">
        <v>326474268.81</v>
      </c>
      <c r="D126" s="70">
        <f t="shared" si="2"/>
        <v>1.0386028871126472E-2</v>
      </c>
      <c r="F126" s="8" t="str">
        <v>Bangladesh</v>
      </c>
      <c r="G126" s="70">
        <f t="shared" si="3"/>
        <v>7.8024580798449379E-3</v>
      </c>
    </row>
    <row r="127" spans="1:7" x14ac:dyDescent="0.2">
      <c r="A127" s="12" t="s">
        <v>481</v>
      </c>
      <c r="B127" s="13">
        <v>13893862</v>
      </c>
      <c r="C127" s="13">
        <v>17824783.5</v>
      </c>
      <c r="D127" s="70">
        <f t="shared" si="2"/>
        <v>1.9416430310773239E-3</v>
      </c>
      <c r="F127" s="8" t="str">
        <v>República de Yemen</v>
      </c>
      <c r="G127" s="70">
        <f t="shared" si="3"/>
        <v>1.563081626360063E-3</v>
      </c>
    </row>
    <row r="128" spans="1:7" x14ac:dyDescent="0.2">
      <c r="A128" s="12" t="s">
        <v>276</v>
      </c>
      <c r="B128" s="13">
        <v>55832238</v>
      </c>
      <c r="C128" s="13">
        <v>125157996.95999999</v>
      </c>
      <c r="D128" s="70">
        <f t="shared" si="2"/>
        <v>7.8024580798449379E-3</v>
      </c>
      <c r="F128" s="8" t="str">
        <v>Armenia</v>
      </c>
      <c r="G128" s="70">
        <f t="shared" si="3"/>
        <v>6.4284199331731456E-8</v>
      </c>
    </row>
    <row r="129" spans="1:7" x14ac:dyDescent="0.2">
      <c r="A129" s="12" t="s">
        <v>437</v>
      </c>
      <c r="B129" s="13">
        <v>11184981</v>
      </c>
      <c r="C129" s="13">
        <v>70040753.760000005</v>
      </c>
      <c r="D129" s="70">
        <f t="shared" si="2"/>
        <v>1.563081626360063E-3</v>
      </c>
      <c r="F129" s="8" t="str">
        <v>Georgia</v>
      </c>
      <c r="G129" s="70">
        <f t="shared" si="3"/>
        <v>3.497060443646191E-6</v>
      </c>
    </row>
    <row r="130" spans="1:7" x14ac:dyDescent="0.2">
      <c r="A130" s="12" t="s">
        <v>269</v>
      </c>
      <c r="B130" s="13">
        <v>460</v>
      </c>
      <c r="C130" s="13">
        <v>887.5</v>
      </c>
      <c r="D130" s="70">
        <f t="shared" si="2"/>
        <v>6.4284199331731456E-8</v>
      </c>
      <c r="F130" s="8" t="str">
        <v xml:space="preserve">   EUROPA</v>
      </c>
      <c r="G130" s="70">
        <f t="shared" si="3"/>
        <v>0.27259207971482424</v>
      </c>
    </row>
    <row r="131" spans="1:7" x14ac:dyDescent="0.2">
      <c r="A131" s="12" t="s">
        <v>323</v>
      </c>
      <c r="B131" s="13">
        <v>25024</v>
      </c>
      <c r="C131" s="13">
        <v>30721.19</v>
      </c>
      <c r="D131" s="70">
        <f t="shared" si="2"/>
        <v>3.497060443646191E-6</v>
      </c>
      <c r="F131" s="8" t="str">
        <v>Albania</v>
      </c>
      <c r="G131" s="70">
        <f t="shared" si="3"/>
        <v>3.7485374364667363E-5</v>
      </c>
    </row>
    <row r="132" spans="1:7" x14ac:dyDescent="0.2">
      <c r="A132" s="12" t="s">
        <v>1</v>
      </c>
      <c r="B132" s="13" t="s">
        <v>466</v>
      </c>
      <c r="C132" s="13" t="s">
        <v>466</v>
      </c>
      <c r="D132" s="70" t="e">
        <f t="shared" si="2"/>
        <v>#VALUE!</v>
      </c>
      <c r="F132" s="8" t="str">
        <v>Austria</v>
      </c>
      <c r="G132" s="70">
        <f t="shared" si="3"/>
        <v>2.829960947459307E-4</v>
      </c>
    </row>
    <row r="133" spans="1:7" x14ac:dyDescent="0.2">
      <c r="A133" s="12" t="s">
        <v>5</v>
      </c>
      <c r="B133" s="13">
        <v>1950593738</v>
      </c>
      <c r="C133" s="13">
        <v>8821441147.6100006</v>
      </c>
      <c r="D133" s="70">
        <f t="shared" si="2"/>
        <v>0.27259207971482424</v>
      </c>
      <c r="F133" s="8" t="str">
        <v>Bélgica</v>
      </c>
      <c r="G133" s="70">
        <f t="shared" si="3"/>
        <v>7.5055930883379642E-3</v>
      </c>
    </row>
    <row r="134" spans="1:7" x14ac:dyDescent="0.2">
      <c r="A134" s="12" t="s">
        <v>264</v>
      </c>
      <c r="B134" s="13">
        <v>268235</v>
      </c>
      <c r="C134" s="13">
        <v>871709.57</v>
      </c>
      <c r="D134" s="70">
        <f t="shared" si="2"/>
        <v>3.7485374364667363E-5</v>
      </c>
      <c r="F134" s="8" t="str">
        <v>Bulgaria</v>
      </c>
      <c r="G134" s="70">
        <f t="shared" si="3"/>
        <v>4.3018259501845723E-4</v>
      </c>
    </row>
    <row r="135" spans="1:7" x14ac:dyDescent="0.2">
      <c r="A135" s="12" t="s">
        <v>272</v>
      </c>
      <c r="B135" s="13">
        <v>2025042</v>
      </c>
      <c r="C135" s="13">
        <v>113242.22</v>
      </c>
      <c r="D135" s="70">
        <f t="shared" si="2"/>
        <v>2.829960947459307E-4</v>
      </c>
      <c r="F135" s="8" t="str">
        <v>Dinamarca</v>
      </c>
      <c r="G135" s="70">
        <f t="shared" si="3"/>
        <v>2.1379281118454881E-2</v>
      </c>
    </row>
    <row r="136" spans="1:7" x14ac:dyDescent="0.2">
      <c r="A136" s="12" t="s">
        <v>279</v>
      </c>
      <c r="B136" s="13">
        <v>53707954</v>
      </c>
      <c r="C136" s="13">
        <v>273672297.69</v>
      </c>
      <c r="D136" s="70">
        <f t="shared" si="2"/>
        <v>7.5055930883379642E-3</v>
      </c>
      <c r="F136" s="8" t="str">
        <v>España</v>
      </c>
      <c r="G136" s="70">
        <f t="shared" si="3"/>
        <v>5.9827201945227795E-2</v>
      </c>
    </row>
    <row r="137" spans="1:7" x14ac:dyDescent="0.2">
      <c r="A137" s="12" t="s">
        <v>287</v>
      </c>
      <c r="B137" s="13">
        <v>3078268</v>
      </c>
      <c r="C137" s="13">
        <v>2397417.19</v>
      </c>
      <c r="D137" s="70">
        <f t="shared" si="2"/>
        <v>4.3018259501845723E-4</v>
      </c>
      <c r="F137" s="8" t="str">
        <v>Finlandia</v>
      </c>
      <c r="G137" s="70">
        <f t="shared" si="3"/>
        <v>7.1029568317261917E-5</v>
      </c>
    </row>
    <row r="138" spans="1:7" x14ac:dyDescent="0.2">
      <c r="A138" s="12" t="s">
        <v>308</v>
      </c>
      <c r="B138" s="13">
        <v>152984239</v>
      </c>
      <c r="C138" s="13">
        <v>816926506.98000002</v>
      </c>
      <c r="D138" s="70">
        <f t="shared" si="2"/>
        <v>2.1379281118454881E-2</v>
      </c>
      <c r="F138" s="8" t="str">
        <v>Francia</v>
      </c>
      <c r="G138" s="70">
        <f t="shared" si="3"/>
        <v>5.9795977153136743E-3</v>
      </c>
    </row>
    <row r="139" spans="1:7" x14ac:dyDescent="0.2">
      <c r="A139" s="12" t="s">
        <v>411</v>
      </c>
      <c r="B139" s="13">
        <v>428106956</v>
      </c>
      <c r="C139" s="13">
        <v>2215385197.9099998</v>
      </c>
      <c r="D139" s="70">
        <f t="shared" ref="D139:D155" si="4">+B139/$B$8</f>
        <v>5.9827201945227795E-2</v>
      </c>
      <c r="F139" s="8" t="str">
        <v>Grecia</v>
      </c>
      <c r="G139" s="70">
        <f t="shared" ref="G139:G151" si="5">+SUMIF(A139:A284,F139,D139:D284)</f>
        <v>6.2967246672052312E-3</v>
      </c>
    </row>
    <row r="140" spans="1:7" x14ac:dyDescent="0.2">
      <c r="A140" s="12" t="s">
        <v>319</v>
      </c>
      <c r="B140" s="13">
        <v>508268</v>
      </c>
      <c r="C140" s="13">
        <v>100754.4</v>
      </c>
      <c r="D140" s="70">
        <f t="shared" si="4"/>
        <v>7.1029568317261917E-5</v>
      </c>
      <c r="F140" s="8" t="str">
        <v>Hungría</v>
      </c>
      <c r="G140" s="70">
        <f t="shared" si="5"/>
        <v>6.5829815080881344E-6</v>
      </c>
    </row>
    <row r="141" spans="1:7" x14ac:dyDescent="0.2">
      <c r="A141" s="12" t="s">
        <v>320</v>
      </c>
      <c r="B141" s="13">
        <v>42788352</v>
      </c>
      <c r="C141" s="13">
        <v>117909077.01000001</v>
      </c>
      <c r="D141" s="70">
        <f t="shared" si="4"/>
        <v>5.9795977153136743E-3</v>
      </c>
      <c r="F141" s="8" t="str">
        <v>Irlanda</v>
      </c>
      <c r="G141" s="70">
        <f t="shared" si="5"/>
        <v>4.6313986025632711E-3</v>
      </c>
    </row>
    <row r="142" spans="1:7" x14ac:dyDescent="0.2">
      <c r="A142" s="12" t="s">
        <v>326</v>
      </c>
      <c r="B142" s="13">
        <v>45057625</v>
      </c>
      <c r="C142" s="13">
        <v>209126184.72999999</v>
      </c>
      <c r="D142" s="70">
        <f t="shared" si="4"/>
        <v>6.2967246672052312E-3</v>
      </c>
      <c r="F142" s="8" t="str">
        <v>Italia</v>
      </c>
      <c r="G142" s="70">
        <f t="shared" si="5"/>
        <v>4.8140963094389873E-2</v>
      </c>
    </row>
    <row r="143" spans="1:7" x14ac:dyDescent="0.2">
      <c r="A143" s="12" t="s">
        <v>336</v>
      </c>
      <c r="B143" s="13">
        <v>47106</v>
      </c>
      <c r="C143" s="13">
        <v>20988.99</v>
      </c>
      <c r="D143" s="70">
        <f t="shared" si="4"/>
        <v>6.5829815080881344E-6</v>
      </c>
      <c r="F143" s="8" t="str">
        <v>Luxemburgo</v>
      </c>
      <c r="G143" s="70">
        <f t="shared" si="5"/>
        <v>2.9602734044002918E-5</v>
      </c>
    </row>
    <row r="144" spans="1:7" x14ac:dyDescent="0.2">
      <c r="A144" s="12" t="s">
        <v>342</v>
      </c>
      <c r="B144" s="13">
        <v>33141011</v>
      </c>
      <c r="C144" s="13">
        <v>158471126.47</v>
      </c>
      <c r="D144" s="70">
        <f t="shared" si="4"/>
        <v>4.6313986025632711E-3</v>
      </c>
      <c r="F144" s="8" t="str">
        <v>Malta</v>
      </c>
      <c r="G144" s="70">
        <f t="shared" si="5"/>
        <v>1.7010647255121769E-4</v>
      </c>
    </row>
    <row r="145" spans="1:7" x14ac:dyDescent="0.2">
      <c r="A145" s="12" t="s">
        <v>344</v>
      </c>
      <c r="B145" s="13">
        <v>344483454</v>
      </c>
      <c r="C145" s="13">
        <v>1536226872.97</v>
      </c>
      <c r="D145" s="70">
        <f t="shared" si="4"/>
        <v>4.8140963094389873E-2</v>
      </c>
      <c r="F145" s="8" t="str">
        <v>Noruega</v>
      </c>
      <c r="G145" s="70">
        <f t="shared" si="5"/>
        <v>3.755218800749454E-4</v>
      </c>
    </row>
    <row r="146" spans="1:7" x14ac:dyDescent="0.2">
      <c r="A146" s="12" t="s">
        <v>358</v>
      </c>
      <c r="B146" s="13">
        <v>211829</v>
      </c>
      <c r="C146" s="13">
        <v>25764.27</v>
      </c>
      <c r="D146" s="70">
        <f t="shared" si="4"/>
        <v>2.9602734044002918E-5</v>
      </c>
      <c r="F146" s="8" t="str">
        <v>Países Bajos</v>
      </c>
      <c r="G146" s="70">
        <f t="shared" si="5"/>
        <v>5.2492344476104943E-2</v>
      </c>
    </row>
    <row r="147" spans="1:7" x14ac:dyDescent="0.2">
      <c r="A147" s="12" t="s">
        <v>365</v>
      </c>
      <c r="B147" s="13">
        <v>1217235</v>
      </c>
      <c r="C147" s="13">
        <v>4853514.3</v>
      </c>
      <c r="D147" s="70">
        <f t="shared" si="4"/>
        <v>1.7010647255121769E-4</v>
      </c>
      <c r="F147" s="8" t="str">
        <v>Polonia</v>
      </c>
      <c r="G147" s="70">
        <f t="shared" si="5"/>
        <v>1.7794801011382245E-2</v>
      </c>
    </row>
    <row r="148" spans="1:7" x14ac:dyDescent="0.2">
      <c r="A148" s="12" t="s">
        <v>384</v>
      </c>
      <c r="B148" s="13">
        <v>2687131</v>
      </c>
      <c r="C148" s="13">
        <v>8922916.1500000004</v>
      </c>
      <c r="D148" s="70">
        <f t="shared" si="4"/>
        <v>3.755218800749454E-4</v>
      </c>
      <c r="F148" s="8" t="str">
        <v>Portugal</v>
      </c>
      <c r="G148" s="70">
        <f t="shared" si="5"/>
        <v>3.4809667545952325E-3</v>
      </c>
    </row>
    <row r="149" spans="1:7" x14ac:dyDescent="0.2">
      <c r="A149" s="12" t="s">
        <v>378</v>
      </c>
      <c r="B149" s="13">
        <v>375620739</v>
      </c>
      <c r="C149" s="13">
        <v>1901183230.22</v>
      </c>
      <c r="D149" s="70">
        <f t="shared" si="4"/>
        <v>5.2492344476104943E-2</v>
      </c>
      <c r="F149" s="8" t="str">
        <v>Reino Unido</v>
      </c>
      <c r="G149" s="70">
        <f t="shared" si="5"/>
        <v>7.6642773766540089E-3</v>
      </c>
    </row>
    <row r="150" spans="1:7" x14ac:dyDescent="0.2">
      <c r="A150" s="12" t="s">
        <v>392</v>
      </c>
      <c r="B150" s="13">
        <v>127334688</v>
      </c>
      <c r="C150" s="13">
        <v>606608374.75</v>
      </c>
      <c r="D150" s="70">
        <f t="shared" si="4"/>
        <v>1.7794801011382245E-2</v>
      </c>
      <c r="F150" s="8" t="str">
        <v>Rumania</v>
      </c>
      <c r="G150" s="70">
        <f t="shared" si="5"/>
        <v>6.200359158700481E-4</v>
      </c>
    </row>
    <row r="151" spans="1:7" x14ac:dyDescent="0.2">
      <c r="A151" s="12" t="s">
        <v>393</v>
      </c>
      <c r="B151" s="13">
        <v>24908838</v>
      </c>
      <c r="C151" s="13">
        <v>158767625.03999999</v>
      </c>
      <c r="D151" s="70">
        <f t="shared" si="4"/>
        <v>3.4809667545952325E-3</v>
      </c>
      <c r="F151" s="8" t="str">
        <v>Suecia</v>
      </c>
      <c r="G151" s="70">
        <f t="shared" si="5"/>
        <v>3.819002701312473E-4</v>
      </c>
    </row>
    <row r="152" spans="1:7" x14ac:dyDescent="0.2">
      <c r="A152" s="12" t="s">
        <v>431</v>
      </c>
      <c r="B152" s="13">
        <v>54843455</v>
      </c>
      <c r="C152" s="13">
        <v>155587146.16</v>
      </c>
      <c r="D152" s="70">
        <f t="shared" si="4"/>
        <v>7.6642773766540089E-3</v>
      </c>
      <c r="F152" s="8" t="str">
        <v>Suiza</v>
      </c>
    </row>
    <row r="153" spans="1:7" x14ac:dyDescent="0.2">
      <c r="A153" s="12" t="s">
        <v>396</v>
      </c>
      <c r="B153" s="13">
        <v>4436806</v>
      </c>
      <c r="C153" s="13">
        <v>18647103.190000001</v>
      </c>
      <c r="D153" s="70">
        <f t="shared" si="4"/>
        <v>6.200359158700481E-4</v>
      </c>
    </row>
    <row r="154" spans="1:7" x14ac:dyDescent="0.2">
      <c r="A154" s="12" t="s">
        <v>418</v>
      </c>
      <c r="B154" s="13">
        <v>2732773</v>
      </c>
      <c r="C154" s="13">
        <v>462833.95</v>
      </c>
      <c r="D154" s="70">
        <f t="shared" si="4"/>
        <v>3.819002701312473E-4</v>
      </c>
    </row>
    <row r="155" spans="1:7" x14ac:dyDescent="0.2">
      <c r="A155" s="12" t="s">
        <v>419</v>
      </c>
      <c r="B155" s="13">
        <v>930320</v>
      </c>
      <c r="C155" s="13">
        <v>554131.87</v>
      </c>
      <c r="D155" s="70">
        <f t="shared" si="4"/>
        <v>1.3001060070064435E-4</v>
      </c>
    </row>
    <row r="156" spans="1:7" x14ac:dyDescent="0.2">
      <c r="A156" s="12" t="s">
        <v>306</v>
      </c>
      <c r="B156" s="13">
        <v>5698353</v>
      </c>
      <c r="C156" s="13">
        <v>30523540.800000001</v>
      </c>
    </row>
    <row r="157" spans="1:7" x14ac:dyDescent="0.2">
      <c r="A157" s="12" t="s">
        <v>427</v>
      </c>
      <c r="B157" s="13">
        <v>86350808</v>
      </c>
      <c r="C157" s="13">
        <v>362608770.49000001</v>
      </c>
    </row>
    <row r="158" spans="1:7" x14ac:dyDescent="0.2">
      <c r="A158" s="12" t="s">
        <v>324</v>
      </c>
      <c r="B158" s="13">
        <v>106078762</v>
      </c>
      <c r="C158" s="13">
        <v>197754931.43000001</v>
      </c>
    </row>
    <row r="159" spans="1:7" x14ac:dyDescent="0.2">
      <c r="A159" s="12" t="s">
        <v>484</v>
      </c>
      <c r="B159" s="13">
        <v>12575</v>
      </c>
      <c r="C159" s="13">
        <v>724.97</v>
      </c>
    </row>
    <row r="160" spans="1:7" x14ac:dyDescent="0.2">
      <c r="A160" s="12" t="s">
        <v>316</v>
      </c>
      <c r="B160" s="13">
        <v>112320</v>
      </c>
      <c r="C160" s="13">
        <v>6458.15</v>
      </c>
    </row>
    <row r="161" spans="1:3" x14ac:dyDescent="0.2">
      <c r="A161" s="12" t="s">
        <v>352</v>
      </c>
      <c r="B161" s="13">
        <v>8829</v>
      </c>
      <c r="C161" s="13">
        <v>28939.52</v>
      </c>
    </row>
    <row r="162" spans="1:3" x14ac:dyDescent="0.2">
      <c r="A162" s="12" t="s">
        <v>357</v>
      </c>
      <c r="B162" s="13">
        <v>122687</v>
      </c>
      <c r="C162" s="13">
        <v>94304.75</v>
      </c>
    </row>
    <row r="163" spans="1:3" x14ac:dyDescent="0.2">
      <c r="A163" s="12" t="s">
        <v>397</v>
      </c>
      <c r="B163" s="13">
        <v>41109669</v>
      </c>
      <c r="C163" s="13">
        <v>25388070.050000001</v>
      </c>
    </row>
    <row r="164" spans="1:3" x14ac:dyDescent="0.2">
      <c r="A164" s="12" t="s">
        <v>429</v>
      </c>
      <c r="B164" s="13">
        <v>5147717</v>
      </c>
      <c r="C164" s="13">
        <v>1689116.54</v>
      </c>
    </row>
    <row r="165" spans="1:3" x14ac:dyDescent="0.2">
      <c r="A165" s="12" t="s">
        <v>283</v>
      </c>
      <c r="B165" s="13">
        <v>756657</v>
      </c>
      <c r="C165" s="13">
        <v>2346810.25</v>
      </c>
    </row>
    <row r="166" spans="1:3" x14ac:dyDescent="0.2">
      <c r="A166" s="12" t="s">
        <v>304</v>
      </c>
      <c r="B166" s="13">
        <v>2151985</v>
      </c>
      <c r="C166" s="13">
        <v>7254638.0499999998</v>
      </c>
    </row>
    <row r="167" spans="1:3" x14ac:dyDescent="0.2">
      <c r="A167" s="12" t="s">
        <v>407</v>
      </c>
      <c r="B167" s="13">
        <v>1187532</v>
      </c>
      <c r="C167" s="13">
        <v>6631164.0800000001</v>
      </c>
    </row>
    <row r="168" spans="1:3" x14ac:dyDescent="0.2">
      <c r="A168" s="12" t="s">
        <v>383</v>
      </c>
      <c r="B168" s="13">
        <v>320055</v>
      </c>
      <c r="C168" s="13">
        <v>153930.23000000001</v>
      </c>
    </row>
    <row r="169" spans="1:3" x14ac:dyDescent="0.2">
      <c r="A169" s="12" t="s">
        <v>307</v>
      </c>
      <c r="B169" s="13">
        <v>342677</v>
      </c>
      <c r="C169" s="13">
        <v>69015.25</v>
      </c>
    </row>
    <row r="170" spans="1:3" x14ac:dyDescent="0.2">
      <c r="A170" s="12" t="s">
        <v>485</v>
      </c>
      <c r="B170" s="13">
        <v>72788</v>
      </c>
      <c r="C170" s="13">
        <v>56717.02</v>
      </c>
    </row>
    <row r="171" spans="1:3" x14ac:dyDescent="0.2">
      <c r="A171" s="12" t="s">
        <v>1</v>
      </c>
      <c r="B171" s="13" t="s">
        <v>466</v>
      </c>
      <c r="C171" s="13" t="s">
        <v>466</v>
      </c>
    </row>
    <row r="172" spans="1:3" x14ac:dyDescent="0.2">
      <c r="A172" s="12" t="s">
        <v>6</v>
      </c>
      <c r="B172" s="13">
        <v>10483175</v>
      </c>
      <c r="C172" s="13">
        <v>2924269.87</v>
      </c>
    </row>
    <row r="173" spans="1:3" x14ac:dyDescent="0.2">
      <c r="A173" s="12" t="s">
        <v>271</v>
      </c>
      <c r="B173" s="13">
        <v>9860576</v>
      </c>
      <c r="C173" s="13">
        <v>1970202.87</v>
      </c>
    </row>
    <row r="174" spans="1:3" x14ac:dyDescent="0.2">
      <c r="A174" s="14" t="s">
        <v>379</v>
      </c>
      <c r="B174" s="15">
        <v>622599</v>
      </c>
      <c r="C174" s="15">
        <v>954067</v>
      </c>
    </row>
    <row r="176" spans="1:3" x14ac:dyDescent="0.2">
      <c r="A176" s="7" t="s">
        <v>16</v>
      </c>
    </row>
  </sheetData>
  <mergeCells count="2">
    <mergeCell ref="A1:C2"/>
    <mergeCell ref="B4:C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68"/>
  <sheetViews>
    <sheetView workbookViewId="0">
      <selection activeCell="A10" sqref="A10"/>
    </sheetView>
  </sheetViews>
  <sheetFormatPr baseColWidth="10" defaultRowHeight="15" x14ac:dyDescent="0.2"/>
  <cols>
    <col min="1" max="1" width="80.625" style="8" customWidth="1"/>
    <col min="2" max="3" width="20" style="9" customWidth="1"/>
    <col min="4" max="16384" width="11" style="8"/>
  </cols>
  <sheetData>
    <row r="1" spans="1:7" x14ac:dyDescent="0.2">
      <c r="A1" s="66" t="s">
        <v>256</v>
      </c>
      <c r="B1" s="66"/>
      <c r="C1" s="66"/>
    </row>
    <row r="2" spans="1:7" x14ac:dyDescent="0.2">
      <c r="A2" s="66"/>
      <c r="B2" s="66"/>
      <c r="C2" s="66"/>
    </row>
    <row r="3" spans="1:7" x14ac:dyDescent="0.2">
      <c r="A3" s="1"/>
      <c r="B3" s="1"/>
      <c r="C3" s="1"/>
    </row>
    <row r="4" spans="1:7" x14ac:dyDescent="0.2">
      <c r="A4" s="2"/>
      <c r="B4" s="67" t="s">
        <v>23</v>
      </c>
      <c r="C4" s="67"/>
    </row>
    <row r="5" spans="1:7" x14ac:dyDescent="0.2">
      <c r="A5" s="3" t="s">
        <v>465</v>
      </c>
      <c r="B5" s="4" t="s">
        <v>10</v>
      </c>
      <c r="C5" s="4" t="s">
        <v>11</v>
      </c>
    </row>
    <row r="6" spans="1:7" x14ac:dyDescent="0.2">
      <c r="A6" s="5"/>
      <c r="B6" s="6" t="s">
        <v>13</v>
      </c>
      <c r="C6" s="6" t="s">
        <v>14</v>
      </c>
    </row>
    <row r="8" spans="1:7" x14ac:dyDescent="0.2">
      <c r="A8" s="10" t="s">
        <v>0</v>
      </c>
      <c r="B8" s="11">
        <v>6265776098</v>
      </c>
      <c r="C8" s="11">
        <v>23632375135.77</v>
      </c>
    </row>
    <row r="9" spans="1:7" x14ac:dyDescent="0.2">
      <c r="A9" s="12" t="s">
        <v>1</v>
      </c>
      <c r="B9" s="13" t="s">
        <v>466</v>
      </c>
      <c r="C9" s="13" t="s">
        <v>466</v>
      </c>
    </row>
    <row r="10" spans="1:7" x14ac:dyDescent="0.2">
      <c r="A10" s="12" t="s">
        <v>2</v>
      </c>
      <c r="B10" s="13">
        <v>607464359</v>
      </c>
      <c r="C10" s="13">
        <v>2561070424.9000001</v>
      </c>
      <c r="D10" s="70">
        <f>+B10/$B$8</f>
        <v>9.6949579668813762E-2</v>
      </c>
      <c r="F10" s="8" t="str" cm="1">
        <f t="array" ref="F10:F152">+_xlfn.UNIQUE(A10:A155)</f>
        <v xml:space="preserve">   AFRICA</v>
      </c>
      <c r="G10" s="8">
        <f>+SUMIF(A10:A155,F10,D10:D155)</f>
        <v>9.6949579668813762E-2</v>
      </c>
    </row>
    <row r="11" spans="1:7" x14ac:dyDescent="0.2">
      <c r="A11" s="12" t="s">
        <v>265</v>
      </c>
      <c r="B11" s="13">
        <v>102745179</v>
      </c>
      <c r="C11" s="13">
        <v>303186833.68000001</v>
      </c>
      <c r="D11" s="70">
        <f t="shared" ref="D11:D74" si="0">+B11/$B$8</f>
        <v>1.6397837617082373E-2</v>
      </c>
      <c r="F11" s="8" t="str">
        <v>Argelia</v>
      </c>
      <c r="G11" s="8">
        <f t="shared" ref="G11:G74" si="1">+SUMIF(A11:A156,F11,D11:D156)</f>
        <v>1.6397837617082373E-2</v>
      </c>
    </row>
    <row r="12" spans="1:7" x14ac:dyDescent="0.2">
      <c r="A12" s="12" t="s">
        <v>292</v>
      </c>
      <c r="B12" s="13">
        <v>664536</v>
      </c>
      <c r="C12" s="13">
        <v>401631.96</v>
      </c>
      <c r="D12" s="70">
        <f t="shared" si="0"/>
        <v>1.0605805084738283E-4</v>
      </c>
      <c r="F12" s="8" t="str">
        <v>Camerún</v>
      </c>
      <c r="G12" s="8">
        <f t="shared" si="1"/>
        <v>1.0605805084738283E-4</v>
      </c>
    </row>
    <row r="13" spans="1:7" x14ac:dyDescent="0.2">
      <c r="A13" s="12" t="s">
        <v>301</v>
      </c>
      <c r="B13" s="13">
        <v>6065160</v>
      </c>
      <c r="C13" s="13">
        <v>7948308.2400000002</v>
      </c>
      <c r="D13" s="70">
        <f t="shared" si="0"/>
        <v>9.6798224276414292E-4</v>
      </c>
      <c r="F13" s="8" t="str">
        <v>Congo</v>
      </c>
      <c r="G13" s="8">
        <f t="shared" si="1"/>
        <v>9.6798224276414292E-4</v>
      </c>
    </row>
    <row r="14" spans="1:7" x14ac:dyDescent="0.2">
      <c r="A14" s="12" t="s">
        <v>303</v>
      </c>
      <c r="B14" s="13">
        <v>1186421</v>
      </c>
      <c r="C14" s="13">
        <v>3772273.22</v>
      </c>
      <c r="D14" s="70">
        <f t="shared" si="0"/>
        <v>1.8934940882721596E-4</v>
      </c>
      <c r="F14" s="8" t="str">
        <v>Costa de Marfil</v>
      </c>
      <c r="G14" s="8">
        <f t="shared" si="1"/>
        <v>1.8934940882721596E-4</v>
      </c>
    </row>
    <row r="15" spans="1:7" x14ac:dyDescent="0.2">
      <c r="A15" s="12" t="s">
        <v>281</v>
      </c>
      <c r="B15" s="13">
        <v>484717</v>
      </c>
      <c r="C15" s="13">
        <v>310846.84000000003</v>
      </c>
      <c r="D15" s="70">
        <f t="shared" si="0"/>
        <v>7.7359451154776965E-5</v>
      </c>
      <c r="F15" s="8" t="str">
        <v>Benin</v>
      </c>
      <c r="G15" s="8">
        <f t="shared" si="1"/>
        <v>7.7359451154776965E-5</v>
      </c>
    </row>
    <row r="16" spans="1:7" x14ac:dyDescent="0.2">
      <c r="A16" s="12" t="s">
        <v>313</v>
      </c>
      <c r="B16" s="13">
        <v>205921044</v>
      </c>
      <c r="C16" s="13">
        <v>1089576774.73</v>
      </c>
      <c r="D16" s="70">
        <f t="shared" si="0"/>
        <v>3.286441149177495E-2</v>
      </c>
      <c r="F16" s="8" t="str">
        <v>Egipto</v>
      </c>
      <c r="G16" s="8">
        <f t="shared" si="1"/>
        <v>3.286441149177495E-2</v>
      </c>
    </row>
    <row r="17" spans="1:7" x14ac:dyDescent="0.2">
      <c r="A17" s="12" t="s">
        <v>321</v>
      </c>
      <c r="B17" s="13">
        <v>535000</v>
      </c>
      <c r="C17" s="13">
        <v>533026.79</v>
      </c>
      <c r="D17" s="70">
        <f t="shared" si="0"/>
        <v>8.5384474585800937E-5</v>
      </c>
      <c r="F17" s="8" t="str">
        <v>Gabón</v>
      </c>
      <c r="G17" s="8">
        <f t="shared" si="1"/>
        <v>8.5384474585800937E-5</v>
      </c>
    </row>
    <row r="18" spans="1:7" x14ac:dyDescent="0.2">
      <c r="A18" s="12" t="s">
        <v>322</v>
      </c>
      <c r="B18" s="13">
        <v>257576</v>
      </c>
      <c r="C18" s="13">
        <v>181168.96</v>
      </c>
      <c r="D18" s="70">
        <f t="shared" si="0"/>
        <v>4.1108395188621051E-5</v>
      </c>
      <c r="F18" s="8" t="str">
        <v>Gambia</v>
      </c>
      <c r="G18" s="8">
        <f t="shared" si="1"/>
        <v>4.1108395188621051E-5</v>
      </c>
    </row>
    <row r="19" spans="1:7" x14ac:dyDescent="0.2">
      <c r="A19" s="12" t="s">
        <v>325</v>
      </c>
      <c r="B19" s="13">
        <v>2129227</v>
      </c>
      <c r="C19" s="13">
        <v>1171003.05</v>
      </c>
      <c r="D19" s="70">
        <f t="shared" si="0"/>
        <v>3.3981855825962839E-4</v>
      </c>
      <c r="F19" s="8" t="str">
        <v>Ghana</v>
      </c>
      <c r="G19" s="8">
        <f t="shared" si="1"/>
        <v>3.3981855825962839E-4</v>
      </c>
    </row>
    <row r="20" spans="1:7" x14ac:dyDescent="0.2">
      <c r="A20" s="12" t="s">
        <v>329</v>
      </c>
      <c r="B20" s="13">
        <v>207366</v>
      </c>
      <c r="C20" s="13">
        <v>129452</v>
      </c>
      <c r="D20" s="70">
        <f t="shared" si="0"/>
        <v>3.3095022349456447E-5</v>
      </c>
      <c r="F20" s="8" t="str">
        <v>Guinea</v>
      </c>
      <c r="G20" s="8">
        <f t="shared" si="1"/>
        <v>3.3095022349456447E-5</v>
      </c>
    </row>
    <row r="21" spans="1:7" x14ac:dyDescent="0.2">
      <c r="A21" s="12" t="s">
        <v>330</v>
      </c>
      <c r="B21" s="13">
        <v>17710</v>
      </c>
      <c r="C21" s="13">
        <v>11000</v>
      </c>
      <c r="D21" s="70">
        <f t="shared" si="0"/>
        <v>2.8264655045131488E-6</v>
      </c>
      <c r="F21" s="8" t="str">
        <v>Guinea Ecuatorial</v>
      </c>
      <c r="G21" s="8">
        <f t="shared" si="1"/>
        <v>2.8264655045131488E-6</v>
      </c>
    </row>
    <row r="22" spans="1:7" x14ac:dyDescent="0.2">
      <c r="A22" s="12" t="s">
        <v>349</v>
      </c>
      <c r="B22" s="13">
        <v>1347397</v>
      </c>
      <c r="C22" s="13">
        <v>2933761.25</v>
      </c>
      <c r="D22" s="70">
        <f t="shared" si="0"/>
        <v>2.1504071944576531E-4</v>
      </c>
      <c r="F22" s="8" t="str">
        <v>Kenya</v>
      </c>
      <c r="G22" s="8">
        <f t="shared" si="1"/>
        <v>2.1504071944576531E-4</v>
      </c>
    </row>
    <row r="23" spans="1:7" x14ac:dyDescent="0.2">
      <c r="A23" s="12" t="s">
        <v>355</v>
      </c>
      <c r="B23" s="13">
        <v>50762</v>
      </c>
      <c r="C23" s="13">
        <v>30330</v>
      </c>
      <c r="D23" s="70">
        <f t="shared" si="0"/>
        <v>8.1014704652793042E-6</v>
      </c>
      <c r="F23" s="8" t="str">
        <v>Liberia</v>
      </c>
      <c r="G23" s="8">
        <f t="shared" si="1"/>
        <v>8.1014704652793042E-6</v>
      </c>
    </row>
    <row r="24" spans="1:7" x14ac:dyDescent="0.2">
      <c r="A24" s="12" t="s">
        <v>356</v>
      </c>
      <c r="B24" s="13">
        <v>1964093</v>
      </c>
      <c r="C24" s="13">
        <v>18013950.579999998</v>
      </c>
      <c r="D24" s="70">
        <f t="shared" si="0"/>
        <v>3.1346364269654116E-4</v>
      </c>
      <c r="F24" s="8" t="str">
        <v>Libia</v>
      </c>
      <c r="G24" s="8">
        <f t="shared" si="1"/>
        <v>3.1346364269654116E-4</v>
      </c>
    </row>
    <row r="25" spans="1:7" x14ac:dyDescent="0.2">
      <c r="A25" s="12" t="s">
        <v>360</v>
      </c>
      <c r="B25" s="13">
        <v>2959380</v>
      </c>
      <c r="C25" s="13">
        <v>6900000</v>
      </c>
      <c r="D25" s="70">
        <f t="shared" si="0"/>
        <v>4.7230861009294877E-4</v>
      </c>
      <c r="F25" s="8" t="str">
        <v>Madagascar</v>
      </c>
      <c r="G25" s="8">
        <f t="shared" si="1"/>
        <v>4.7230861009294877E-4</v>
      </c>
    </row>
    <row r="26" spans="1:7" x14ac:dyDescent="0.2">
      <c r="A26" s="12" t="s">
        <v>478</v>
      </c>
      <c r="B26" s="13">
        <v>89067</v>
      </c>
      <c r="C26" s="13">
        <v>50000</v>
      </c>
      <c r="D26" s="70">
        <f t="shared" si="0"/>
        <v>1.4214839248473893E-5</v>
      </c>
      <c r="F26" s="8" t="str">
        <v>Malí</v>
      </c>
      <c r="G26" s="8">
        <f t="shared" si="1"/>
        <v>1.4214839248473893E-5</v>
      </c>
    </row>
    <row r="27" spans="1:7" x14ac:dyDescent="0.2">
      <c r="A27" s="12" t="s">
        <v>372</v>
      </c>
      <c r="B27" s="13">
        <v>89714609</v>
      </c>
      <c r="C27" s="13">
        <v>246306280.74000001</v>
      </c>
      <c r="D27" s="70">
        <f t="shared" si="0"/>
        <v>1.431819579838424E-2</v>
      </c>
      <c r="F27" s="8" t="str">
        <v>Marruecos</v>
      </c>
      <c r="G27" s="8">
        <f t="shared" si="1"/>
        <v>1.431819579838424E-2</v>
      </c>
    </row>
    <row r="28" spans="1:7" x14ac:dyDescent="0.2">
      <c r="A28" s="12" t="s">
        <v>367</v>
      </c>
      <c r="B28" s="13">
        <v>7796216</v>
      </c>
      <c r="C28" s="13">
        <v>31684553.800000001</v>
      </c>
      <c r="D28" s="70">
        <f t="shared" si="0"/>
        <v>1.244253844705448E-3</v>
      </c>
      <c r="F28" s="8" t="str">
        <v>Mauricio</v>
      </c>
      <c r="G28" s="8">
        <f t="shared" si="1"/>
        <v>1.244253844705448E-3</v>
      </c>
    </row>
    <row r="29" spans="1:7" x14ac:dyDescent="0.2">
      <c r="A29" s="12" t="s">
        <v>366</v>
      </c>
      <c r="B29" s="13">
        <v>186387</v>
      </c>
      <c r="C29" s="13">
        <v>113045.6</v>
      </c>
      <c r="D29" s="70">
        <f t="shared" si="0"/>
        <v>2.9746833765651738E-5</v>
      </c>
      <c r="F29" s="8" t="str">
        <v>Mauritania</v>
      </c>
      <c r="G29" s="8">
        <f t="shared" si="1"/>
        <v>2.9746833765651738E-5</v>
      </c>
    </row>
    <row r="30" spans="1:7" x14ac:dyDescent="0.2">
      <c r="A30" s="12" t="s">
        <v>381</v>
      </c>
      <c r="B30" s="13">
        <v>851245</v>
      </c>
      <c r="C30" s="13">
        <v>483403.2</v>
      </c>
      <c r="D30" s="70">
        <f t="shared" si="0"/>
        <v>1.3585627489493481E-4</v>
      </c>
      <c r="F30" s="8" t="str">
        <v>Níger</v>
      </c>
      <c r="G30" s="8">
        <f t="shared" si="1"/>
        <v>1.3585627489493481E-4</v>
      </c>
    </row>
    <row r="31" spans="1:7" x14ac:dyDescent="0.2">
      <c r="A31" s="12" t="s">
        <v>382</v>
      </c>
      <c r="B31" s="13">
        <v>9234339</v>
      </c>
      <c r="C31" s="13">
        <v>26673434.859999999</v>
      </c>
      <c r="D31" s="70">
        <f t="shared" si="0"/>
        <v>1.4737741750694775E-3</v>
      </c>
      <c r="F31" s="8" t="str">
        <v>Nigeria</v>
      </c>
      <c r="G31" s="8">
        <f t="shared" si="1"/>
        <v>1.4737741750694775E-3</v>
      </c>
    </row>
    <row r="32" spans="1:7" x14ac:dyDescent="0.2">
      <c r="A32" s="12" t="s">
        <v>439</v>
      </c>
      <c r="B32" s="13">
        <v>85000</v>
      </c>
      <c r="C32" s="13">
        <v>50000</v>
      </c>
      <c r="D32" s="70">
        <f t="shared" si="0"/>
        <v>1.3565757644473047E-5</v>
      </c>
      <c r="F32" s="8" t="str">
        <v>Zimbabwe</v>
      </c>
      <c r="G32" s="8">
        <f t="shared" si="1"/>
        <v>1.3565757644473047E-5</v>
      </c>
    </row>
    <row r="33" spans="1:7" x14ac:dyDescent="0.2">
      <c r="A33" s="12" t="s">
        <v>401</v>
      </c>
      <c r="B33" s="13">
        <v>7602337</v>
      </c>
      <c r="C33" s="13">
        <v>18001132.969999999</v>
      </c>
      <c r="D33" s="70">
        <f t="shared" si="0"/>
        <v>1.2133113091012976E-3</v>
      </c>
      <c r="F33" s="8" t="str">
        <v>Senegal</v>
      </c>
      <c r="G33" s="8">
        <f t="shared" si="1"/>
        <v>1.2133113091012976E-3</v>
      </c>
    </row>
    <row r="34" spans="1:7" x14ac:dyDescent="0.2">
      <c r="A34" s="12" t="s">
        <v>404</v>
      </c>
      <c r="B34" s="13">
        <v>479862</v>
      </c>
      <c r="C34" s="13">
        <v>645986.09</v>
      </c>
      <c r="D34" s="70">
        <f t="shared" si="0"/>
        <v>7.6584606997554417E-5</v>
      </c>
      <c r="F34" s="8" t="str">
        <v>Sierra Leona</v>
      </c>
      <c r="G34" s="8">
        <f t="shared" si="1"/>
        <v>7.6584606997554417E-5</v>
      </c>
    </row>
    <row r="35" spans="1:7" x14ac:dyDescent="0.2">
      <c r="A35" s="12" t="s">
        <v>416</v>
      </c>
      <c r="B35" s="13">
        <v>219578</v>
      </c>
      <c r="C35" s="13">
        <v>130220</v>
      </c>
      <c r="D35" s="70">
        <f t="shared" si="0"/>
        <v>3.5044022730095325E-5</v>
      </c>
      <c r="F35" s="8" t="str">
        <v>Sudán</v>
      </c>
      <c r="G35" s="8">
        <f t="shared" si="1"/>
        <v>3.5044022730095325E-5</v>
      </c>
    </row>
    <row r="36" spans="1:7" x14ac:dyDescent="0.2">
      <c r="A36" s="12" t="s">
        <v>422</v>
      </c>
      <c r="B36" s="13">
        <v>89719</v>
      </c>
      <c r="C36" s="13">
        <v>54485.1</v>
      </c>
      <c r="D36" s="70">
        <f t="shared" si="0"/>
        <v>1.431889658946444E-5</v>
      </c>
      <c r="F36" s="8" t="str">
        <v>Tanzania</v>
      </c>
      <c r="G36" s="8">
        <f t="shared" si="1"/>
        <v>1.431889658946444E-5</v>
      </c>
    </row>
    <row r="37" spans="1:7" x14ac:dyDescent="0.2">
      <c r="A37" s="12" t="s">
        <v>424</v>
      </c>
      <c r="B37" s="13">
        <v>1004449</v>
      </c>
      <c r="C37" s="13">
        <v>3066855.65</v>
      </c>
      <c r="D37" s="70">
        <f t="shared" si="0"/>
        <v>1.6030719647333304E-4</v>
      </c>
      <c r="F37" s="8" t="str">
        <v>Togo</v>
      </c>
      <c r="G37" s="8">
        <f t="shared" si="1"/>
        <v>1.6030719647333304E-4</v>
      </c>
    </row>
    <row r="38" spans="1:7" x14ac:dyDescent="0.2">
      <c r="A38" s="12" t="s">
        <v>426</v>
      </c>
      <c r="B38" s="13">
        <v>47965080</v>
      </c>
      <c r="C38" s="13">
        <v>271272422.25</v>
      </c>
      <c r="D38" s="70">
        <f t="shared" si="0"/>
        <v>7.6550900079736615E-3</v>
      </c>
      <c r="F38" s="8" t="str">
        <v>Túnez</v>
      </c>
      <c r="G38" s="8">
        <f t="shared" si="1"/>
        <v>7.6550900079736615E-3</v>
      </c>
    </row>
    <row r="39" spans="1:7" x14ac:dyDescent="0.2">
      <c r="A39" s="12" t="s">
        <v>65</v>
      </c>
      <c r="B39" s="13">
        <v>7804</v>
      </c>
      <c r="C39" s="13">
        <v>18477.349999999999</v>
      </c>
      <c r="D39" s="70">
        <f t="shared" si="0"/>
        <v>1.2454961489113841E-6</v>
      </c>
      <c r="F39" s="8" t="str">
        <v>Territorios vinculados a España</v>
      </c>
      <c r="G39" s="8">
        <f t="shared" si="1"/>
        <v>1.2454961489113841E-6</v>
      </c>
    </row>
    <row r="40" spans="1:7" x14ac:dyDescent="0.2">
      <c r="A40" s="12" t="s">
        <v>66</v>
      </c>
      <c r="B40" s="13">
        <v>4811354</v>
      </c>
      <c r="C40" s="13">
        <v>25431677.899999999</v>
      </c>
      <c r="D40" s="70">
        <f t="shared" si="0"/>
        <v>7.67878380067835E-4</v>
      </c>
      <c r="F40" s="8" t="str">
        <v>Territorios vinculados a Francia</v>
      </c>
      <c r="G40" s="8">
        <f t="shared" si="1"/>
        <v>8.0566460100789904E-4</v>
      </c>
    </row>
    <row r="41" spans="1:7" x14ac:dyDescent="0.2">
      <c r="A41" s="12" t="s">
        <v>267</v>
      </c>
      <c r="B41" s="13">
        <v>2130417</v>
      </c>
      <c r="C41" s="13">
        <v>6515412.2999999998</v>
      </c>
      <c r="D41" s="70">
        <f t="shared" si="0"/>
        <v>3.4000847886665102E-4</v>
      </c>
      <c r="F41" s="8" t="str">
        <v>Angola</v>
      </c>
      <c r="G41" s="8">
        <f t="shared" si="1"/>
        <v>3.4000847886665102E-4</v>
      </c>
    </row>
    <row r="42" spans="1:7" x14ac:dyDescent="0.2">
      <c r="A42" s="12" t="s">
        <v>290</v>
      </c>
      <c r="B42" s="13">
        <v>233630</v>
      </c>
      <c r="C42" s="13">
        <v>114882</v>
      </c>
      <c r="D42" s="70">
        <f t="shared" si="0"/>
        <v>3.728668186444986E-5</v>
      </c>
      <c r="F42" s="8" t="str">
        <v>Cabo Verde</v>
      </c>
      <c r="G42" s="8">
        <f t="shared" si="1"/>
        <v>3.728668186444986E-5</v>
      </c>
    </row>
    <row r="43" spans="1:7" x14ac:dyDescent="0.2">
      <c r="A43" s="12" t="s">
        <v>373</v>
      </c>
      <c r="B43" s="13">
        <v>4305180</v>
      </c>
      <c r="C43" s="13">
        <v>20430688.800000001</v>
      </c>
      <c r="D43" s="70">
        <f t="shared" si="0"/>
        <v>6.8709445289214671E-4</v>
      </c>
      <c r="F43" s="8" t="str">
        <v>Mozambique</v>
      </c>
      <c r="G43" s="8">
        <f t="shared" si="1"/>
        <v>6.8709445289214671E-4</v>
      </c>
    </row>
    <row r="44" spans="1:7" x14ac:dyDescent="0.2">
      <c r="A44" s="12" t="s">
        <v>331</v>
      </c>
      <c r="B44" s="13">
        <v>10</v>
      </c>
      <c r="C44" s="13">
        <v>65.319999999999993</v>
      </c>
      <c r="D44" s="70">
        <f t="shared" si="0"/>
        <v>1.5959714875850644E-9</v>
      </c>
      <c r="F44" s="8" t="str">
        <v>Guinea Bissau</v>
      </c>
      <c r="G44" s="8">
        <f t="shared" si="1"/>
        <v>1.5959714875850644E-9</v>
      </c>
    </row>
    <row r="45" spans="1:7" x14ac:dyDescent="0.2">
      <c r="A45" s="12" t="s">
        <v>375</v>
      </c>
      <c r="B45" s="13">
        <v>76673</v>
      </c>
      <c r="C45" s="13">
        <v>43265</v>
      </c>
      <c r="D45" s="70">
        <f t="shared" si="0"/>
        <v>1.2236792186760964E-5</v>
      </c>
      <c r="F45" s="8" t="str">
        <v>Namibia</v>
      </c>
      <c r="G45" s="8">
        <f t="shared" si="1"/>
        <v>1.2236792186760964E-5</v>
      </c>
    </row>
    <row r="46" spans="1:7" x14ac:dyDescent="0.2">
      <c r="A46" s="12" t="s">
        <v>409</v>
      </c>
      <c r="B46" s="13">
        <v>104045835</v>
      </c>
      <c r="C46" s="13">
        <v>474883774.67000002</v>
      </c>
      <c r="D46" s="70">
        <f t="shared" si="0"/>
        <v>1.6605418606198016E-2</v>
      </c>
      <c r="F46" s="8" t="str">
        <v>Sudáfrica</v>
      </c>
      <c r="G46" s="8">
        <f t="shared" si="1"/>
        <v>1.6605418606198016E-2</v>
      </c>
    </row>
    <row r="47" spans="1:7" x14ac:dyDescent="0.2">
      <c r="A47" s="12" t="s">
        <v>1</v>
      </c>
      <c r="B47" s="13" t="s">
        <v>466</v>
      </c>
      <c r="C47" s="13" t="s">
        <v>466</v>
      </c>
      <c r="D47" s="70" t="e">
        <f t="shared" si="0"/>
        <v>#VALUE!</v>
      </c>
      <c r="F47" s="8" t="str">
        <v xml:space="preserve">   </v>
      </c>
      <c r="G47" s="8" t="e">
        <f t="shared" si="1"/>
        <v>#VALUE!</v>
      </c>
    </row>
    <row r="48" spans="1:7" x14ac:dyDescent="0.2">
      <c r="A48" s="12" t="s">
        <v>3</v>
      </c>
      <c r="B48" s="13">
        <v>1397217385</v>
      </c>
      <c r="C48" s="13">
        <v>3341558955.3800001</v>
      </c>
      <c r="D48" s="70">
        <f t="shared" si="0"/>
        <v>0.22299191084181635</v>
      </c>
      <c r="F48" s="8" t="str">
        <v xml:space="preserve">   AMERICA</v>
      </c>
      <c r="G48" s="8">
        <f t="shared" si="1"/>
        <v>0.22299191084181635</v>
      </c>
    </row>
    <row r="49" spans="1:7" x14ac:dyDescent="0.2">
      <c r="A49" s="12" t="s">
        <v>277</v>
      </c>
      <c r="B49" s="13">
        <v>212162</v>
      </c>
      <c r="C49" s="13">
        <v>109745.56</v>
      </c>
      <c r="D49" s="70">
        <f t="shared" si="0"/>
        <v>3.3860450274902241E-5</v>
      </c>
      <c r="F49" s="8" t="str">
        <v>Barbados</v>
      </c>
      <c r="G49" s="8">
        <f t="shared" si="1"/>
        <v>3.3860450274902241E-5</v>
      </c>
    </row>
    <row r="50" spans="1:7" x14ac:dyDescent="0.2">
      <c r="A50" s="12" t="s">
        <v>282</v>
      </c>
      <c r="B50" s="13">
        <v>36365584</v>
      </c>
      <c r="C50" s="13">
        <v>99678682.700000003</v>
      </c>
      <c r="D50" s="70">
        <f t="shared" si="0"/>
        <v>5.8038435193379619E-3</v>
      </c>
      <c r="F50" s="8" t="str">
        <v>Bolivia</v>
      </c>
      <c r="G50" s="8">
        <f t="shared" si="1"/>
        <v>5.8038435193379619E-3</v>
      </c>
    </row>
    <row r="51" spans="1:7" x14ac:dyDescent="0.2">
      <c r="A51" s="12" t="s">
        <v>285</v>
      </c>
      <c r="B51" s="13">
        <v>377343178</v>
      </c>
      <c r="C51" s="13">
        <v>1095309778.1500001</v>
      </c>
      <c r="D51" s="70">
        <f t="shared" si="0"/>
        <v>6.0222895312273574E-2</v>
      </c>
      <c r="F51" s="8" t="str">
        <v>Brasil</v>
      </c>
      <c r="G51" s="8">
        <f t="shared" si="1"/>
        <v>6.0222895312273574E-2</v>
      </c>
    </row>
    <row r="52" spans="1:7" x14ac:dyDescent="0.2">
      <c r="A52" s="12" t="s">
        <v>293</v>
      </c>
      <c r="B52" s="13">
        <v>9583547</v>
      </c>
      <c r="C52" s="13">
        <v>9293916.5299999993</v>
      </c>
      <c r="D52" s="70">
        <f t="shared" si="0"/>
        <v>1.5295067761931381E-3</v>
      </c>
      <c r="F52" s="8" t="str">
        <v>Canadá</v>
      </c>
      <c r="G52" s="8">
        <f t="shared" si="1"/>
        <v>1.5295067761931381E-3</v>
      </c>
    </row>
    <row r="53" spans="1:7" x14ac:dyDescent="0.2">
      <c r="A53" s="12" t="s">
        <v>298</v>
      </c>
      <c r="B53" s="13">
        <v>27006442</v>
      </c>
      <c r="C53" s="13">
        <v>127346787.48</v>
      </c>
      <c r="D53" s="70">
        <f t="shared" si="0"/>
        <v>4.3101511413119759E-3</v>
      </c>
      <c r="F53" s="8" t="str">
        <v>Colombia</v>
      </c>
      <c r="G53" s="8">
        <f t="shared" si="1"/>
        <v>4.3101511413119759E-3</v>
      </c>
    </row>
    <row r="54" spans="1:7" x14ac:dyDescent="0.2">
      <c r="A54" s="12" t="s">
        <v>302</v>
      </c>
      <c r="B54" s="13">
        <v>2992282</v>
      </c>
      <c r="C54" s="13">
        <v>411811.05</v>
      </c>
      <c r="D54" s="70">
        <f t="shared" si="0"/>
        <v>4.7755967548140113E-4</v>
      </c>
      <c r="F54" s="8" t="str">
        <v>Costa Rica</v>
      </c>
      <c r="G54" s="8">
        <f t="shared" si="1"/>
        <v>4.7755967548140113E-4</v>
      </c>
    </row>
    <row r="55" spans="1:7" x14ac:dyDescent="0.2">
      <c r="A55" s="12" t="s">
        <v>442</v>
      </c>
      <c r="B55" s="13">
        <v>1360046</v>
      </c>
      <c r="C55" s="13">
        <v>1326528.8500000001</v>
      </c>
      <c r="D55" s="70">
        <f t="shared" si="0"/>
        <v>2.1705946378041164E-4</v>
      </c>
      <c r="F55" s="8" t="str">
        <v>Cuba</v>
      </c>
      <c r="G55" s="8">
        <f t="shared" si="1"/>
        <v>2.1705946378041164E-4</v>
      </c>
    </row>
    <row r="56" spans="1:7" x14ac:dyDescent="0.2">
      <c r="A56" s="12" t="s">
        <v>296</v>
      </c>
      <c r="B56" s="13">
        <v>232391321</v>
      </c>
      <c r="C56" s="13">
        <v>558325364.22000003</v>
      </c>
      <c r="D56" s="70">
        <f t="shared" si="0"/>
        <v>3.7088992227822817E-2</v>
      </c>
      <c r="F56" s="8" t="str">
        <v>Chile</v>
      </c>
      <c r="G56" s="8">
        <f t="shared" si="1"/>
        <v>3.7088992227822817E-2</v>
      </c>
    </row>
    <row r="57" spans="1:7" x14ac:dyDescent="0.2">
      <c r="A57" s="12" t="s">
        <v>311</v>
      </c>
      <c r="B57" s="13">
        <v>41783514</v>
      </c>
      <c r="C57" s="13">
        <v>80242350.859999999</v>
      </c>
      <c r="D57" s="70">
        <f t="shared" si="0"/>
        <v>6.6685296995111359E-3</v>
      </c>
      <c r="F57" s="8" t="str">
        <v>República Dominicana</v>
      </c>
      <c r="G57" s="8">
        <f t="shared" si="1"/>
        <v>6.6685296995111359E-3</v>
      </c>
    </row>
    <row r="58" spans="1:7" x14ac:dyDescent="0.2">
      <c r="A58" s="12" t="s">
        <v>312</v>
      </c>
      <c r="B58" s="13">
        <v>41306159</v>
      </c>
      <c r="C58" s="13">
        <v>154530919.13</v>
      </c>
      <c r="D58" s="70">
        <f t="shared" si="0"/>
        <v>6.5923452025655194E-3</v>
      </c>
      <c r="F58" s="8" t="str">
        <v>Ecuador</v>
      </c>
      <c r="G58" s="8">
        <f t="shared" si="1"/>
        <v>6.5923452025655194E-3</v>
      </c>
    </row>
    <row r="59" spans="1:7" x14ac:dyDescent="0.2">
      <c r="A59" s="12" t="s">
        <v>314</v>
      </c>
      <c r="B59" s="13">
        <v>3047541</v>
      </c>
      <c r="C59" s="13">
        <v>15722495.9</v>
      </c>
      <c r="D59" s="70">
        <f t="shared" si="0"/>
        <v>4.8637885432464747E-4</v>
      </c>
      <c r="F59" s="8" t="str">
        <v>El Salvador</v>
      </c>
      <c r="G59" s="8">
        <f t="shared" si="1"/>
        <v>4.8637885432464747E-4</v>
      </c>
    </row>
    <row r="60" spans="1:7" x14ac:dyDescent="0.2">
      <c r="A60" s="12" t="s">
        <v>432</v>
      </c>
      <c r="B60" s="13">
        <v>214193195</v>
      </c>
      <c r="C60" s="13">
        <v>370059741.85000002</v>
      </c>
      <c r="D60" s="70">
        <f t="shared" si="0"/>
        <v>3.418462320547478E-2</v>
      </c>
      <c r="F60" s="8" t="str">
        <v>Estados Unidos</v>
      </c>
      <c r="G60" s="8">
        <f t="shared" si="1"/>
        <v>3.418462320547478E-2</v>
      </c>
    </row>
    <row r="61" spans="1:7" x14ac:dyDescent="0.2">
      <c r="A61" s="12" t="s">
        <v>328</v>
      </c>
      <c r="B61" s="13">
        <v>21810477</v>
      </c>
      <c r="C61" s="13">
        <v>75460986.799999997</v>
      </c>
      <c r="D61" s="70">
        <f t="shared" si="0"/>
        <v>3.4808899422629834E-3</v>
      </c>
      <c r="F61" s="8" t="str">
        <v>Guatemala</v>
      </c>
      <c r="G61" s="8">
        <f t="shared" si="1"/>
        <v>3.4808899422629834E-3</v>
      </c>
    </row>
    <row r="62" spans="1:7" x14ac:dyDescent="0.2">
      <c r="A62" s="12" t="s">
        <v>332</v>
      </c>
      <c r="B62" s="13">
        <v>229223</v>
      </c>
      <c r="C62" s="13">
        <v>123372.52</v>
      </c>
      <c r="D62" s="70">
        <f t="shared" si="0"/>
        <v>3.6583337229871122E-5</v>
      </c>
      <c r="F62" s="8" t="str">
        <v>Guyana</v>
      </c>
      <c r="G62" s="8">
        <f t="shared" si="1"/>
        <v>3.6583337229871122E-5</v>
      </c>
    </row>
    <row r="63" spans="1:7" x14ac:dyDescent="0.2">
      <c r="A63" s="12" t="s">
        <v>333</v>
      </c>
      <c r="B63" s="13">
        <v>361386</v>
      </c>
      <c r="C63" s="13">
        <v>410338.88</v>
      </c>
      <c r="D63" s="70">
        <f t="shared" si="0"/>
        <v>5.7676175201241605E-5</v>
      </c>
      <c r="F63" s="8" t="str">
        <v>Haití</v>
      </c>
      <c r="G63" s="8">
        <f t="shared" si="1"/>
        <v>5.7676175201241605E-5</v>
      </c>
    </row>
    <row r="64" spans="1:7" x14ac:dyDescent="0.2">
      <c r="A64" s="12" t="s">
        <v>334</v>
      </c>
      <c r="B64" s="13">
        <v>1702544</v>
      </c>
      <c r="C64" s="13">
        <v>484701.21</v>
      </c>
      <c r="D64" s="70">
        <f t="shared" si="0"/>
        <v>2.7172116803590257E-4</v>
      </c>
      <c r="F64" s="8" t="str">
        <v>Honduras</v>
      </c>
      <c r="G64" s="8">
        <f t="shared" si="1"/>
        <v>2.7172116803590257E-4</v>
      </c>
    </row>
    <row r="65" spans="1:7" x14ac:dyDescent="0.2">
      <c r="A65" s="12" t="s">
        <v>345</v>
      </c>
      <c r="B65" s="13">
        <v>787589</v>
      </c>
      <c r="C65" s="13">
        <v>435719.29</v>
      </c>
      <c r="D65" s="70">
        <f t="shared" si="0"/>
        <v>1.2569695879356333E-4</v>
      </c>
      <c r="F65" s="8" t="str">
        <v>Jamaica</v>
      </c>
      <c r="G65" s="8">
        <f t="shared" si="1"/>
        <v>1.2569695879356333E-4</v>
      </c>
    </row>
    <row r="66" spans="1:7" x14ac:dyDescent="0.2">
      <c r="A66" s="12" t="s">
        <v>368</v>
      </c>
      <c r="B66" s="13">
        <v>139319187</v>
      </c>
      <c r="C66" s="13">
        <v>50645821.289999999</v>
      </c>
      <c r="D66" s="70">
        <f t="shared" si="0"/>
        <v>2.2234945012553176E-2</v>
      </c>
      <c r="F66" s="8" t="str">
        <v>México</v>
      </c>
      <c r="G66" s="8">
        <f t="shared" si="1"/>
        <v>2.2234945012553176E-2</v>
      </c>
    </row>
    <row r="67" spans="1:7" x14ac:dyDescent="0.2">
      <c r="A67" s="12" t="s">
        <v>380</v>
      </c>
      <c r="B67" s="13">
        <v>2141565</v>
      </c>
      <c r="C67" s="13">
        <v>7945937.1500000004</v>
      </c>
      <c r="D67" s="70">
        <f t="shared" si="0"/>
        <v>3.4178766788101083E-4</v>
      </c>
      <c r="F67" s="8" t="str">
        <v>Nicaragua</v>
      </c>
      <c r="G67" s="8">
        <f t="shared" si="1"/>
        <v>3.4178766788101083E-4</v>
      </c>
    </row>
    <row r="68" spans="1:7" x14ac:dyDescent="0.2">
      <c r="A68" s="12" t="s">
        <v>387</v>
      </c>
      <c r="B68" s="13">
        <v>3467980</v>
      </c>
      <c r="C68" s="13">
        <v>5279592.24</v>
      </c>
      <c r="D68" s="70">
        <f t="shared" si="0"/>
        <v>5.534797199515251E-4</v>
      </c>
      <c r="F68" s="8" t="str">
        <v>Panamá</v>
      </c>
      <c r="G68" s="8">
        <f t="shared" si="1"/>
        <v>5.534797199515251E-4</v>
      </c>
    </row>
    <row r="69" spans="1:7" x14ac:dyDescent="0.2">
      <c r="A69" s="12" t="s">
        <v>389</v>
      </c>
      <c r="B69" s="13">
        <v>49824353</v>
      </c>
      <c r="C69" s="13">
        <v>146546989.84999999</v>
      </c>
      <c r="D69" s="70">
        <f t="shared" si="0"/>
        <v>7.9518246775373367E-3</v>
      </c>
      <c r="F69" s="8" t="str">
        <v>Paraguay</v>
      </c>
      <c r="G69" s="8">
        <f t="shared" si="1"/>
        <v>7.9518246775373367E-3</v>
      </c>
    </row>
    <row r="70" spans="1:7" x14ac:dyDescent="0.2">
      <c r="A70" s="12" t="s">
        <v>390</v>
      </c>
      <c r="B70" s="13">
        <v>114617385</v>
      </c>
      <c r="C70" s="13">
        <v>409967172.60000002</v>
      </c>
      <c r="D70" s="70">
        <f t="shared" si="0"/>
        <v>1.8292607844156004E-2</v>
      </c>
      <c r="F70" s="8" t="str">
        <v>Perú</v>
      </c>
      <c r="G70" s="8">
        <f t="shared" si="1"/>
        <v>1.8292607844156004E-2</v>
      </c>
    </row>
    <row r="71" spans="1:7" x14ac:dyDescent="0.2">
      <c r="A71" s="12" t="s">
        <v>394</v>
      </c>
      <c r="B71" s="13">
        <v>7143246</v>
      </c>
      <c r="C71" s="13">
        <v>25999489.32</v>
      </c>
      <c r="D71" s="70">
        <f t="shared" si="0"/>
        <v>1.1400416944806061E-3</v>
      </c>
      <c r="F71" s="8" t="str">
        <v>Puerto Rico(Estado Asociado)</v>
      </c>
      <c r="G71" s="8">
        <f t="shared" si="1"/>
        <v>1.1400416944806061E-3</v>
      </c>
    </row>
    <row r="72" spans="1:7" x14ac:dyDescent="0.2">
      <c r="A72" s="12" t="s">
        <v>425</v>
      </c>
      <c r="B72" s="13">
        <v>3759036</v>
      </c>
      <c r="C72" s="13">
        <v>3866062.26</v>
      </c>
      <c r="D72" s="70">
        <f t="shared" si="0"/>
        <v>5.99931427680581E-4</v>
      </c>
      <c r="F72" s="8" t="str">
        <v>Trinidad y Tobago</v>
      </c>
      <c r="G72" s="8">
        <f t="shared" si="1"/>
        <v>5.99931427680581E-4</v>
      </c>
    </row>
    <row r="73" spans="1:7" x14ac:dyDescent="0.2">
      <c r="A73" s="12" t="s">
        <v>433</v>
      </c>
      <c r="B73" s="13">
        <v>36768479</v>
      </c>
      <c r="C73" s="13">
        <v>71925908</v>
      </c>
      <c r="D73" s="70">
        <f t="shared" si="0"/>
        <v>5.8681444125870197E-3</v>
      </c>
      <c r="F73" s="8" t="str">
        <v>Uruguay</v>
      </c>
      <c r="G73" s="8">
        <f t="shared" si="1"/>
        <v>5.8681444125870197E-3</v>
      </c>
    </row>
    <row r="74" spans="1:7" x14ac:dyDescent="0.2">
      <c r="A74" s="12" t="s">
        <v>435</v>
      </c>
      <c r="B74" s="13">
        <v>23275532</v>
      </c>
      <c r="C74" s="13">
        <v>27820768.550000001</v>
      </c>
      <c r="D74" s="70">
        <f t="shared" si="0"/>
        <v>3.7147085430373769E-3</v>
      </c>
      <c r="F74" s="8" t="str">
        <v>Venezuela</v>
      </c>
      <c r="G74" s="8">
        <f t="shared" si="1"/>
        <v>3.7147085430373769E-3</v>
      </c>
    </row>
    <row r="75" spans="1:7" x14ac:dyDescent="0.2">
      <c r="A75" s="12" t="s">
        <v>66</v>
      </c>
      <c r="B75" s="13">
        <v>236760</v>
      </c>
      <c r="C75" s="13">
        <v>414391.76</v>
      </c>
      <c r="D75" s="70">
        <f t="shared" ref="D75:D138" si="2">+B75/$B$8</f>
        <v>3.7786220940063981E-5</v>
      </c>
      <c r="F75" s="8" t="str">
        <v>Territ. vinc. a Países Bajos</v>
      </c>
      <c r="G75" s="8">
        <f t="shared" ref="G75:G138" si="3">+SUMIF(A75:A220,F75,D75:D220)</f>
        <v>8.5161038577539038E-6</v>
      </c>
    </row>
    <row r="76" spans="1:7" x14ac:dyDescent="0.2">
      <c r="A76" s="12" t="s">
        <v>492</v>
      </c>
      <c r="B76" s="13">
        <v>53360</v>
      </c>
      <c r="C76" s="13">
        <v>24010.01</v>
      </c>
      <c r="D76" s="70">
        <f t="shared" si="2"/>
        <v>8.5161038577539038E-6</v>
      </c>
      <c r="F76" s="8" t="str">
        <v>Suriname</v>
      </c>
      <c r="G76" s="8">
        <f t="shared" si="3"/>
        <v>8.061092386643401E-6</v>
      </c>
    </row>
    <row r="77" spans="1:7" x14ac:dyDescent="0.2">
      <c r="A77" s="12" t="s">
        <v>417</v>
      </c>
      <c r="B77" s="13">
        <v>50509</v>
      </c>
      <c r="C77" s="13">
        <v>43503.360000000001</v>
      </c>
      <c r="D77" s="70">
        <f t="shared" si="2"/>
        <v>8.061092386643401E-6</v>
      </c>
      <c r="F77" s="8" t="str">
        <v>Santa Lucía</v>
      </c>
      <c r="G77" s="8">
        <f t="shared" si="3"/>
        <v>3.0243180898290693E-5</v>
      </c>
    </row>
    <row r="78" spans="1:7" x14ac:dyDescent="0.2">
      <c r="A78" s="12" t="s">
        <v>468</v>
      </c>
      <c r="B78" s="13">
        <v>189497</v>
      </c>
      <c r="C78" s="13">
        <v>81370.13</v>
      </c>
      <c r="D78" s="70">
        <f t="shared" si="2"/>
        <v>3.0243180898290693E-5</v>
      </c>
      <c r="F78" s="8" t="str">
        <v>San Vicente y las Granadinas</v>
      </c>
      <c r="G78" s="8">
        <f t="shared" si="3"/>
        <v>9.03686935415291E-6</v>
      </c>
    </row>
    <row r="79" spans="1:7" x14ac:dyDescent="0.2">
      <c r="A79" s="12" t="s">
        <v>415</v>
      </c>
      <c r="B79" s="13">
        <v>56623</v>
      </c>
      <c r="C79" s="13">
        <v>32030.400000000001</v>
      </c>
      <c r="D79" s="70">
        <f t="shared" si="2"/>
        <v>9.03686935415291E-6</v>
      </c>
      <c r="F79" s="8" t="str">
        <v>Belice</v>
      </c>
      <c r="G79" s="8">
        <f t="shared" si="3"/>
        <v>3.8351354443817855E-5</v>
      </c>
    </row>
    <row r="80" spans="1:7" x14ac:dyDescent="0.2">
      <c r="A80" s="12" t="s">
        <v>280</v>
      </c>
      <c r="B80" s="13">
        <v>240301</v>
      </c>
      <c r="C80" s="13">
        <v>112981.73</v>
      </c>
      <c r="D80" s="70">
        <f t="shared" si="2"/>
        <v>3.8351354443817855E-5</v>
      </c>
      <c r="F80" s="8" t="str">
        <v>Antigua y Barbuda</v>
      </c>
      <c r="G80" s="8">
        <f t="shared" si="3"/>
        <v>1.8889918527056821E-6</v>
      </c>
    </row>
    <row r="81" spans="1:7" x14ac:dyDescent="0.2">
      <c r="A81" s="12" t="s">
        <v>268</v>
      </c>
      <c r="B81" s="13">
        <v>11836</v>
      </c>
      <c r="C81" s="13">
        <v>34156.800000000003</v>
      </c>
      <c r="D81" s="70">
        <f t="shared" si="2"/>
        <v>1.8889918527056821E-6</v>
      </c>
      <c r="F81" s="8" t="str">
        <v>San Cristóbal y Nevis</v>
      </c>
      <c r="G81" s="8">
        <f t="shared" si="3"/>
        <v>1.1046676248468782E-5</v>
      </c>
    </row>
    <row r="82" spans="1:7" x14ac:dyDescent="0.2">
      <c r="A82" s="12" t="s">
        <v>472</v>
      </c>
      <c r="B82" s="13">
        <v>69216</v>
      </c>
      <c r="C82" s="13">
        <v>35354.879999999997</v>
      </c>
      <c r="D82" s="70">
        <f t="shared" si="2"/>
        <v>1.1046676248468782E-5</v>
      </c>
      <c r="F82" s="8" t="str">
        <v>Grenada</v>
      </c>
      <c r="G82" s="8">
        <f t="shared" si="3"/>
        <v>3.0557906475642472E-5</v>
      </c>
    </row>
    <row r="83" spans="1:7" x14ac:dyDescent="0.2">
      <c r="A83" s="12" t="s">
        <v>327</v>
      </c>
      <c r="B83" s="13">
        <v>191469</v>
      </c>
      <c r="C83" s="13">
        <v>106886.96</v>
      </c>
      <c r="D83" s="70">
        <f t="shared" si="2"/>
        <v>3.0557906475642472E-5</v>
      </c>
      <c r="F83" s="8" t="str">
        <v>Antillas Holandesas</v>
      </c>
      <c r="G83" s="8">
        <f t="shared" si="3"/>
        <v>2.8718006705894905E-4</v>
      </c>
    </row>
    <row r="84" spans="1:7" x14ac:dyDescent="0.2">
      <c r="A84" s="12" t="s">
        <v>377</v>
      </c>
      <c r="B84" s="13">
        <v>1799406</v>
      </c>
      <c r="C84" s="13">
        <v>858444.72</v>
      </c>
      <c r="D84" s="70">
        <f t="shared" si="2"/>
        <v>2.8718006705894905E-4</v>
      </c>
      <c r="F84" s="8" t="str">
        <v>Aruba</v>
      </c>
      <c r="G84" s="8">
        <f t="shared" si="3"/>
        <v>1.5570760664611287E-4</v>
      </c>
    </row>
    <row r="85" spans="1:7" x14ac:dyDescent="0.2">
      <c r="A85" s="12" t="s">
        <v>270</v>
      </c>
      <c r="B85" s="13">
        <v>975629</v>
      </c>
      <c r="C85" s="13">
        <v>421882.94</v>
      </c>
      <c r="D85" s="70">
        <f t="shared" si="2"/>
        <v>1.5570760664611287E-4</v>
      </c>
      <c r="F85" s="8" t="str">
        <v>Iquique (Chile)</v>
      </c>
      <c r="G85" s="8">
        <f t="shared" si="3"/>
        <v>6.106186911500456E-7</v>
      </c>
    </row>
    <row r="86" spans="1:7" x14ac:dyDescent="0.2">
      <c r="A86" s="12" t="s">
        <v>445</v>
      </c>
      <c r="B86" s="13">
        <v>3826</v>
      </c>
      <c r="C86" s="13">
        <v>127.45</v>
      </c>
      <c r="D86" s="70">
        <f t="shared" si="2"/>
        <v>6.106186911500456E-7</v>
      </c>
      <c r="F86" s="8" t="str">
        <v>Zonamérica (ex Montevideo)</v>
      </c>
      <c r="G86" s="8">
        <f t="shared" si="3"/>
        <v>8.7140043222144514E-5</v>
      </c>
    </row>
    <row r="87" spans="1:7" x14ac:dyDescent="0.2">
      <c r="A87" s="12" t="s">
        <v>480</v>
      </c>
      <c r="B87" s="13">
        <v>546000</v>
      </c>
      <c r="C87" s="13">
        <v>122832</v>
      </c>
      <c r="D87" s="70">
        <f t="shared" si="2"/>
        <v>8.7140043222144514E-5</v>
      </c>
      <c r="F87" s="8" t="str">
        <v xml:space="preserve">   ASIA</v>
      </c>
      <c r="G87" s="8">
        <f t="shared" si="3"/>
        <v>0.38537334852593069</v>
      </c>
    </row>
    <row r="88" spans="1:7" x14ac:dyDescent="0.2">
      <c r="A88" s="12" t="s">
        <v>1</v>
      </c>
      <c r="B88" s="13" t="s">
        <v>466</v>
      </c>
      <c r="C88" s="13" t="s">
        <v>466</v>
      </c>
      <c r="D88" s="70" t="e">
        <f t="shared" si="2"/>
        <v>#VALUE!</v>
      </c>
      <c r="F88" s="8" t="str">
        <v>Arabia Saudita</v>
      </c>
      <c r="G88" s="8">
        <f t="shared" si="3"/>
        <v>3.5428303936819033E-3</v>
      </c>
    </row>
    <row r="89" spans="1:7" x14ac:dyDescent="0.2">
      <c r="A89" s="12" t="s">
        <v>4</v>
      </c>
      <c r="B89" s="13">
        <v>2414663116</v>
      </c>
      <c r="C89" s="13">
        <v>8288537643.4399996</v>
      </c>
      <c r="D89" s="70">
        <f t="shared" si="2"/>
        <v>0.38537334852593069</v>
      </c>
      <c r="F89" s="8" t="str">
        <v>Bahrein</v>
      </c>
      <c r="G89" s="8">
        <f t="shared" si="3"/>
        <v>1.2265679270686254E-5</v>
      </c>
    </row>
    <row r="90" spans="1:7" x14ac:dyDescent="0.2">
      <c r="A90" s="12" t="s">
        <v>400</v>
      </c>
      <c r="B90" s="13">
        <v>22198582</v>
      </c>
      <c r="C90" s="13">
        <v>177954504.21000001</v>
      </c>
      <c r="D90" s="70">
        <f t="shared" si="2"/>
        <v>3.5428303936819033E-3</v>
      </c>
      <c r="F90" s="8" t="str">
        <v>Camboya (ex Kampuchea)</v>
      </c>
      <c r="G90" s="8">
        <f t="shared" si="3"/>
        <v>1.9118302046930245E-5</v>
      </c>
    </row>
    <row r="91" spans="1:7" x14ac:dyDescent="0.2">
      <c r="A91" s="12" t="s">
        <v>275</v>
      </c>
      <c r="B91" s="13">
        <v>76854</v>
      </c>
      <c r="C91" s="13">
        <v>780527.06</v>
      </c>
      <c r="D91" s="70">
        <f t="shared" si="2"/>
        <v>1.2265679270686254E-5</v>
      </c>
      <c r="F91" s="8" t="str">
        <v>Sri Lanka</v>
      </c>
      <c r="G91" s="8">
        <f t="shared" si="3"/>
        <v>1.3492342956044134E-6</v>
      </c>
    </row>
    <row r="92" spans="1:7" x14ac:dyDescent="0.2">
      <c r="A92" s="12" t="s">
        <v>291</v>
      </c>
      <c r="B92" s="13">
        <v>119791</v>
      </c>
      <c r="C92" s="13">
        <v>6684</v>
      </c>
      <c r="D92" s="70">
        <f t="shared" si="2"/>
        <v>1.9118302046930245E-5</v>
      </c>
      <c r="F92" s="8" t="str">
        <v>Corea Republicana</v>
      </c>
      <c r="G92" s="8">
        <f t="shared" si="3"/>
        <v>1.2513782773857425E-2</v>
      </c>
    </row>
    <row r="93" spans="1:7" x14ac:dyDescent="0.2">
      <c r="A93" s="12" t="s">
        <v>412</v>
      </c>
      <c r="B93" s="13">
        <v>8454</v>
      </c>
      <c r="C93" s="13">
        <v>27386.04</v>
      </c>
      <c r="D93" s="70">
        <f t="shared" si="2"/>
        <v>1.3492342956044134E-6</v>
      </c>
      <c r="F93" s="8" t="str">
        <v>China</v>
      </c>
      <c r="G93" s="8">
        <f t="shared" si="3"/>
        <v>0.16740586762026363</v>
      </c>
    </row>
    <row r="94" spans="1:7" x14ac:dyDescent="0.2">
      <c r="A94" s="12" t="s">
        <v>350</v>
      </c>
      <c r="B94" s="13">
        <v>78408561</v>
      </c>
      <c r="C94" s="13">
        <v>212620829.78999999</v>
      </c>
      <c r="D94" s="70">
        <f t="shared" si="2"/>
        <v>1.2513782773857425E-2</v>
      </c>
      <c r="F94" s="8" t="str">
        <v>Filipinas</v>
      </c>
      <c r="G94" s="8">
        <f t="shared" si="3"/>
        <v>2.5515784397567538E-2</v>
      </c>
    </row>
    <row r="95" spans="1:7" x14ac:dyDescent="0.2">
      <c r="A95" s="12" t="s">
        <v>297</v>
      </c>
      <c r="B95" s="13">
        <v>1048927684</v>
      </c>
      <c r="C95" s="13">
        <v>2981506539.7800002</v>
      </c>
      <c r="D95" s="70">
        <f t="shared" si="2"/>
        <v>0.16740586762026363</v>
      </c>
      <c r="F95" s="8" t="str">
        <v>Taiwan</v>
      </c>
      <c r="G95" s="8">
        <f t="shared" si="3"/>
        <v>4.7568685081986473E-3</v>
      </c>
    </row>
    <row r="96" spans="1:7" x14ac:dyDescent="0.2">
      <c r="A96" s="12" t="s">
        <v>391</v>
      </c>
      <c r="B96" s="13">
        <v>159876192</v>
      </c>
      <c r="C96" s="13">
        <v>871430806.39999998</v>
      </c>
      <c r="D96" s="70">
        <f t="shared" si="2"/>
        <v>2.5515784397567538E-2</v>
      </c>
      <c r="F96" s="8" t="str">
        <v>India</v>
      </c>
      <c r="G96" s="8">
        <f t="shared" si="3"/>
        <v>4.8958203134311873E-2</v>
      </c>
    </row>
    <row r="97" spans="1:7" x14ac:dyDescent="0.2">
      <c r="A97" s="12" t="s">
        <v>421</v>
      </c>
      <c r="B97" s="13">
        <v>29805473</v>
      </c>
      <c r="C97" s="13">
        <v>108838944.28</v>
      </c>
      <c r="D97" s="70">
        <f t="shared" si="2"/>
        <v>4.7568685081986473E-3</v>
      </c>
      <c r="F97" s="8" t="str">
        <v>Indonesia</v>
      </c>
      <c r="G97" s="8">
        <f t="shared" si="3"/>
        <v>4.2108204294790622E-3</v>
      </c>
    </row>
    <row r="98" spans="1:7" x14ac:dyDescent="0.2">
      <c r="A98" s="12" t="s">
        <v>338</v>
      </c>
      <c r="B98" s="13">
        <v>306761139</v>
      </c>
      <c r="C98" s="13">
        <v>598966984.75</v>
      </c>
      <c r="D98" s="70">
        <f t="shared" si="2"/>
        <v>4.8958203134311873E-2</v>
      </c>
      <c r="F98" s="8" t="str">
        <v>Iraq</v>
      </c>
      <c r="G98" s="8">
        <f t="shared" si="3"/>
        <v>2.5177822752133714E-4</v>
      </c>
    </row>
    <row r="99" spans="1:7" x14ac:dyDescent="0.2">
      <c r="A99" s="12" t="s">
        <v>339</v>
      </c>
      <c r="B99" s="13">
        <v>26384058</v>
      </c>
      <c r="C99" s="13">
        <v>130684357.29000001</v>
      </c>
      <c r="D99" s="70">
        <f t="shared" si="2"/>
        <v>4.2108204294790622E-3</v>
      </c>
      <c r="F99" s="8" t="str">
        <v>Irán</v>
      </c>
      <c r="G99" s="8">
        <f t="shared" si="3"/>
        <v>1.7928759062402105E-3</v>
      </c>
    </row>
    <row r="100" spans="1:7" x14ac:dyDescent="0.2">
      <c r="A100" s="12" t="s">
        <v>341</v>
      </c>
      <c r="B100" s="13">
        <v>1577586</v>
      </c>
      <c r="C100" s="13">
        <v>844944</v>
      </c>
      <c r="D100" s="70">
        <f t="shared" si="2"/>
        <v>2.5177822752133714E-4</v>
      </c>
      <c r="F100" s="8" t="str">
        <v>Israel</v>
      </c>
      <c r="G100" s="8">
        <f t="shared" si="3"/>
        <v>3.5259928944878808E-3</v>
      </c>
    </row>
    <row r="101" spans="1:7" x14ac:dyDescent="0.2">
      <c r="A101" s="12" t="s">
        <v>340</v>
      </c>
      <c r="B101" s="13">
        <v>11233759</v>
      </c>
      <c r="C101" s="13">
        <v>32551982.109999999</v>
      </c>
      <c r="D101" s="70">
        <f t="shared" si="2"/>
        <v>1.7928759062402105E-3</v>
      </c>
      <c r="F101" s="8" t="str">
        <v>Japón</v>
      </c>
      <c r="G101" s="8">
        <f t="shared" si="3"/>
        <v>3.5617841510684634E-3</v>
      </c>
    </row>
    <row r="102" spans="1:7" x14ac:dyDescent="0.2">
      <c r="A102" s="12" t="s">
        <v>343</v>
      </c>
      <c r="B102" s="13">
        <v>22093082</v>
      </c>
      <c r="C102" s="13">
        <v>50426261.07</v>
      </c>
      <c r="D102" s="70">
        <f t="shared" si="2"/>
        <v>3.5259928944878808E-3</v>
      </c>
      <c r="F102" s="8" t="str">
        <v>Jordania</v>
      </c>
      <c r="G102" s="8">
        <f t="shared" si="3"/>
        <v>5.011995562692384E-3</v>
      </c>
    </row>
    <row r="103" spans="1:7" x14ac:dyDescent="0.2">
      <c r="A103" s="12" t="s">
        <v>346</v>
      </c>
      <c r="B103" s="13">
        <v>22317342</v>
      </c>
      <c r="C103" s="13">
        <v>168600445.18000001</v>
      </c>
      <c r="D103" s="70">
        <f t="shared" si="2"/>
        <v>3.5617841510684634E-3</v>
      </c>
      <c r="F103" s="8" t="str">
        <v>Qatar</v>
      </c>
      <c r="G103" s="8">
        <f t="shared" si="3"/>
        <v>4.2130455329270527E-6</v>
      </c>
    </row>
    <row r="104" spans="1:7" x14ac:dyDescent="0.2">
      <c r="A104" s="12" t="s">
        <v>347</v>
      </c>
      <c r="B104" s="13">
        <v>31404042</v>
      </c>
      <c r="C104" s="13">
        <v>188423639.75</v>
      </c>
      <c r="D104" s="70">
        <f t="shared" si="2"/>
        <v>5.011995562692384E-3</v>
      </c>
      <c r="F104" s="8" t="str">
        <v>Kuwait</v>
      </c>
      <c r="G104" s="8">
        <f t="shared" si="3"/>
        <v>3.2561632718590639E-4</v>
      </c>
    </row>
    <row r="105" spans="1:7" x14ac:dyDescent="0.2">
      <c r="A105" s="12" t="s">
        <v>395</v>
      </c>
      <c r="B105" s="13">
        <v>26398</v>
      </c>
      <c r="C105" s="13">
        <v>18096.36</v>
      </c>
      <c r="D105" s="70">
        <f t="shared" si="2"/>
        <v>4.2130455329270527E-6</v>
      </c>
      <c r="F105" s="8" t="str">
        <v>Líbano</v>
      </c>
      <c r="G105" s="8">
        <f t="shared" si="3"/>
        <v>2.1884441425184167E-3</v>
      </c>
    </row>
    <row r="106" spans="1:7" x14ac:dyDescent="0.2">
      <c r="A106" s="12" t="s">
        <v>351</v>
      </c>
      <c r="B106" s="13">
        <v>2040239</v>
      </c>
      <c r="C106" s="13">
        <v>19519616.489999998</v>
      </c>
      <c r="D106" s="70">
        <f t="shared" si="2"/>
        <v>3.2561632718590639E-4</v>
      </c>
      <c r="F106" s="8" t="str">
        <v>Malasia</v>
      </c>
      <c r="G106" s="8">
        <f t="shared" si="3"/>
        <v>1.7050006787523098E-2</v>
      </c>
    </row>
    <row r="107" spans="1:7" x14ac:dyDescent="0.2">
      <c r="A107" s="12" t="s">
        <v>353</v>
      </c>
      <c r="B107" s="13">
        <v>13712301</v>
      </c>
      <c r="C107" s="13">
        <v>60124218.539999999</v>
      </c>
      <c r="D107" s="70">
        <f t="shared" si="2"/>
        <v>2.1884441425184167E-3</v>
      </c>
      <c r="F107" s="8" t="str">
        <v>Omán</v>
      </c>
      <c r="G107" s="8">
        <f t="shared" si="3"/>
        <v>1.551193475155039E-3</v>
      </c>
    </row>
    <row r="108" spans="1:7" x14ac:dyDescent="0.2">
      <c r="A108" s="12" t="s">
        <v>362</v>
      </c>
      <c r="B108" s="13">
        <v>106831525</v>
      </c>
      <c r="C108" s="13">
        <v>447574087.75999999</v>
      </c>
      <c r="D108" s="70">
        <f t="shared" si="2"/>
        <v>1.7050006787523098E-2</v>
      </c>
      <c r="F108" s="8" t="str">
        <v>Nepal</v>
      </c>
      <c r="G108" s="8">
        <f t="shared" si="3"/>
        <v>3.2110946330211497E-4</v>
      </c>
    </row>
    <row r="109" spans="1:7" x14ac:dyDescent="0.2">
      <c r="A109" s="12" t="s">
        <v>385</v>
      </c>
      <c r="B109" s="13">
        <v>9719431</v>
      </c>
      <c r="C109" s="13">
        <v>59063632.130000003</v>
      </c>
      <c r="D109" s="70">
        <f t="shared" si="2"/>
        <v>1.551193475155039E-3</v>
      </c>
      <c r="F109" s="8" t="str">
        <v>Emiratos Arabes Unidos</v>
      </c>
      <c r="G109" s="8">
        <f t="shared" si="3"/>
        <v>4.8423458683250252E-3</v>
      </c>
    </row>
    <row r="110" spans="1:7" x14ac:dyDescent="0.2">
      <c r="A110" s="12" t="s">
        <v>376</v>
      </c>
      <c r="B110" s="13">
        <v>2012000</v>
      </c>
      <c r="C110" s="13">
        <v>4000000</v>
      </c>
      <c r="D110" s="70">
        <f t="shared" si="2"/>
        <v>3.2110946330211497E-4</v>
      </c>
      <c r="F110" s="8" t="str">
        <v>Paquistán</v>
      </c>
      <c r="G110" s="8">
        <f t="shared" si="3"/>
        <v>4.0502211702235008E-3</v>
      </c>
    </row>
    <row r="111" spans="1:7" x14ac:dyDescent="0.2">
      <c r="A111" s="12" t="s">
        <v>430</v>
      </c>
      <c r="B111" s="13">
        <v>30341055</v>
      </c>
      <c r="C111" s="13">
        <v>169586438.88999999</v>
      </c>
      <c r="D111" s="70">
        <f t="shared" si="2"/>
        <v>4.8423458683250252E-3</v>
      </c>
      <c r="F111" s="8" t="str">
        <v>Singapur</v>
      </c>
      <c r="G111" s="8">
        <f t="shared" si="3"/>
        <v>4.4058101611405519E-4</v>
      </c>
    </row>
    <row r="112" spans="1:7" x14ac:dyDescent="0.2">
      <c r="A112" s="12" t="s">
        <v>386</v>
      </c>
      <c r="B112" s="13">
        <v>25377779</v>
      </c>
      <c r="C112" s="13">
        <v>59884432.399999999</v>
      </c>
      <c r="D112" s="70">
        <f t="shared" si="2"/>
        <v>4.0502211702235008E-3</v>
      </c>
      <c r="F112" s="8" t="str">
        <v>Siria</v>
      </c>
      <c r="G112" s="8">
        <f t="shared" si="3"/>
        <v>8.0845799798318942E-3</v>
      </c>
    </row>
    <row r="113" spans="1:7" x14ac:dyDescent="0.2">
      <c r="A113" s="12" t="s">
        <v>405</v>
      </c>
      <c r="B113" s="13">
        <v>2760582</v>
      </c>
      <c r="C113" s="13">
        <v>381167.48</v>
      </c>
      <c r="D113" s="70">
        <f t="shared" si="2"/>
        <v>4.4058101611405519E-4</v>
      </c>
      <c r="F113" s="8" t="str">
        <v>Tailandia</v>
      </c>
      <c r="G113" s="8">
        <f t="shared" si="3"/>
        <v>3.1324459401389865E-2</v>
      </c>
    </row>
    <row r="114" spans="1:7" x14ac:dyDescent="0.2">
      <c r="A114" s="12" t="s">
        <v>420</v>
      </c>
      <c r="B114" s="13">
        <v>50656168</v>
      </c>
      <c r="C114" s="13">
        <v>288802335.04000002</v>
      </c>
      <c r="D114" s="70">
        <f t="shared" si="2"/>
        <v>8.0845799798318942E-3</v>
      </c>
      <c r="F114" s="8" t="str">
        <v>Vietnam</v>
      </c>
      <c r="G114" s="8">
        <f t="shared" si="3"/>
        <v>1.5072471075074792E-2</v>
      </c>
    </row>
    <row r="115" spans="1:7" x14ac:dyDescent="0.2">
      <c r="A115" s="12" t="s">
        <v>423</v>
      </c>
      <c r="B115" s="13">
        <v>196272049</v>
      </c>
      <c r="C115" s="13">
        <v>871188467.20000005</v>
      </c>
      <c r="D115" s="70">
        <f t="shared" si="2"/>
        <v>3.1324459401389865E-2</v>
      </c>
      <c r="F115" s="8" t="str">
        <v>Hong Kong (China)</v>
      </c>
      <c r="G115" s="8">
        <f t="shared" si="3"/>
        <v>1.8833799381638868E-3</v>
      </c>
    </row>
    <row r="116" spans="1:7" x14ac:dyDescent="0.2">
      <c r="A116" s="12" t="s">
        <v>436</v>
      </c>
      <c r="B116" s="13">
        <v>94440729</v>
      </c>
      <c r="C116" s="13">
        <v>508974195.69</v>
      </c>
      <c r="D116" s="70">
        <f t="shared" si="2"/>
        <v>1.5072471075074792E-2</v>
      </c>
      <c r="F116" s="8" t="str">
        <v>Bangladesh</v>
      </c>
      <c r="G116" s="8">
        <f t="shared" si="3"/>
        <v>1.5615579853105693E-2</v>
      </c>
    </row>
    <row r="117" spans="1:7" x14ac:dyDescent="0.2">
      <c r="A117" s="12" t="s">
        <v>481</v>
      </c>
      <c r="B117" s="13">
        <v>11800837</v>
      </c>
      <c r="C117" s="13">
        <v>12676549.17</v>
      </c>
      <c r="D117" s="70">
        <f t="shared" si="2"/>
        <v>1.8833799381638868E-3</v>
      </c>
      <c r="F117" s="8" t="str">
        <v>República de Yemen</v>
      </c>
      <c r="G117" s="8">
        <f t="shared" si="3"/>
        <v>1.5297994773639612E-3</v>
      </c>
    </row>
    <row r="118" spans="1:7" x14ac:dyDescent="0.2">
      <c r="A118" s="12" t="s">
        <v>276</v>
      </c>
      <c r="B118" s="13">
        <v>97843727</v>
      </c>
      <c r="C118" s="13">
        <v>198213470</v>
      </c>
      <c r="D118" s="70">
        <f t="shared" si="2"/>
        <v>1.5615579853105693E-2</v>
      </c>
      <c r="F118" s="8" t="str">
        <v>Azerbaidzhan</v>
      </c>
      <c r="G118" s="8">
        <f t="shared" si="3"/>
        <v>6.7030802478572705E-6</v>
      </c>
    </row>
    <row r="119" spans="1:7" x14ac:dyDescent="0.2">
      <c r="A119" s="12" t="s">
        <v>437</v>
      </c>
      <c r="B119" s="13">
        <v>9585381</v>
      </c>
      <c r="C119" s="13">
        <v>64823095.890000001</v>
      </c>
      <c r="D119" s="70">
        <f t="shared" si="2"/>
        <v>1.5297994773639612E-3</v>
      </c>
      <c r="F119" s="8" t="str">
        <v>Georgia</v>
      </c>
      <c r="G119" s="8">
        <f t="shared" si="3"/>
        <v>9.3172815445216055E-7</v>
      </c>
    </row>
    <row r="120" spans="1:7" x14ac:dyDescent="0.2">
      <c r="A120" s="12" t="s">
        <v>482</v>
      </c>
      <c r="B120" s="13">
        <v>42000</v>
      </c>
      <c r="C120" s="13">
        <v>25000</v>
      </c>
      <c r="D120" s="70">
        <f t="shared" si="2"/>
        <v>6.7030802478572705E-6</v>
      </c>
      <c r="F120" s="8" t="str">
        <v>Gaza y Jericó</v>
      </c>
      <c r="G120" s="8">
        <f t="shared" si="3"/>
        <v>3.9548173462357897E-7</v>
      </c>
    </row>
    <row r="121" spans="1:7" x14ac:dyDescent="0.2">
      <c r="A121" s="12" t="s">
        <v>323</v>
      </c>
      <c r="B121" s="13">
        <v>5838</v>
      </c>
      <c r="C121" s="13">
        <v>17851.689999999999</v>
      </c>
      <c r="D121" s="70">
        <f t="shared" si="2"/>
        <v>9.3172815445216055E-7</v>
      </c>
      <c r="F121" s="8" t="str">
        <v xml:space="preserve">   EUROPA</v>
      </c>
      <c r="G121" s="8">
        <f t="shared" si="3"/>
        <v>0.29236814998619826</v>
      </c>
    </row>
    <row r="122" spans="1:7" x14ac:dyDescent="0.2">
      <c r="A122" s="12" t="s">
        <v>483</v>
      </c>
      <c r="B122" s="13">
        <v>2478</v>
      </c>
      <c r="C122" s="13">
        <v>153</v>
      </c>
      <c r="D122" s="70">
        <f t="shared" si="2"/>
        <v>3.9548173462357897E-7</v>
      </c>
      <c r="F122" s="8" t="str">
        <v>Albania</v>
      </c>
      <c r="G122" s="8">
        <f t="shared" si="3"/>
        <v>7.2097533160209013E-5</v>
      </c>
    </row>
    <row r="123" spans="1:7" x14ac:dyDescent="0.2">
      <c r="A123" s="12" t="s">
        <v>1</v>
      </c>
      <c r="B123" s="13" t="s">
        <v>466</v>
      </c>
      <c r="C123" s="13" t="s">
        <v>466</v>
      </c>
      <c r="D123" s="70" t="e">
        <f t="shared" si="2"/>
        <v>#VALUE!</v>
      </c>
      <c r="F123" s="8" t="str">
        <v>Austria</v>
      </c>
      <c r="G123" s="8">
        <f t="shared" si="3"/>
        <v>9.2106068102914206E-5</v>
      </c>
    </row>
    <row r="124" spans="1:7" x14ac:dyDescent="0.2">
      <c r="A124" s="12" t="s">
        <v>5</v>
      </c>
      <c r="B124" s="13">
        <v>1831913366</v>
      </c>
      <c r="C124" s="13">
        <v>9434362404.3400002</v>
      </c>
      <c r="D124" s="70">
        <f t="shared" si="2"/>
        <v>0.29236814998619826</v>
      </c>
      <c r="F124" s="8" t="str">
        <v>Bélgica</v>
      </c>
      <c r="G124" s="8">
        <f t="shared" si="3"/>
        <v>9.290987754666493E-3</v>
      </c>
    </row>
    <row r="125" spans="1:7" x14ac:dyDescent="0.2">
      <c r="A125" s="12" t="s">
        <v>264</v>
      </c>
      <c r="B125" s="13">
        <v>451747</v>
      </c>
      <c r="C125" s="13">
        <v>2641066</v>
      </c>
      <c r="D125" s="70">
        <f t="shared" si="2"/>
        <v>7.2097533160209013E-5</v>
      </c>
      <c r="F125" s="8" t="str">
        <v>Bulgaria</v>
      </c>
      <c r="G125" s="8">
        <f t="shared" si="3"/>
        <v>6.66812049242172E-4</v>
      </c>
    </row>
    <row r="126" spans="1:7" x14ac:dyDescent="0.2">
      <c r="A126" s="12" t="s">
        <v>272</v>
      </c>
      <c r="B126" s="13">
        <v>577116</v>
      </c>
      <c r="C126" s="13">
        <v>170406.85</v>
      </c>
      <c r="D126" s="70">
        <f t="shared" si="2"/>
        <v>9.2106068102914206E-5</v>
      </c>
      <c r="F126" s="8" t="str">
        <v>Dinamarca</v>
      </c>
      <c r="G126" s="8">
        <f t="shared" si="3"/>
        <v>2.8133456613023071E-2</v>
      </c>
    </row>
    <row r="127" spans="1:7" x14ac:dyDescent="0.2">
      <c r="A127" s="12" t="s">
        <v>279</v>
      </c>
      <c r="B127" s="13">
        <v>58215249</v>
      </c>
      <c r="C127" s="13">
        <v>348705782.69</v>
      </c>
      <c r="D127" s="70">
        <f t="shared" si="2"/>
        <v>9.290987754666493E-3</v>
      </c>
      <c r="F127" s="8" t="str">
        <v>España</v>
      </c>
      <c r="G127" s="8">
        <f t="shared" si="3"/>
        <v>6.3862722309487793E-2</v>
      </c>
    </row>
    <row r="128" spans="1:7" x14ac:dyDescent="0.2">
      <c r="A128" s="12" t="s">
        <v>287</v>
      </c>
      <c r="B128" s="13">
        <v>4178095</v>
      </c>
      <c r="C128" s="13">
        <v>11366613.08</v>
      </c>
      <c r="D128" s="70">
        <f t="shared" si="2"/>
        <v>6.66812049242172E-4</v>
      </c>
      <c r="F128" s="8" t="str">
        <v>Finlandia</v>
      </c>
      <c r="G128" s="8">
        <f t="shared" si="3"/>
        <v>9.3196755017529833E-6</v>
      </c>
    </row>
    <row r="129" spans="1:7" x14ac:dyDescent="0.2">
      <c r="A129" s="12" t="s">
        <v>308</v>
      </c>
      <c r="B129" s="13">
        <v>176277940</v>
      </c>
      <c r="C129" s="13">
        <v>1048794597</v>
      </c>
      <c r="D129" s="70">
        <f t="shared" si="2"/>
        <v>2.8133456613023071E-2</v>
      </c>
      <c r="F129" s="8" t="str">
        <v>Francia</v>
      </c>
      <c r="G129" s="8">
        <f t="shared" si="3"/>
        <v>1.0926845442474986E-2</v>
      </c>
    </row>
    <row r="130" spans="1:7" x14ac:dyDescent="0.2">
      <c r="A130" s="12" t="s">
        <v>411</v>
      </c>
      <c r="B130" s="13">
        <v>400149519</v>
      </c>
      <c r="C130" s="13">
        <v>2284820928.02</v>
      </c>
      <c r="D130" s="70">
        <f t="shared" si="2"/>
        <v>6.3862722309487793E-2</v>
      </c>
      <c r="F130" s="8" t="str">
        <v>Grecia</v>
      </c>
      <c r="G130" s="8">
        <f t="shared" si="3"/>
        <v>6.095630358095825E-3</v>
      </c>
    </row>
    <row r="131" spans="1:7" x14ac:dyDescent="0.2">
      <c r="A131" s="12" t="s">
        <v>319</v>
      </c>
      <c r="B131" s="13">
        <v>58395</v>
      </c>
      <c r="C131" s="13">
        <v>55796.35</v>
      </c>
      <c r="D131" s="70">
        <f t="shared" si="2"/>
        <v>9.3196755017529833E-6</v>
      </c>
      <c r="F131" s="8" t="str">
        <v>Hungría</v>
      </c>
      <c r="G131" s="8">
        <f t="shared" si="3"/>
        <v>1.5174496903958792E-5</v>
      </c>
    </row>
    <row r="132" spans="1:7" x14ac:dyDescent="0.2">
      <c r="A132" s="12" t="s">
        <v>320</v>
      </c>
      <c r="B132" s="13">
        <v>68465167</v>
      </c>
      <c r="C132" s="13">
        <v>271714576.18000001</v>
      </c>
      <c r="D132" s="70">
        <f t="shared" si="2"/>
        <v>1.0926845442474986E-2</v>
      </c>
      <c r="F132" s="8" t="str">
        <v>Irlanda</v>
      </c>
      <c r="G132" s="8">
        <f t="shared" si="3"/>
        <v>7.6109377759639189E-3</v>
      </c>
    </row>
    <row r="133" spans="1:7" x14ac:dyDescent="0.2">
      <c r="A133" s="12" t="s">
        <v>326</v>
      </c>
      <c r="B133" s="13">
        <v>38193855</v>
      </c>
      <c r="C133" s="13">
        <v>206522055.66</v>
      </c>
      <c r="D133" s="70">
        <f t="shared" si="2"/>
        <v>6.095630358095825E-3</v>
      </c>
      <c r="F133" s="8" t="str">
        <v>Islandia</v>
      </c>
      <c r="G133" s="8">
        <f t="shared" si="3"/>
        <v>1.3102925913073378E-7</v>
      </c>
    </row>
    <row r="134" spans="1:7" x14ac:dyDescent="0.2">
      <c r="A134" s="12" t="s">
        <v>336</v>
      </c>
      <c r="B134" s="13">
        <v>95080</v>
      </c>
      <c r="C134" s="13">
        <v>29850.3</v>
      </c>
      <c r="D134" s="70">
        <f t="shared" si="2"/>
        <v>1.5174496903958792E-5</v>
      </c>
      <c r="F134" s="8" t="str">
        <v>Italia</v>
      </c>
      <c r="G134" s="8">
        <f t="shared" si="3"/>
        <v>4.8473837438421666E-2</v>
      </c>
    </row>
    <row r="135" spans="1:7" x14ac:dyDescent="0.2">
      <c r="A135" s="12" t="s">
        <v>342</v>
      </c>
      <c r="B135" s="13">
        <v>47688432</v>
      </c>
      <c r="C135" s="13">
        <v>259845361.90000001</v>
      </c>
      <c r="D135" s="70">
        <f t="shared" si="2"/>
        <v>7.6109377759639189E-3</v>
      </c>
      <c r="F135" s="8" t="str">
        <v>Luxemburgo</v>
      </c>
      <c r="G135" s="8">
        <f t="shared" si="3"/>
        <v>2.4660313037569381E-5</v>
      </c>
    </row>
    <row r="136" spans="1:7" x14ac:dyDescent="0.2">
      <c r="A136" s="12" t="s">
        <v>337</v>
      </c>
      <c r="B136" s="13">
        <v>821</v>
      </c>
      <c r="C136" s="13">
        <v>2736.6</v>
      </c>
      <c r="D136" s="70">
        <f t="shared" si="2"/>
        <v>1.3102925913073378E-7</v>
      </c>
      <c r="F136" s="8" t="str">
        <v>Malta</v>
      </c>
      <c r="G136" s="8">
        <f t="shared" si="3"/>
        <v>1.0971426192829146E-4</v>
      </c>
    </row>
    <row r="137" spans="1:7" x14ac:dyDescent="0.2">
      <c r="A137" s="12" t="s">
        <v>344</v>
      </c>
      <c r="B137" s="13">
        <v>303726212</v>
      </c>
      <c r="C137" s="13">
        <v>1535579451.26</v>
      </c>
      <c r="D137" s="70">
        <f t="shared" si="2"/>
        <v>4.8473837438421666E-2</v>
      </c>
      <c r="F137" s="8" t="str">
        <v>Noruega</v>
      </c>
      <c r="G137" s="8">
        <f t="shared" si="3"/>
        <v>2.1506194586655018E-4</v>
      </c>
    </row>
    <row r="138" spans="1:7" x14ac:dyDescent="0.2">
      <c r="A138" s="12" t="s">
        <v>358</v>
      </c>
      <c r="B138" s="13">
        <v>154516</v>
      </c>
      <c r="C138" s="13">
        <v>20415.259999999998</v>
      </c>
      <c r="D138" s="70">
        <f t="shared" si="2"/>
        <v>2.4660313037569381E-5</v>
      </c>
      <c r="F138" s="8" t="str">
        <v>Países Bajos</v>
      </c>
      <c r="G138" s="8">
        <f t="shared" si="3"/>
        <v>6.0627485734968248E-2</v>
      </c>
    </row>
    <row r="139" spans="1:7" x14ac:dyDescent="0.2">
      <c r="A139" s="12" t="s">
        <v>365</v>
      </c>
      <c r="B139" s="13">
        <v>687445</v>
      </c>
      <c r="C139" s="13">
        <v>2006484.69</v>
      </c>
      <c r="D139" s="70">
        <f t="shared" ref="D139:D155" si="4">+B139/$B$8</f>
        <v>1.0971426192829146E-4</v>
      </c>
      <c r="F139" s="8" t="str">
        <v>Polonia</v>
      </c>
      <c r="G139" s="8">
        <f t="shared" ref="G139:G151" si="5">+SUMIF(A139:A284,F139,D139:D284)</f>
        <v>1.3988594330393834E-2</v>
      </c>
    </row>
    <row r="140" spans="1:7" x14ac:dyDescent="0.2">
      <c r="A140" s="12" t="s">
        <v>384</v>
      </c>
      <c r="B140" s="13">
        <v>1347530</v>
      </c>
      <c r="C140" s="13">
        <v>8524786.4700000007</v>
      </c>
      <c r="D140" s="70">
        <f t="shared" si="4"/>
        <v>2.1506194586655018E-4</v>
      </c>
      <c r="F140" s="8" t="str">
        <v>Portugal</v>
      </c>
      <c r="G140" s="8">
        <f t="shared" si="5"/>
        <v>4.6506486258424233E-3</v>
      </c>
    </row>
    <row r="141" spans="1:7" x14ac:dyDescent="0.2">
      <c r="A141" s="12" t="s">
        <v>378</v>
      </c>
      <c r="B141" s="13">
        <v>379878251</v>
      </c>
      <c r="C141" s="13">
        <v>2076383591</v>
      </c>
      <c r="D141" s="70">
        <f t="shared" si="4"/>
        <v>6.0627485734968248E-2</v>
      </c>
      <c r="F141" s="8" t="str">
        <v>Reino Unido</v>
      </c>
      <c r="G141" s="8">
        <f t="shared" si="5"/>
        <v>7.6143137344516073E-3</v>
      </c>
    </row>
    <row r="142" spans="1:7" x14ac:dyDescent="0.2">
      <c r="A142" s="12" t="s">
        <v>392</v>
      </c>
      <c r="B142" s="13">
        <v>87649400</v>
      </c>
      <c r="C142" s="13">
        <v>443763912.81</v>
      </c>
      <c r="D142" s="70">
        <f t="shared" si="4"/>
        <v>1.3988594330393834E-2</v>
      </c>
      <c r="F142" s="8" t="str">
        <v>Rumania</v>
      </c>
      <c r="G142" s="8">
        <f t="shared" si="5"/>
        <v>7.4353598455059256E-4</v>
      </c>
    </row>
    <row r="143" spans="1:7" x14ac:dyDescent="0.2">
      <c r="A143" s="12" t="s">
        <v>393</v>
      </c>
      <c r="B143" s="13">
        <v>29139923</v>
      </c>
      <c r="C143" s="13">
        <v>189975368.43000001</v>
      </c>
      <c r="D143" s="70">
        <f t="shared" si="4"/>
        <v>4.6506486258424233E-3</v>
      </c>
      <c r="F143" s="8" t="str">
        <v>Suecia</v>
      </c>
      <c r="G143" s="8">
        <f t="shared" si="5"/>
        <v>3.134808791886071E-4</v>
      </c>
    </row>
    <row r="144" spans="1:7" x14ac:dyDescent="0.2">
      <c r="A144" s="12" t="s">
        <v>431</v>
      </c>
      <c r="B144" s="13">
        <v>47709585</v>
      </c>
      <c r="C144" s="13">
        <v>132542260.88</v>
      </c>
      <c r="D144" s="70">
        <f t="shared" si="4"/>
        <v>7.6143137344516073E-3</v>
      </c>
      <c r="F144" s="8" t="str">
        <v>Suiza</v>
      </c>
      <c r="G144" s="8">
        <f t="shared" si="5"/>
        <v>1.3258229898530281E-4</v>
      </c>
    </row>
    <row r="145" spans="1:7" x14ac:dyDescent="0.2">
      <c r="A145" s="12" t="s">
        <v>396</v>
      </c>
      <c r="B145" s="13">
        <v>4658830</v>
      </c>
      <c r="C145" s="13">
        <v>26393094.16</v>
      </c>
      <c r="D145" s="70">
        <f t="shared" si="4"/>
        <v>7.4353598455059256E-4</v>
      </c>
      <c r="F145" s="8" t="str">
        <v>Chipre</v>
      </c>
      <c r="G145" s="8">
        <f t="shared" si="5"/>
        <v>1.6676108173311877E-3</v>
      </c>
    </row>
    <row r="146" spans="1:7" x14ac:dyDescent="0.2">
      <c r="A146" s="12" t="s">
        <v>418</v>
      </c>
      <c r="B146" s="13">
        <v>1964201</v>
      </c>
      <c r="C146" s="13">
        <v>800675.41</v>
      </c>
      <c r="D146" s="70">
        <f t="shared" si="4"/>
        <v>3.134808791886071E-4</v>
      </c>
      <c r="F146" s="8" t="str">
        <v>Turquía</v>
      </c>
      <c r="G146" s="8">
        <f t="shared" si="5"/>
        <v>7.0477794465230829E-3</v>
      </c>
    </row>
    <row r="147" spans="1:7" x14ac:dyDescent="0.2">
      <c r="A147" s="12" t="s">
        <v>419</v>
      </c>
      <c r="B147" s="13">
        <v>830731</v>
      </c>
      <c r="C147" s="13">
        <v>698684.81</v>
      </c>
      <c r="D147" s="70">
        <f t="shared" si="4"/>
        <v>1.3258229898530281E-4</v>
      </c>
      <c r="F147" s="8" t="str">
        <v>República Federal de Alemania</v>
      </c>
      <c r="G147" s="8">
        <f t="shared" si="5"/>
        <v>1.775650697692709E-2</v>
      </c>
    </row>
    <row r="148" spans="1:7" x14ac:dyDescent="0.2">
      <c r="A148" s="12" t="s">
        <v>306</v>
      </c>
      <c r="B148" s="13">
        <v>10448876</v>
      </c>
      <c r="C148" s="13">
        <v>61065373.649999999</v>
      </c>
      <c r="D148" s="70">
        <f t="shared" si="4"/>
        <v>1.6676108173311877E-3</v>
      </c>
      <c r="F148" s="8" t="str">
        <v>Bielorus</v>
      </c>
      <c r="G148" s="8">
        <f t="shared" si="5"/>
        <v>9.4417673205532404E-7</v>
      </c>
    </row>
    <row r="149" spans="1:7" x14ac:dyDescent="0.2">
      <c r="A149" s="12" t="s">
        <v>427</v>
      </c>
      <c r="B149" s="13">
        <v>44159808</v>
      </c>
      <c r="C149" s="13">
        <v>218724232.28</v>
      </c>
      <c r="D149" s="70">
        <f t="shared" si="4"/>
        <v>7.0477794465230829E-3</v>
      </c>
      <c r="F149" s="8" t="str">
        <v>Estonia</v>
      </c>
      <c r="G149" s="8">
        <f t="shared" si="5"/>
        <v>1.6939162577781598E-5</v>
      </c>
    </row>
    <row r="150" spans="1:7" x14ac:dyDescent="0.2">
      <c r="A150" s="12" t="s">
        <v>324</v>
      </c>
      <c r="B150" s="13">
        <v>111258297</v>
      </c>
      <c r="C150" s="13">
        <v>266941639</v>
      </c>
      <c r="D150" s="70">
        <f t="shared" si="4"/>
        <v>1.775650697692709E-2</v>
      </c>
      <c r="F150" s="8" t="str">
        <v>Letonia</v>
      </c>
      <c r="G150" s="8">
        <f t="shared" si="5"/>
        <v>6.8432065444672386E-6</v>
      </c>
    </row>
    <row r="151" spans="1:7" x14ac:dyDescent="0.2">
      <c r="A151" s="12" t="s">
        <v>484</v>
      </c>
      <c r="B151" s="13">
        <v>5916</v>
      </c>
      <c r="C151" s="13">
        <v>939.87</v>
      </c>
      <c r="D151" s="70">
        <f t="shared" si="4"/>
        <v>9.4417673205532404E-7</v>
      </c>
      <c r="F151" s="8" t="str">
        <v>Lituania</v>
      </c>
      <c r="G151" s="8">
        <f t="shared" si="5"/>
        <v>1.5134597616769166E-6</v>
      </c>
    </row>
    <row r="152" spans="1:7" x14ac:dyDescent="0.2">
      <c r="A152" s="12" t="s">
        <v>316</v>
      </c>
      <c r="B152" s="13">
        <v>106137</v>
      </c>
      <c r="C152" s="13">
        <v>9219.83</v>
      </c>
      <c r="D152" s="70">
        <f t="shared" si="4"/>
        <v>1.6939162577781598E-5</v>
      </c>
      <c r="F152" s="8" t="str">
        <v>Rusia</v>
      </c>
    </row>
    <row r="153" spans="1:7" x14ac:dyDescent="0.2">
      <c r="A153" s="12" t="s">
        <v>352</v>
      </c>
      <c r="B153" s="13">
        <v>42878</v>
      </c>
      <c r="C153" s="13">
        <v>26245.3</v>
      </c>
      <c r="D153" s="70">
        <f t="shared" si="4"/>
        <v>6.8432065444672386E-6</v>
      </c>
    </row>
    <row r="154" spans="1:7" x14ac:dyDescent="0.2">
      <c r="A154" s="12" t="s">
        <v>357</v>
      </c>
      <c r="B154" s="13">
        <v>9483</v>
      </c>
      <c r="C154" s="13">
        <v>16391.18</v>
      </c>
      <c r="D154" s="70">
        <f t="shared" si="4"/>
        <v>1.5134597616769166E-6</v>
      </c>
    </row>
    <row r="155" spans="1:7" x14ac:dyDescent="0.2">
      <c r="A155" s="12" t="s">
        <v>397</v>
      </c>
      <c r="B155" s="13">
        <v>9007172</v>
      </c>
      <c r="C155" s="13">
        <v>13876547.380000001</v>
      </c>
      <c r="D155" s="70">
        <f t="shared" si="4"/>
        <v>1.437518969577454E-3</v>
      </c>
    </row>
    <row r="156" spans="1:7" x14ac:dyDescent="0.2">
      <c r="A156" s="12" t="s">
        <v>429</v>
      </c>
      <c r="B156" s="13">
        <v>350332</v>
      </c>
      <c r="C156" s="13">
        <v>129661.46</v>
      </c>
    </row>
    <row r="157" spans="1:7" x14ac:dyDescent="0.2">
      <c r="A157" s="12" t="s">
        <v>304</v>
      </c>
      <c r="B157" s="13">
        <v>2683902</v>
      </c>
      <c r="C157" s="13">
        <v>14743635.35</v>
      </c>
    </row>
    <row r="158" spans="1:7" x14ac:dyDescent="0.2">
      <c r="A158" s="12" t="s">
        <v>407</v>
      </c>
      <c r="B158" s="13">
        <v>1121204</v>
      </c>
      <c r="C158" s="13">
        <v>6491884.0199999996</v>
      </c>
    </row>
    <row r="159" spans="1:7" x14ac:dyDescent="0.2">
      <c r="A159" s="12" t="s">
        <v>383</v>
      </c>
      <c r="B159" s="13">
        <v>67863</v>
      </c>
      <c r="C159" s="13">
        <v>48679</v>
      </c>
    </row>
    <row r="160" spans="1:7" x14ac:dyDescent="0.2">
      <c r="A160" s="12" t="s">
        <v>307</v>
      </c>
      <c r="B160" s="13">
        <v>359045</v>
      </c>
      <c r="C160" s="13">
        <v>49142.559999999998</v>
      </c>
    </row>
    <row r="161" spans="1:3" x14ac:dyDescent="0.2">
      <c r="A161" s="12" t="s">
        <v>485</v>
      </c>
      <c r="B161" s="13">
        <v>194413</v>
      </c>
      <c r="C161" s="13">
        <v>880317.65</v>
      </c>
    </row>
    <row r="162" spans="1:3" x14ac:dyDescent="0.2">
      <c r="A162" s="12" t="s">
        <v>1</v>
      </c>
      <c r="B162" s="13" t="s">
        <v>466</v>
      </c>
      <c r="C162" s="13" t="s">
        <v>466</v>
      </c>
    </row>
    <row r="163" spans="1:3" x14ac:dyDescent="0.2">
      <c r="A163" s="12" t="s">
        <v>6</v>
      </c>
      <c r="B163" s="13">
        <v>14517872</v>
      </c>
      <c r="C163" s="13">
        <v>6845707.71</v>
      </c>
    </row>
    <row r="164" spans="1:3" x14ac:dyDescent="0.2">
      <c r="A164" s="12" t="s">
        <v>271</v>
      </c>
      <c r="B164" s="13">
        <v>13573411</v>
      </c>
      <c r="C164" s="13">
        <v>5095158.58</v>
      </c>
    </row>
    <row r="165" spans="1:3" x14ac:dyDescent="0.2">
      <c r="A165" s="12" t="s">
        <v>379</v>
      </c>
      <c r="B165" s="13">
        <v>199711</v>
      </c>
      <c r="C165" s="13">
        <v>250549.13</v>
      </c>
    </row>
    <row r="166" spans="1:3" x14ac:dyDescent="0.2">
      <c r="A166" s="14" t="s">
        <v>318</v>
      </c>
      <c r="B166" s="15">
        <v>744750</v>
      </c>
      <c r="C166" s="15">
        <v>1500000</v>
      </c>
    </row>
    <row r="168" spans="1:3" x14ac:dyDescent="0.2">
      <c r="A168" s="7" t="s">
        <v>16</v>
      </c>
    </row>
  </sheetData>
  <mergeCells count="2">
    <mergeCell ref="A1:C2"/>
    <mergeCell ref="B4:C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57"/>
  <sheetViews>
    <sheetView topLeftCell="A3" workbookViewId="0">
      <selection activeCell="D3" sqref="D1:G1048576"/>
    </sheetView>
  </sheetViews>
  <sheetFormatPr baseColWidth="10" defaultRowHeight="15" x14ac:dyDescent="0.2"/>
  <cols>
    <col min="1" max="1" width="80.625" style="8" customWidth="1"/>
    <col min="2" max="3" width="20" style="9" customWidth="1"/>
    <col min="4" max="16384" width="11" style="8"/>
  </cols>
  <sheetData>
    <row r="1" spans="1:7" x14ac:dyDescent="0.2">
      <c r="A1" s="66" t="s">
        <v>257</v>
      </c>
      <c r="B1" s="66"/>
      <c r="C1" s="66"/>
    </row>
    <row r="2" spans="1:7" x14ac:dyDescent="0.2">
      <c r="A2" s="66"/>
      <c r="B2" s="66"/>
      <c r="C2" s="66"/>
    </row>
    <row r="3" spans="1:7" x14ac:dyDescent="0.2">
      <c r="A3" s="1"/>
      <c r="B3" s="1"/>
      <c r="C3" s="1"/>
    </row>
    <row r="4" spans="1:7" x14ac:dyDescent="0.2">
      <c r="A4" s="2"/>
      <c r="B4" s="67" t="s">
        <v>22</v>
      </c>
      <c r="C4" s="67"/>
    </row>
    <row r="5" spans="1:7" x14ac:dyDescent="0.2">
      <c r="A5" s="3" t="s">
        <v>465</v>
      </c>
      <c r="B5" s="4" t="s">
        <v>10</v>
      </c>
      <c r="C5" s="4" t="s">
        <v>11</v>
      </c>
    </row>
    <row r="6" spans="1:7" x14ac:dyDescent="0.2">
      <c r="A6" s="5"/>
      <c r="B6" s="6" t="s">
        <v>13</v>
      </c>
      <c r="C6" s="6" t="s">
        <v>14</v>
      </c>
    </row>
    <row r="8" spans="1:7" x14ac:dyDescent="0.2">
      <c r="A8" s="10" t="s">
        <v>0</v>
      </c>
      <c r="B8" s="11">
        <v>4888209990</v>
      </c>
      <c r="C8" s="11">
        <v>20835780032.169998</v>
      </c>
    </row>
    <row r="9" spans="1:7" x14ac:dyDescent="0.2">
      <c r="A9" s="12" t="s">
        <v>1</v>
      </c>
      <c r="B9" s="13" t="s">
        <v>466</v>
      </c>
      <c r="C9" s="13" t="s">
        <v>466</v>
      </c>
    </row>
    <row r="10" spans="1:7" x14ac:dyDescent="0.2">
      <c r="A10" s="12" t="s">
        <v>2</v>
      </c>
      <c r="B10" s="13">
        <v>503042321</v>
      </c>
      <c r="C10" s="13">
        <v>2510970314.9899998</v>
      </c>
      <c r="D10" s="70">
        <f>+B10/$B$8</f>
        <v>0.10290931077615183</v>
      </c>
      <c r="F10" s="8" t="str" cm="1">
        <f t="array" ref="F10:F151">+_xlfn.UNIQUE(A10:A155)</f>
        <v xml:space="preserve">   AFRICA</v>
      </c>
      <c r="G10" s="70">
        <f>+SUMIF(A10:A155,F10,D10:D155)</f>
        <v>0.10290931077615183</v>
      </c>
    </row>
    <row r="11" spans="1:7" x14ac:dyDescent="0.2">
      <c r="A11" s="12" t="s">
        <v>288</v>
      </c>
      <c r="B11" s="13">
        <v>47725</v>
      </c>
      <c r="C11" s="13">
        <v>38625</v>
      </c>
      <c r="D11" s="70">
        <f t="shared" ref="D11:D74" si="0">+B11/$B$8</f>
        <v>9.7632876037717031E-6</v>
      </c>
      <c r="F11" s="8" t="str">
        <v>Burkina Faso</v>
      </c>
      <c r="G11" s="70">
        <f t="shared" ref="G11:G74" si="1">+SUMIF(A11:A156,F11,D11:D156)</f>
        <v>9.7632876037717031E-6</v>
      </c>
    </row>
    <row r="12" spans="1:7" x14ac:dyDescent="0.2">
      <c r="A12" s="12" t="s">
        <v>265</v>
      </c>
      <c r="B12" s="13">
        <v>51892664</v>
      </c>
      <c r="C12" s="13">
        <v>200437984.93000001</v>
      </c>
      <c r="D12" s="70">
        <f t="shared" si="0"/>
        <v>1.0615882727247566E-2</v>
      </c>
      <c r="F12" s="8" t="str">
        <v>Argelia</v>
      </c>
      <c r="G12" s="70">
        <f t="shared" si="1"/>
        <v>1.0615882727247566E-2</v>
      </c>
    </row>
    <row r="13" spans="1:7" x14ac:dyDescent="0.2">
      <c r="A13" s="12" t="s">
        <v>292</v>
      </c>
      <c r="B13" s="13">
        <v>703700</v>
      </c>
      <c r="C13" s="13">
        <v>2128116.37</v>
      </c>
      <c r="D13" s="70">
        <f t="shared" si="0"/>
        <v>1.4395862727656673E-4</v>
      </c>
      <c r="F13" s="8" t="str">
        <v>Camerún</v>
      </c>
      <c r="G13" s="70">
        <f t="shared" si="1"/>
        <v>1.4395862727656673E-4</v>
      </c>
    </row>
    <row r="14" spans="1:7" x14ac:dyDescent="0.2">
      <c r="A14" s="12" t="s">
        <v>301</v>
      </c>
      <c r="B14" s="13">
        <v>3981758</v>
      </c>
      <c r="C14" s="13">
        <v>7663287.0599999996</v>
      </c>
      <c r="D14" s="70">
        <f t="shared" si="0"/>
        <v>8.1456361493177176E-4</v>
      </c>
      <c r="F14" s="8" t="str">
        <v>Congo</v>
      </c>
      <c r="G14" s="70">
        <f t="shared" si="1"/>
        <v>8.1456361493177176E-4</v>
      </c>
    </row>
    <row r="15" spans="1:7" x14ac:dyDescent="0.2">
      <c r="A15" s="12" t="s">
        <v>477</v>
      </c>
      <c r="B15" s="13">
        <v>515110</v>
      </c>
      <c r="C15" s="13">
        <v>1938572.59</v>
      </c>
      <c r="D15" s="70">
        <f t="shared" si="0"/>
        <v>1.0537804248462738E-4</v>
      </c>
      <c r="F15" s="8" t="str">
        <v>Rep. Democrática del Congo</v>
      </c>
      <c r="G15" s="70">
        <f t="shared" si="1"/>
        <v>1.0537804248462738E-4</v>
      </c>
    </row>
    <row r="16" spans="1:7" x14ac:dyDescent="0.2">
      <c r="A16" s="12" t="s">
        <v>303</v>
      </c>
      <c r="B16" s="13">
        <v>434884</v>
      </c>
      <c r="C16" s="13">
        <v>1016202.96</v>
      </c>
      <c r="D16" s="70">
        <f t="shared" si="0"/>
        <v>8.896589976487487E-5</v>
      </c>
      <c r="F16" s="8" t="str">
        <v>Costa de Marfil</v>
      </c>
      <c r="G16" s="70">
        <f t="shared" si="1"/>
        <v>8.896589976487487E-5</v>
      </c>
    </row>
    <row r="17" spans="1:7" x14ac:dyDescent="0.2">
      <c r="A17" s="12" t="s">
        <v>281</v>
      </c>
      <c r="B17" s="13">
        <v>734407</v>
      </c>
      <c r="C17" s="13">
        <v>2965312.59</v>
      </c>
      <c r="D17" s="70">
        <f t="shared" si="0"/>
        <v>1.5024047688262264E-4</v>
      </c>
      <c r="F17" s="8" t="str">
        <v>Benin</v>
      </c>
      <c r="G17" s="70">
        <f t="shared" si="1"/>
        <v>1.5024047688262264E-4</v>
      </c>
    </row>
    <row r="18" spans="1:7" x14ac:dyDescent="0.2">
      <c r="A18" s="12" t="s">
        <v>313</v>
      </c>
      <c r="B18" s="13">
        <v>190495961</v>
      </c>
      <c r="C18" s="13">
        <v>1063160477.21</v>
      </c>
      <c r="D18" s="70">
        <f t="shared" si="0"/>
        <v>3.8970494596121064E-2</v>
      </c>
      <c r="F18" s="8" t="str">
        <v>Egipto</v>
      </c>
      <c r="G18" s="70">
        <f t="shared" si="1"/>
        <v>3.8970494596121064E-2</v>
      </c>
    </row>
    <row r="19" spans="1:7" x14ac:dyDescent="0.2">
      <c r="A19" s="12" t="s">
        <v>321</v>
      </c>
      <c r="B19" s="13">
        <v>444630</v>
      </c>
      <c r="C19" s="13">
        <v>914500.9</v>
      </c>
      <c r="D19" s="70">
        <f t="shared" si="0"/>
        <v>9.095967663205893E-5</v>
      </c>
      <c r="F19" s="8" t="str">
        <v>Gabón</v>
      </c>
      <c r="G19" s="70">
        <f t="shared" si="1"/>
        <v>9.095967663205893E-5</v>
      </c>
    </row>
    <row r="20" spans="1:7" x14ac:dyDescent="0.2">
      <c r="A20" s="12" t="s">
        <v>322</v>
      </c>
      <c r="B20" s="13">
        <v>312969</v>
      </c>
      <c r="C20" s="13">
        <v>226232.4</v>
      </c>
      <c r="D20" s="70">
        <f t="shared" si="0"/>
        <v>6.4025277277419095E-5</v>
      </c>
      <c r="F20" s="8" t="str">
        <v>Gambia</v>
      </c>
      <c r="G20" s="70">
        <f t="shared" si="1"/>
        <v>6.4025277277419095E-5</v>
      </c>
    </row>
    <row r="21" spans="1:7" x14ac:dyDescent="0.2">
      <c r="A21" s="12" t="s">
        <v>325</v>
      </c>
      <c r="B21" s="13">
        <v>1640208</v>
      </c>
      <c r="C21" s="13">
        <v>855044.65</v>
      </c>
      <c r="D21" s="70">
        <f t="shared" si="0"/>
        <v>3.355436864118843E-4</v>
      </c>
      <c r="F21" s="8" t="str">
        <v>Ghana</v>
      </c>
      <c r="G21" s="70">
        <f t="shared" si="1"/>
        <v>3.355436864118843E-4</v>
      </c>
    </row>
    <row r="22" spans="1:7" x14ac:dyDescent="0.2">
      <c r="A22" s="12" t="s">
        <v>329</v>
      </c>
      <c r="B22" s="13">
        <v>36346</v>
      </c>
      <c r="C22" s="13">
        <v>20882.37</v>
      </c>
      <c r="D22" s="70">
        <f t="shared" si="0"/>
        <v>7.4354416185790741E-6</v>
      </c>
      <c r="F22" s="8" t="str">
        <v>Guinea</v>
      </c>
      <c r="G22" s="70">
        <f t="shared" si="1"/>
        <v>7.4354416185790741E-6</v>
      </c>
    </row>
    <row r="23" spans="1:7" x14ac:dyDescent="0.2">
      <c r="A23" s="12" t="s">
        <v>330</v>
      </c>
      <c r="B23" s="13">
        <v>1106</v>
      </c>
      <c r="C23" s="13">
        <v>528</v>
      </c>
      <c r="D23" s="70">
        <f t="shared" si="0"/>
        <v>2.2625869229484553E-7</v>
      </c>
      <c r="F23" s="8" t="str">
        <v>Guinea Ecuatorial</v>
      </c>
      <c r="G23" s="70">
        <f t="shared" si="1"/>
        <v>2.2625869229484553E-7</v>
      </c>
    </row>
    <row r="24" spans="1:7" x14ac:dyDescent="0.2">
      <c r="A24" s="12" t="s">
        <v>349</v>
      </c>
      <c r="B24" s="13">
        <v>3494383</v>
      </c>
      <c r="C24" s="13">
        <v>14874023.960000001</v>
      </c>
      <c r="D24" s="70">
        <f t="shared" si="0"/>
        <v>7.1485942853285642E-4</v>
      </c>
      <c r="F24" s="8" t="str">
        <v>Kenya</v>
      </c>
      <c r="G24" s="70">
        <f t="shared" si="1"/>
        <v>7.1485942853285642E-4</v>
      </c>
    </row>
    <row r="25" spans="1:7" x14ac:dyDescent="0.2">
      <c r="A25" s="12" t="s">
        <v>355</v>
      </c>
      <c r="B25" s="13">
        <v>20304</v>
      </c>
      <c r="C25" s="13">
        <v>15245.52</v>
      </c>
      <c r="D25" s="70">
        <f t="shared" si="0"/>
        <v>4.1536677109896416E-6</v>
      </c>
      <c r="F25" s="8" t="str">
        <v>Liberia</v>
      </c>
      <c r="G25" s="70">
        <f t="shared" si="1"/>
        <v>4.1536677109896416E-6</v>
      </c>
    </row>
    <row r="26" spans="1:7" x14ac:dyDescent="0.2">
      <c r="A26" s="12" t="s">
        <v>356</v>
      </c>
      <c r="B26" s="13">
        <v>2507089</v>
      </c>
      <c r="C26" s="13">
        <v>26469365.359999999</v>
      </c>
      <c r="D26" s="70">
        <f t="shared" si="0"/>
        <v>5.1288488119963108E-4</v>
      </c>
      <c r="F26" s="8" t="str">
        <v>Libia</v>
      </c>
      <c r="G26" s="70">
        <f t="shared" si="1"/>
        <v>5.1288488119963108E-4</v>
      </c>
    </row>
    <row r="27" spans="1:7" x14ac:dyDescent="0.2">
      <c r="A27" s="12" t="s">
        <v>360</v>
      </c>
      <c r="B27" s="13">
        <v>1606580</v>
      </c>
      <c r="C27" s="13">
        <v>4000000</v>
      </c>
      <c r="D27" s="70">
        <f t="shared" si="0"/>
        <v>3.2866427655248913E-4</v>
      </c>
      <c r="F27" s="8" t="str">
        <v>Madagascar</v>
      </c>
      <c r="G27" s="70">
        <f t="shared" si="1"/>
        <v>3.2866427655248913E-4</v>
      </c>
    </row>
    <row r="28" spans="1:7" x14ac:dyDescent="0.2">
      <c r="A28" s="12" t="s">
        <v>478</v>
      </c>
      <c r="B28" s="13">
        <v>327859</v>
      </c>
      <c r="C28" s="13">
        <v>230039.3</v>
      </c>
      <c r="D28" s="70">
        <f t="shared" si="0"/>
        <v>6.7071382095023301E-5</v>
      </c>
      <c r="F28" s="8" t="str">
        <v>Malí</v>
      </c>
      <c r="G28" s="70">
        <f t="shared" si="1"/>
        <v>6.7071382095023301E-5</v>
      </c>
    </row>
    <row r="29" spans="1:7" x14ac:dyDescent="0.2">
      <c r="A29" s="12" t="s">
        <v>372</v>
      </c>
      <c r="B29" s="13">
        <v>49345970</v>
      </c>
      <c r="C29" s="13">
        <v>151974363.16</v>
      </c>
      <c r="D29" s="70">
        <f t="shared" si="0"/>
        <v>1.009489569821038E-2</v>
      </c>
      <c r="F29" s="8" t="str">
        <v>Marruecos</v>
      </c>
      <c r="G29" s="70">
        <f t="shared" si="1"/>
        <v>1.009489569821038E-2</v>
      </c>
    </row>
    <row r="30" spans="1:7" x14ac:dyDescent="0.2">
      <c r="A30" s="12" t="s">
        <v>367</v>
      </c>
      <c r="B30" s="13">
        <v>11106482</v>
      </c>
      <c r="C30" s="13">
        <v>53331533.030000001</v>
      </c>
      <c r="D30" s="70">
        <f t="shared" si="0"/>
        <v>2.2720959252407239E-3</v>
      </c>
      <c r="F30" s="8" t="str">
        <v>Mauricio</v>
      </c>
      <c r="G30" s="70">
        <f t="shared" si="1"/>
        <v>2.2720959252407239E-3</v>
      </c>
    </row>
    <row r="31" spans="1:7" x14ac:dyDescent="0.2">
      <c r="A31" s="12" t="s">
        <v>366</v>
      </c>
      <c r="B31" s="13">
        <v>806319</v>
      </c>
      <c r="C31" s="13">
        <v>1106500</v>
      </c>
      <c r="D31" s="70">
        <f t="shared" si="0"/>
        <v>1.6495179250676994E-4</v>
      </c>
      <c r="F31" s="8" t="str">
        <v>Mauritania</v>
      </c>
      <c r="G31" s="70">
        <f t="shared" si="1"/>
        <v>1.6495179250676994E-4</v>
      </c>
    </row>
    <row r="32" spans="1:7" x14ac:dyDescent="0.2">
      <c r="A32" s="12" t="s">
        <v>381</v>
      </c>
      <c r="B32" s="13">
        <v>714643</v>
      </c>
      <c r="C32" s="13">
        <v>501200</v>
      </c>
      <c r="D32" s="70">
        <f t="shared" si="0"/>
        <v>1.4619727905756355E-4</v>
      </c>
      <c r="F32" s="8" t="str">
        <v>Níger</v>
      </c>
      <c r="G32" s="70">
        <f t="shared" si="1"/>
        <v>1.4619727905756355E-4</v>
      </c>
    </row>
    <row r="33" spans="1:7" x14ac:dyDescent="0.2">
      <c r="A33" s="12" t="s">
        <v>382</v>
      </c>
      <c r="B33" s="13">
        <v>9638497</v>
      </c>
      <c r="C33" s="13">
        <v>30196389.920000002</v>
      </c>
      <c r="D33" s="70">
        <f t="shared" si="0"/>
        <v>1.9717845632077685E-3</v>
      </c>
      <c r="F33" s="8" t="str">
        <v>Nigeria</v>
      </c>
      <c r="G33" s="70">
        <f t="shared" si="1"/>
        <v>1.9717845632077685E-3</v>
      </c>
    </row>
    <row r="34" spans="1:7" x14ac:dyDescent="0.2">
      <c r="A34" s="12" t="s">
        <v>401</v>
      </c>
      <c r="B34" s="13">
        <v>6863475</v>
      </c>
      <c r="C34" s="13">
        <v>20263301.09</v>
      </c>
      <c r="D34" s="70">
        <f t="shared" si="0"/>
        <v>1.4040875932173282E-3</v>
      </c>
      <c r="F34" s="8" t="str">
        <v>Senegal</v>
      </c>
      <c r="G34" s="70">
        <f t="shared" si="1"/>
        <v>1.4040875932173282E-3</v>
      </c>
    </row>
    <row r="35" spans="1:7" x14ac:dyDescent="0.2">
      <c r="A35" s="12" t="s">
        <v>404</v>
      </c>
      <c r="B35" s="13">
        <v>173621</v>
      </c>
      <c r="C35" s="13">
        <v>131214</v>
      </c>
      <c r="D35" s="70">
        <f t="shared" si="0"/>
        <v>3.5518318639171229E-5</v>
      </c>
      <c r="F35" s="8" t="str">
        <v>Sierra Leona</v>
      </c>
      <c r="G35" s="70">
        <f t="shared" si="1"/>
        <v>3.5518318639171229E-5</v>
      </c>
    </row>
    <row r="36" spans="1:7" x14ac:dyDescent="0.2">
      <c r="A36" s="12" t="s">
        <v>416</v>
      </c>
      <c r="B36" s="13">
        <v>1480444</v>
      </c>
      <c r="C36" s="13">
        <v>5784393.8399999999</v>
      </c>
      <c r="D36" s="70">
        <f t="shared" si="0"/>
        <v>3.028601477900093E-4</v>
      </c>
      <c r="F36" s="8" t="str">
        <v>Sudán</v>
      </c>
      <c r="G36" s="70">
        <f t="shared" si="1"/>
        <v>3.028601477900093E-4</v>
      </c>
    </row>
    <row r="37" spans="1:7" x14ac:dyDescent="0.2">
      <c r="A37" s="12" t="s">
        <v>422</v>
      </c>
      <c r="B37" s="13">
        <v>775341</v>
      </c>
      <c r="C37" s="13">
        <v>3617377.01</v>
      </c>
      <c r="D37" s="70">
        <f t="shared" si="0"/>
        <v>1.5861450338388594E-4</v>
      </c>
      <c r="F37" s="8" t="str">
        <v>Tanzania</v>
      </c>
      <c r="G37" s="70">
        <f t="shared" si="1"/>
        <v>1.5861450338388594E-4</v>
      </c>
    </row>
    <row r="38" spans="1:7" x14ac:dyDescent="0.2">
      <c r="A38" s="12" t="s">
        <v>424</v>
      </c>
      <c r="B38" s="13">
        <v>174995</v>
      </c>
      <c r="C38" s="13">
        <v>143432.35999999999</v>
      </c>
      <c r="D38" s="70">
        <f t="shared" si="0"/>
        <v>3.579940312670569E-5</v>
      </c>
      <c r="F38" s="8" t="str">
        <v>Togo</v>
      </c>
      <c r="G38" s="70">
        <f t="shared" si="1"/>
        <v>3.579940312670569E-5</v>
      </c>
    </row>
    <row r="39" spans="1:7" x14ac:dyDescent="0.2">
      <c r="A39" s="12" t="s">
        <v>426</v>
      </c>
      <c r="B39" s="13">
        <v>46484633</v>
      </c>
      <c r="C39" s="13">
        <v>271694133.44999999</v>
      </c>
      <c r="D39" s="70">
        <f t="shared" si="0"/>
        <v>9.509540935249387E-3</v>
      </c>
      <c r="F39" s="8" t="str">
        <v>Túnez</v>
      </c>
      <c r="G39" s="70">
        <f t="shared" si="1"/>
        <v>9.509540935249387E-3</v>
      </c>
    </row>
    <row r="40" spans="1:7" x14ac:dyDescent="0.2">
      <c r="A40" s="12" t="s">
        <v>438</v>
      </c>
      <c r="B40" s="13">
        <v>100606</v>
      </c>
      <c r="C40" s="13">
        <v>62752</v>
      </c>
      <c r="D40" s="70">
        <f t="shared" si="0"/>
        <v>2.0581358044317568E-5</v>
      </c>
      <c r="F40" s="8" t="str">
        <v>Zambia</v>
      </c>
      <c r="G40" s="70">
        <f t="shared" si="1"/>
        <v>2.0581358044317568E-5</v>
      </c>
    </row>
    <row r="41" spans="1:7" x14ac:dyDescent="0.2">
      <c r="A41" s="12" t="s">
        <v>65</v>
      </c>
      <c r="B41" s="13">
        <v>63943</v>
      </c>
      <c r="C41" s="13">
        <v>40124.26</v>
      </c>
      <c r="D41" s="70">
        <f t="shared" si="0"/>
        <v>1.3081066511219989E-5</v>
      </c>
      <c r="F41" s="8" t="str">
        <v>Territorios vinculados a España</v>
      </c>
      <c r="G41" s="70">
        <f t="shared" si="1"/>
        <v>1.3081066511219989E-5</v>
      </c>
    </row>
    <row r="42" spans="1:7" x14ac:dyDescent="0.2">
      <c r="A42" s="12" t="s">
        <v>66</v>
      </c>
      <c r="B42" s="13">
        <v>4054707</v>
      </c>
      <c r="C42" s="13">
        <v>21698199.199999999</v>
      </c>
      <c r="D42" s="70">
        <f t="shared" si="0"/>
        <v>8.2948707365167835E-4</v>
      </c>
      <c r="F42" s="8" t="str">
        <v>Territorios vinculados a Francia</v>
      </c>
      <c r="G42" s="70">
        <f t="shared" si="1"/>
        <v>9.2160320633034019E-4</v>
      </c>
    </row>
    <row r="43" spans="1:7" x14ac:dyDescent="0.2">
      <c r="A43" s="12" t="s">
        <v>267</v>
      </c>
      <c r="B43" s="13">
        <v>1505676</v>
      </c>
      <c r="C43" s="13">
        <v>5131392.04</v>
      </c>
      <c r="D43" s="70">
        <f t="shared" si="0"/>
        <v>3.0802195549704689E-4</v>
      </c>
      <c r="F43" s="8" t="str">
        <v>Angola</v>
      </c>
      <c r="G43" s="70">
        <f t="shared" si="1"/>
        <v>3.0802195549704689E-4</v>
      </c>
    </row>
    <row r="44" spans="1:7" x14ac:dyDescent="0.2">
      <c r="A44" s="12" t="s">
        <v>373</v>
      </c>
      <c r="B44" s="13">
        <v>3543813</v>
      </c>
      <c r="C44" s="13">
        <v>20638159.440000001</v>
      </c>
      <c r="D44" s="70">
        <f t="shared" si="0"/>
        <v>7.2497151457276085E-4</v>
      </c>
      <c r="F44" s="8" t="str">
        <v>Mozambique</v>
      </c>
      <c r="G44" s="70">
        <f t="shared" si="1"/>
        <v>7.2497151457276085E-4</v>
      </c>
    </row>
    <row r="45" spans="1:7" x14ac:dyDescent="0.2">
      <c r="A45" s="12" t="s">
        <v>375</v>
      </c>
      <c r="B45" s="13">
        <v>199097</v>
      </c>
      <c r="C45" s="13">
        <v>1387460.6</v>
      </c>
      <c r="D45" s="70">
        <f t="shared" si="0"/>
        <v>4.0730042368740384E-5</v>
      </c>
      <c r="F45" s="8" t="str">
        <v>Namibia</v>
      </c>
      <c r="G45" s="70">
        <f t="shared" si="1"/>
        <v>4.0730042368740384E-5</v>
      </c>
    </row>
    <row r="46" spans="1:7" x14ac:dyDescent="0.2">
      <c r="A46" s="12" t="s">
        <v>409</v>
      </c>
      <c r="B46" s="13">
        <v>106810016</v>
      </c>
      <c r="C46" s="13">
        <v>596313935.41999996</v>
      </c>
      <c r="D46" s="70">
        <f t="shared" si="0"/>
        <v>2.1850537562523985E-2</v>
      </c>
      <c r="F46" s="8" t="str">
        <v>Sudáfrica</v>
      </c>
      <c r="G46" s="70">
        <f t="shared" si="1"/>
        <v>2.1850537562523985E-2</v>
      </c>
    </row>
    <row r="47" spans="1:7" x14ac:dyDescent="0.2">
      <c r="A47" s="12" t="s">
        <v>317</v>
      </c>
      <c r="B47" s="13">
        <v>2360</v>
      </c>
      <c r="C47" s="13">
        <v>13</v>
      </c>
      <c r="D47" s="70">
        <f t="shared" si="0"/>
        <v>4.8279431628918222E-7</v>
      </c>
      <c r="F47" s="8" t="str">
        <v>Etiopía</v>
      </c>
      <c r="G47" s="70">
        <f t="shared" si="1"/>
        <v>4.8279431628918222E-7</v>
      </c>
    </row>
    <row r="48" spans="1:7" x14ac:dyDescent="0.2">
      <c r="A48" s="12" t="s">
        <v>1</v>
      </c>
      <c r="B48" s="13" t="s">
        <v>466</v>
      </c>
      <c r="C48" s="13" t="s">
        <v>466</v>
      </c>
      <c r="D48" s="70" t="e">
        <f t="shared" si="0"/>
        <v>#VALUE!</v>
      </c>
      <c r="F48" s="8" t="str">
        <v xml:space="preserve">   </v>
      </c>
      <c r="G48" s="70"/>
    </row>
    <row r="49" spans="1:7" x14ac:dyDescent="0.2">
      <c r="A49" s="12" t="s">
        <v>3</v>
      </c>
      <c r="B49" s="13">
        <v>1284219514</v>
      </c>
      <c r="C49" s="13">
        <v>3295575950.5100002</v>
      </c>
      <c r="D49" s="70">
        <f t="shared" si="0"/>
        <v>0.26271774670629483</v>
      </c>
      <c r="F49" s="8" t="str">
        <v xml:space="preserve">   AMERICA</v>
      </c>
      <c r="G49" s="70">
        <f t="shared" si="1"/>
        <v>0.26271774670629483</v>
      </c>
    </row>
    <row r="50" spans="1:7" x14ac:dyDescent="0.2">
      <c r="A50" s="12" t="s">
        <v>277</v>
      </c>
      <c r="B50" s="13">
        <v>268550</v>
      </c>
      <c r="C50" s="13">
        <v>156508.79999999999</v>
      </c>
      <c r="D50" s="70">
        <f t="shared" si="0"/>
        <v>5.4938310864177913E-5</v>
      </c>
      <c r="F50" s="8" t="str">
        <v>Barbados</v>
      </c>
      <c r="G50" s="70">
        <f t="shared" si="1"/>
        <v>5.4938310864177913E-5</v>
      </c>
    </row>
    <row r="51" spans="1:7" x14ac:dyDescent="0.2">
      <c r="A51" s="12" t="s">
        <v>282</v>
      </c>
      <c r="B51" s="13">
        <v>31670412</v>
      </c>
      <c r="C51" s="13">
        <v>107464093.73</v>
      </c>
      <c r="D51" s="70">
        <f t="shared" si="0"/>
        <v>6.4789385203969114E-3</v>
      </c>
      <c r="F51" s="8" t="str">
        <v>Bolivia</v>
      </c>
      <c r="G51" s="70">
        <f t="shared" si="1"/>
        <v>6.4789385203969114E-3</v>
      </c>
    </row>
    <row r="52" spans="1:7" x14ac:dyDescent="0.2">
      <c r="A52" s="12" t="s">
        <v>285</v>
      </c>
      <c r="B52" s="13">
        <v>409468987</v>
      </c>
      <c r="C52" s="13">
        <v>1108590143.3499999</v>
      </c>
      <c r="D52" s="70">
        <f t="shared" si="0"/>
        <v>8.3766652381478401E-2</v>
      </c>
      <c r="F52" s="8" t="str">
        <v>Brasil</v>
      </c>
      <c r="G52" s="70">
        <f t="shared" si="1"/>
        <v>8.3766652381478401E-2</v>
      </c>
    </row>
    <row r="53" spans="1:7" x14ac:dyDescent="0.2">
      <c r="A53" s="12" t="s">
        <v>293</v>
      </c>
      <c r="B53" s="13">
        <v>8520069</v>
      </c>
      <c r="C53" s="13">
        <v>13587826.609999999</v>
      </c>
      <c r="D53" s="70">
        <f t="shared" si="0"/>
        <v>1.7429834269456169E-3</v>
      </c>
      <c r="F53" s="8" t="str">
        <v>Canadá</v>
      </c>
      <c r="G53" s="70">
        <f t="shared" si="1"/>
        <v>1.7429834269456169E-3</v>
      </c>
    </row>
    <row r="54" spans="1:7" x14ac:dyDescent="0.2">
      <c r="A54" s="12" t="s">
        <v>298</v>
      </c>
      <c r="B54" s="13">
        <v>24023593</v>
      </c>
      <c r="C54" s="13">
        <v>77301110.709999993</v>
      </c>
      <c r="D54" s="70">
        <f t="shared" si="0"/>
        <v>4.9145992191714331E-3</v>
      </c>
      <c r="F54" s="8" t="str">
        <v>Colombia</v>
      </c>
      <c r="G54" s="70">
        <f t="shared" si="1"/>
        <v>4.9145992191714331E-3</v>
      </c>
    </row>
    <row r="55" spans="1:7" x14ac:dyDescent="0.2">
      <c r="A55" s="12" t="s">
        <v>302</v>
      </c>
      <c r="B55" s="13">
        <v>2162837</v>
      </c>
      <c r="C55" s="13">
        <v>160937.94</v>
      </c>
      <c r="D55" s="70">
        <f t="shared" si="0"/>
        <v>4.424599197711635E-4</v>
      </c>
      <c r="F55" s="8" t="str">
        <v>Costa Rica</v>
      </c>
      <c r="G55" s="70">
        <f t="shared" si="1"/>
        <v>4.424599197711635E-4</v>
      </c>
    </row>
    <row r="56" spans="1:7" x14ac:dyDescent="0.2">
      <c r="A56" s="12" t="s">
        <v>442</v>
      </c>
      <c r="B56" s="13">
        <v>2018048</v>
      </c>
      <c r="C56" s="13">
        <v>2870966.31</v>
      </c>
      <c r="D56" s="70">
        <f t="shared" si="0"/>
        <v>4.1283987474523368E-4</v>
      </c>
      <c r="F56" s="8" t="str">
        <v>Cuba</v>
      </c>
      <c r="G56" s="70">
        <f t="shared" si="1"/>
        <v>4.1283987474523368E-4</v>
      </c>
    </row>
    <row r="57" spans="1:7" x14ac:dyDescent="0.2">
      <c r="A57" s="12" t="s">
        <v>296</v>
      </c>
      <c r="B57" s="13">
        <v>158179657</v>
      </c>
      <c r="C57" s="13">
        <v>464803759.02999997</v>
      </c>
      <c r="D57" s="70">
        <f t="shared" si="0"/>
        <v>3.2359423454310317E-2</v>
      </c>
      <c r="F57" s="8" t="str">
        <v>Chile</v>
      </c>
      <c r="G57" s="70">
        <f t="shared" si="1"/>
        <v>3.2359423454310317E-2</v>
      </c>
    </row>
    <row r="58" spans="1:7" x14ac:dyDescent="0.2">
      <c r="A58" s="12" t="s">
        <v>311</v>
      </c>
      <c r="B58" s="13">
        <v>40143801</v>
      </c>
      <c r="C58" s="13">
        <v>87415371.25</v>
      </c>
      <c r="D58" s="70">
        <f t="shared" si="0"/>
        <v>8.2123724394254187E-3</v>
      </c>
      <c r="F58" s="8" t="str">
        <v>República Dominicana</v>
      </c>
      <c r="G58" s="70">
        <f t="shared" si="1"/>
        <v>8.2123724394254187E-3</v>
      </c>
    </row>
    <row r="59" spans="1:7" x14ac:dyDescent="0.2">
      <c r="A59" s="12" t="s">
        <v>312</v>
      </c>
      <c r="B59" s="13">
        <v>26516715</v>
      </c>
      <c r="C59" s="13">
        <v>81107101.400000006</v>
      </c>
      <c r="D59" s="70">
        <f t="shared" si="0"/>
        <v>5.4246268172288567E-3</v>
      </c>
      <c r="F59" s="8" t="str">
        <v>Ecuador</v>
      </c>
      <c r="G59" s="70">
        <f t="shared" si="1"/>
        <v>5.4246268172288567E-3</v>
      </c>
    </row>
    <row r="60" spans="1:7" x14ac:dyDescent="0.2">
      <c r="A60" s="12" t="s">
        <v>314</v>
      </c>
      <c r="B60" s="13">
        <v>286767</v>
      </c>
      <c r="C60" s="13">
        <v>126145.15</v>
      </c>
      <c r="D60" s="70">
        <f t="shared" si="0"/>
        <v>5.8665032923432164E-5</v>
      </c>
      <c r="F60" s="8" t="str">
        <v>El Salvador</v>
      </c>
      <c r="G60" s="70">
        <f t="shared" si="1"/>
        <v>5.8665032923432164E-5</v>
      </c>
    </row>
    <row r="61" spans="1:7" x14ac:dyDescent="0.2">
      <c r="A61" s="12" t="s">
        <v>432</v>
      </c>
      <c r="B61" s="13">
        <v>232372705</v>
      </c>
      <c r="C61" s="13">
        <v>492986501.81999999</v>
      </c>
      <c r="D61" s="70">
        <f t="shared" si="0"/>
        <v>4.7537381879128315E-2</v>
      </c>
      <c r="F61" s="8" t="str">
        <v>Estados Unidos</v>
      </c>
      <c r="G61" s="70">
        <f t="shared" si="1"/>
        <v>4.7537381879128315E-2</v>
      </c>
    </row>
    <row r="62" spans="1:7" x14ac:dyDescent="0.2">
      <c r="A62" s="12" t="s">
        <v>328</v>
      </c>
      <c r="B62" s="13">
        <v>13565088</v>
      </c>
      <c r="C62" s="13">
        <v>30714579.550000001</v>
      </c>
      <c r="D62" s="70">
        <f t="shared" si="0"/>
        <v>2.7750624518485547E-3</v>
      </c>
      <c r="F62" s="8" t="str">
        <v>Guatemala</v>
      </c>
      <c r="G62" s="70">
        <f t="shared" si="1"/>
        <v>2.7750624518485547E-3</v>
      </c>
    </row>
    <row r="63" spans="1:7" x14ac:dyDescent="0.2">
      <c r="A63" s="12" t="s">
        <v>332</v>
      </c>
      <c r="B63" s="13">
        <v>144500</v>
      </c>
      <c r="C63" s="13">
        <v>86087.73</v>
      </c>
      <c r="D63" s="70">
        <f t="shared" si="0"/>
        <v>2.9560923179570686E-5</v>
      </c>
      <c r="F63" s="8" t="str">
        <v>Guyana</v>
      </c>
      <c r="G63" s="70">
        <f t="shared" si="1"/>
        <v>2.9560923179570686E-5</v>
      </c>
    </row>
    <row r="64" spans="1:7" x14ac:dyDescent="0.2">
      <c r="A64" s="12" t="s">
        <v>333</v>
      </c>
      <c r="B64" s="13">
        <v>283766</v>
      </c>
      <c r="C64" s="13">
        <v>389057.9</v>
      </c>
      <c r="D64" s="70">
        <f t="shared" si="0"/>
        <v>5.805110676106613E-5</v>
      </c>
      <c r="F64" s="8" t="str">
        <v>Haití</v>
      </c>
      <c r="G64" s="70">
        <f t="shared" si="1"/>
        <v>5.805110676106613E-5</v>
      </c>
    </row>
    <row r="65" spans="1:7" x14ac:dyDescent="0.2">
      <c r="A65" s="12" t="s">
        <v>334</v>
      </c>
      <c r="B65" s="13">
        <v>636781</v>
      </c>
      <c r="C65" s="13">
        <v>54645.03</v>
      </c>
      <c r="D65" s="70">
        <f t="shared" si="0"/>
        <v>1.3026874894955158E-4</v>
      </c>
      <c r="F65" s="8" t="str">
        <v>Honduras</v>
      </c>
      <c r="G65" s="70">
        <f t="shared" si="1"/>
        <v>1.3026874894955158E-4</v>
      </c>
    </row>
    <row r="66" spans="1:7" x14ac:dyDescent="0.2">
      <c r="A66" s="12" t="s">
        <v>345</v>
      </c>
      <c r="B66" s="13">
        <v>2111956</v>
      </c>
      <c r="C66" s="13">
        <v>3646625.25</v>
      </c>
      <c r="D66" s="70">
        <f t="shared" si="0"/>
        <v>4.3205099705628645E-4</v>
      </c>
      <c r="F66" s="8" t="str">
        <v>Jamaica</v>
      </c>
      <c r="G66" s="70">
        <f t="shared" si="1"/>
        <v>4.3205099705628645E-4</v>
      </c>
    </row>
    <row r="67" spans="1:7" x14ac:dyDescent="0.2">
      <c r="A67" s="12" t="s">
        <v>368</v>
      </c>
      <c r="B67" s="13">
        <v>113448150</v>
      </c>
      <c r="C67" s="13">
        <v>42479833.979999997</v>
      </c>
      <c r="D67" s="70">
        <f t="shared" si="0"/>
        <v>2.3208526276916348E-2</v>
      </c>
      <c r="F67" s="8" t="str">
        <v>México</v>
      </c>
      <c r="G67" s="70">
        <f t="shared" si="1"/>
        <v>2.3208526276916348E-2</v>
      </c>
    </row>
    <row r="68" spans="1:7" x14ac:dyDescent="0.2">
      <c r="A68" s="12" t="s">
        <v>380</v>
      </c>
      <c r="B68" s="13">
        <v>222913</v>
      </c>
      <c r="C68" s="13">
        <v>13119.79</v>
      </c>
      <c r="D68" s="70">
        <f t="shared" si="0"/>
        <v>4.5602173486004433E-5</v>
      </c>
      <c r="F68" s="8" t="str">
        <v>Nicaragua</v>
      </c>
      <c r="G68" s="70">
        <f t="shared" si="1"/>
        <v>4.5602173486004433E-5</v>
      </c>
    </row>
    <row r="69" spans="1:7" x14ac:dyDescent="0.2">
      <c r="A69" s="12" t="s">
        <v>387</v>
      </c>
      <c r="B69" s="13">
        <v>3317641</v>
      </c>
      <c r="C69" s="13">
        <v>12624203.380000001</v>
      </c>
      <c r="D69" s="70">
        <f t="shared" si="0"/>
        <v>6.7870263486777911E-4</v>
      </c>
      <c r="F69" s="8" t="str">
        <v>Panamá</v>
      </c>
      <c r="G69" s="70">
        <f t="shared" si="1"/>
        <v>6.7870263486777911E-4</v>
      </c>
    </row>
    <row r="70" spans="1:7" x14ac:dyDescent="0.2">
      <c r="A70" s="12" t="s">
        <v>389</v>
      </c>
      <c r="B70" s="13">
        <v>45606917</v>
      </c>
      <c r="C70" s="13">
        <v>153159805.77000001</v>
      </c>
      <c r="D70" s="70">
        <f t="shared" si="0"/>
        <v>9.3299831826578299E-3</v>
      </c>
      <c r="F70" s="8" t="str">
        <v>Paraguay</v>
      </c>
      <c r="G70" s="70">
        <f t="shared" si="1"/>
        <v>9.3299831826578299E-3</v>
      </c>
    </row>
    <row r="71" spans="1:7" x14ac:dyDescent="0.2">
      <c r="A71" s="12" t="s">
        <v>390</v>
      </c>
      <c r="B71" s="13">
        <v>116498361</v>
      </c>
      <c r="C71" s="13">
        <v>500828829.56</v>
      </c>
      <c r="D71" s="70">
        <f t="shared" si="0"/>
        <v>2.3832519723646323E-2</v>
      </c>
      <c r="F71" s="8" t="str">
        <v>Perú</v>
      </c>
      <c r="G71" s="70">
        <f t="shared" si="1"/>
        <v>2.3832519723646323E-2</v>
      </c>
    </row>
    <row r="72" spans="1:7" x14ac:dyDescent="0.2">
      <c r="A72" s="12" t="s">
        <v>394</v>
      </c>
      <c r="B72" s="13">
        <v>3845327</v>
      </c>
      <c r="C72" s="13">
        <v>13156575.609999999</v>
      </c>
      <c r="D72" s="70">
        <f t="shared" si="0"/>
        <v>7.8665339825141189E-4</v>
      </c>
      <c r="F72" s="8" t="str">
        <v>Puerto Rico(Estado Asociado)</v>
      </c>
      <c r="G72" s="70">
        <f t="shared" si="1"/>
        <v>7.8665339825141189E-4</v>
      </c>
    </row>
    <row r="73" spans="1:7" x14ac:dyDescent="0.2">
      <c r="A73" s="12" t="s">
        <v>425</v>
      </c>
      <c r="B73" s="13">
        <v>696167</v>
      </c>
      <c r="C73" s="13">
        <v>675717.62</v>
      </c>
      <c r="D73" s="70">
        <f t="shared" si="0"/>
        <v>1.4241757236783519E-4</v>
      </c>
      <c r="F73" s="8" t="str">
        <v>Trinidad y Tobago</v>
      </c>
      <c r="G73" s="70">
        <f t="shared" si="1"/>
        <v>1.4241757236783519E-4</v>
      </c>
    </row>
    <row r="74" spans="1:7" x14ac:dyDescent="0.2">
      <c r="A74" s="12" t="s">
        <v>433</v>
      </c>
      <c r="B74" s="13">
        <v>31527877</v>
      </c>
      <c r="C74" s="13">
        <v>73328620.700000003</v>
      </c>
      <c r="D74" s="70">
        <f t="shared" si="0"/>
        <v>6.4497795848578099E-3</v>
      </c>
      <c r="F74" s="8" t="str">
        <v>Uruguay</v>
      </c>
      <c r="G74" s="70">
        <f t="shared" si="1"/>
        <v>6.4497795848578099E-3</v>
      </c>
    </row>
    <row r="75" spans="1:7" x14ac:dyDescent="0.2">
      <c r="A75" s="12" t="s">
        <v>435</v>
      </c>
      <c r="B75" s="13">
        <v>12548990</v>
      </c>
      <c r="C75" s="13">
        <v>18455295.420000002</v>
      </c>
      <c r="D75" s="70">
        <f t="shared" ref="D75:D138" si="2">+B75/$B$8</f>
        <v>2.5671953589702476E-3</v>
      </c>
      <c r="F75" s="8" t="str">
        <v>Venezuela</v>
      </c>
      <c r="G75" s="70">
        <f t="shared" ref="G75:G138" si="3">+SUMIF(A75:A220,F75,D75:D220)</f>
        <v>2.5671953589702476E-3</v>
      </c>
    </row>
    <row r="76" spans="1:7" x14ac:dyDescent="0.2">
      <c r="A76" s="12" t="s">
        <v>479</v>
      </c>
      <c r="B76" s="13">
        <v>73738</v>
      </c>
      <c r="C76" s="13">
        <v>18411.400000000001</v>
      </c>
      <c r="D76" s="70">
        <f t="shared" si="2"/>
        <v>1.5084867497682929E-5</v>
      </c>
      <c r="F76" s="8" t="str">
        <v>Territ. vinc. al Reino Unido</v>
      </c>
      <c r="G76" s="70">
        <f t="shared" si="3"/>
        <v>1.5084867497682929E-5</v>
      </c>
    </row>
    <row r="77" spans="1:7" x14ac:dyDescent="0.2">
      <c r="A77" s="12" t="s">
        <v>66</v>
      </c>
      <c r="B77" s="13">
        <v>450283</v>
      </c>
      <c r="C77" s="13">
        <v>1235194.3999999999</v>
      </c>
      <c r="D77" s="70">
        <f t="shared" si="2"/>
        <v>9.2116132678661782E-5</v>
      </c>
      <c r="F77" s="8" t="str">
        <v>Territ. vinc. a Países Bajos</v>
      </c>
      <c r="G77" s="70">
        <f t="shared" si="3"/>
        <v>5.9419624073883128E-4</v>
      </c>
    </row>
    <row r="78" spans="1:7" x14ac:dyDescent="0.2">
      <c r="A78" s="12" t="s">
        <v>492</v>
      </c>
      <c r="B78" s="13">
        <v>2904556</v>
      </c>
      <c r="C78" s="13">
        <v>7741427.6900000004</v>
      </c>
      <c r="D78" s="70">
        <f t="shared" si="2"/>
        <v>5.9419624073883128E-4</v>
      </c>
      <c r="F78" s="8" t="str">
        <v>Suriname</v>
      </c>
      <c r="G78" s="70">
        <f t="shared" si="3"/>
        <v>3.4347951569895631E-6</v>
      </c>
    </row>
    <row r="79" spans="1:7" x14ac:dyDescent="0.2">
      <c r="A79" s="12" t="s">
        <v>417</v>
      </c>
      <c r="B79" s="13">
        <v>16790</v>
      </c>
      <c r="C79" s="13">
        <v>20424.29</v>
      </c>
      <c r="D79" s="70">
        <f t="shared" si="2"/>
        <v>3.4347951569895631E-6</v>
      </c>
      <c r="F79" s="8" t="str">
        <v>Dominica</v>
      </c>
      <c r="G79" s="70">
        <f t="shared" si="3"/>
        <v>3.6111378267528152E-6</v>
      </c>
    </row>
    <row r="80" spans="1:7" x14ac:dyDescent="0.2">
      <c r="A80" s="12" t="s">
        <v>310</v>
      </c>
      <c r="B80" s="13">
        <v>17652</v>
      </c>
      <c r="C80" s="13">
        <v>5502.7</v>
      </c>
      <c r="D80" s="70">
        <f t="shared" si="2"/>
        <v>3.6111378267528152E-6</v>
      </c>
      <c r="F80" s="8" t="str">
        <v>Santa Lucía</v>
      </c>
      <c r="G80" s="70">
        <f t="shared" si="3"/>
        <v>1.4262071421362976E-5</v>
      </c>
    </row>
    <row r="81" spans="1:7" x14ac:dyDescent="0.2">
      <c r="A81" s="12" t="s">
        <v>468</v>
      </c>
      <c r="B81" s="13">
        <v>69716</v>
      </c>
      <c r="C81" s="13">
        <v>41986.27</v>
      </c>
      <c r="D81" s="70">
        <f t="shared" si="2"/>
        <v>1.4262071421362976E-5</v>
      </c>
      <c r="F81" s="8" t="str">
        <v>San Vicente y las Granadinas</v>
      </c>
      <c r="G81" s="70">
        <f t="shared" si="3"/>
        <v>2.3614574708563204E-5</v>
      </c>
    </row>
    <row r="82" spans="1:7" x14ac:dyDescent="0.2">
      <c r="A82" s="12" t="s">
        <v>415</v>
      </c>
      <c r="B82" s="13">
        <v>115433</v>
      </c>
      <c r="C82" s="13">
        <v>64164</v>
      </c>
      <c r="D82" s="70">
        <f t="shared" si="2"/>
        <v>2.3614574708563204E-5</v>
      </c>
      <c r="F82" s="8" t="str">
        <v>Belice</v>
      </c>
      <c r="G82" s="70">
        <f t="shared" si="3"/>
        <v>2.5121874929927061E-5</v>
      </c>
    </row>
    <row r="83" spans="1:7" x14ac:dyDescent="0.2">
      <c r="A83" s="12" t="s">
        <v>280</v>
      </c>
      <c r="B83" s="13">
        <v>122801</v>
      </c>
      <c r="C83" s="13">
        <v>73872.850000000006</v>
      </c>
      <c r="D83" s="70">
        <f t="shared" si="2"/>
        <v>2.5121874929927061E-5</v>
      </c>
      <c r="F83" s="8" t="str">
        <v>Antigua y Barbuda</v>
      </c>
      <c r="G83" s="70">
        <f t="shared" si="3"/>
        <v>5.0026492417523986E-6</v>
      </c>
    </row>
    <row r="84" spans="1:7" x14ac:dyDescent="0.2">
      <c r="A84" s="12" t="s">
        <v>268</v>
      </c>
      <c r="B84" s="13">
        <v>24454</v>
      </c>
      <c r="C84" s="13">
        <v>2165</v>
      </c>
      <c r="D84" s="70">
        <f t="shared" si="2"/>
        <v>5.0026492417523986E-6</v>
      </c>
      <c r="F84" s="8" t="str">
        <v>San Cristóbal y Nevis</v>
      </c>
      <c r="G84" s="70">
        <f t="shared" si="3"/>
        <v>2.675314691216856E-5</v>
      </c>
    </row>
    <row r="85" spans="1:7" x14ac:dyDescent="0.2">
      <c r="A85" s="12" t="s">
        <v>472</v>
      </c>
      <c r="B85" s="13">
        <v>130775</v>
      </c>
      <c r="C85" s="13">
        <v>67012.800000000003</v>
      </c>
      <c r="D85" s="70">
        <f t="shared" si="2"/>
        <v>2.675314691216856E-5</v>
      </c>
      <c r="F85" s="8" t="str">
        <v>Bahamas</v>
      </c>
      <c r="G85" s="70">
        <f t="shared" si="3"/>
        <v>1.2780752080579091E-5</v>
      </c>
    </row>
    <row r="86" spans="1:7" x14ac:dyDescent="0.2">
      <c r="A86" s="12" t="s">
        <v>274</v>
      </c>
      <c r="B86" s="13">
        <v>62475</v>
      </c>
      <c r="C86" s="13">
        <v>36660.06</v>
      </c>
      <c r="D86" s="70">
        <f t="shared" si="2"/>
        <v>1.2780752080579091E-5</v>
      </c>
      <c r="F86" s="8" t="str">
        <v>Grenada</v>
      </c>
      <c r="G86" s="70">
        <f t="shared" si="3"/>
        <v>2.9513052895667437E-5</v>
      </c>
    </row>
    <row r="87" spans="1:7" x14ac:dyDescent="0.2">
      <c r="A87" s="12" t="s">
        <v>327</v>
      </c>
      <c r="B87" s="13">
        <v>144266</v>
      </c>
      <c r="C87" s="13">
        <v>85665.66</v>
      </c>
      <c r="D87" s="70">
        <f t="shared" si="2"/>
        <v>2.9513052895667437E-5</v>
      </c>
      <c r="F87" s="8" t="str">
        <v xml:space="preserve">   ASIA</v>
      </c>
      <c r="G87" s="70">
        <f t="shared" si="3"/>
        <v>0.32649559169204184</v>
      </c>
    </row>
    <row r="88" spans="1:7" x14ac:dyDescent="0.2">
      <c r="A88" s="12" t="s">
        <v>1</v>
      </c>
      <c r="B88" s="13" t="s">
        <v>466</v>
      </c>
      <c r="C88" s="13" t="s">
        <v>466</v>
      </c>
      <c r="D88" s="70" t="e">
        <f t="shared" si="2"/>
        <v>#VALUE!</v>
      </c>
      <c r="F88" s="8" t="str">
        <v>Arabia Saudita</v>
      </c>
      <c r="G88" s="70">
        <f t="shared" si="3"/>
        <v>3.1457699303953186E-3</v>
      </c>
    </row>
    <row r="89" spans="1:7" x14ac:dyDescent="0.2">
      <c r="A89" s="12" t="s">
        <v>4</v>
      </c>
      <c r="B89" s="13">
        <v>1595979013</v>
      </c>
      <c r="C89" s="13">
        <v>6563633314.3500004</v>
      </c>
      <c r="D89" s="70">
        <f t="shared" si="2"/>
        <v>0.32649559169204184</v>
      </c>
      <c r="F89" s="8" t="str">
        <v>Camboya (ex Kampuchea)</v>
      </c>
      <c r="G89" s="70">
        <f t="shared" si="3"/>
        <v>4.0339510864589517E-5</v>
      </c>
    </row>
    <row r="90" spans="1:7" x14ac:dyDescent="0.2">
      <c r="A90" s="12" t="s">
        <v>400</v>
      </c>
      <c r="B90" s="13">
        <v>15377184</v>
      </c>
      <c r="C90" s="13">
        <v>123634631</v>
      </c>
      <c r="D90" s="70">
        <f t="shared" si="2"/>
        <v>3.1457699303953186E-3</v>
      </c>
      <c r="F90" s="8" t="str">
        <v>Sri Lanka</v>
      </c>
      <c r="G90" s="70">
        <f t="shared" si="3"/>
        <v>3.6135804386750576E-4</v>
      </c>
    </row>
    <row r="91" spans="1:7" x14ac:dyDescent="0.2">
      <c r="A91" s="12" t="s">
        <v>291</v>
      </c>
      <c r="B91" s="13">
        <v>197188</v>
      </c>
      <c r="C91" s="13">
        <v>11824</v>
      </c>
      <c r="D91" s="70">
        <f t="shared" si="2"/>
        <v>4.0339510864589517E-5</v>
      </c>
      <c r="F91" s="8" t="str">
        <v>Corea Republicana</v>
      </c>
      <c r="G91" s="70">
        <f t="shared" si="3"/>
        <v>1.2668567047382511E-2</v>
      </c>
    </row>
    <row r="92" spans="1:7" x14ac:dyDescent="0.2">
      <c r="A92" s="12" t="s">
        <v>412</v>
      </c>
      <c r="B92" s="13">
        <v>1766394</v>
      </c>
      <c r="C92" s="13">
        <v>15206199.960000001</v>
      </c>
      <c r="D92" s="70">
        <f t="shared" si="2"/>
        <v>3.6135804386750576E-4</v>
      </c>
      <c r="F92" s="8" t="str">
        <v>China</v>
      </c>
      <c r="G92" s="70">
        <f t="shared" si="3"/>
        <v>8.2744799185683102E-2</v>
      </c>
    </row>
    <row r="93" spans="1:7" x14ac:dyDescent="0.2">
      <c r="A93" s="12" t="s">
        <v>350</v>
      </c>
      <c r="B93" s="13">
        <v>61926616</v>
      </c>
      <c r="C93" s="13">
        <v>305910822.76999998</v>
      </c>
      <c r="D93" s="70">
        <f t="shared" si="2"/>
        <v>1.2668567047382511E-2</v>
      </c>
      <c r="F93" s="8" t="str">
        <v>Filipinas</v>
      </c>
      <c r="G93" s="70">
        <f t="shared" si="3"/>
        <v>1.5142059394220092E-2</v>
      </c>
    </row>
    <row r="94" spans="1:7" x14ac:dyDescent="0.2">
      <c r="A94" s="12" t="s">
        <v>297</v>
      </c>
      <c r="B94" s="13">
        <v>404473954</v>
      </c>
      <c r="C94" s="13">
        <v>1293109201.71</v>
      </c>
      <c r="D94" s="70">
        <f t="shared" si="2"/>
        <v>8.2744799185683102E-2</v>
      </c>
      <c r="F94" s="8" t="str">
        <v>Taiwan</v>
      </c>
      <c r="G94" s="70">
        <f t="shared" si="3"/>
        <v>1.7884250099492963E-3</v>
      </c>
    </row>
    <row r="95" spans="1:7" x14ac:dyDescent="0.2">
      <c r="A95" s="12" t="s">
        <v>391</v>
      </c>
      <c r="B95" s="13">
        <v>74017566</v>
      </c>
      <c r="C95" s="13">
        <v>459653724.07999998</v>
      </c>
      <c r="D95" s="70">
        <f t="shared" si="2"/>
        <v>1.5142059394220092E-2</v>
      </c>
      <c r="F95" s="8" t="str">
        <v>India</v>
      </c>
      <c r="G95" s="70">
        <f t="shared" si="3"/>
        <v>6.0109723927797135E-2</v>
      </c>
    </row>
    <row r="96" spans="1:7" x14ac:dyDescent="0.2">
      <c r="A96" s="12" t="s">
        <v>421</v>
      </c>
      <c r="B96" s="13">
        <v>8742197</v>
      </c>
      <c r="C96" s="13">
        <v>43834227.93</v>
      </c>
      <c r="D96" s="70">
        <f t="shared" si="2"/>
        <v>1.7884250099492963E-3</v>
      </c>
      <c r="F96" s="8" t="str">
        <v>Indonesia</v>
      </c>
      <c r="G96" s="70">
        <f t="shared" si="3"/>
        <v>6.1513216620221346E-3</v>
      </c>
    </row>
    <row r="97" spans="1:7" x14ac:dyDescent="0.2">
      <c r="A97" s="12" t="s">
        <v>338</v>
      </c>
      <c r="B97" s="13">
        <v>293828953</v>
      </c>
      <c r="C97" s="13">
        <v>780984731.67999995</v>
      </c>
      <c r="D97" s="70">
        <f t="shared" si="2"/>
        <v>6.0109723927797135E-2</v>
      </c>
      <c r="F97" s="8" t="str">
        <v>Irán</v>
      </c>
      <c r="G97" s="70">
        <f t="shared" si="3"/>
        <v>2.1678064611950109E-2</v>
      </c>
    </row>
    <row r="98" spans="1:7" x14ac:dyDescent="0.2">
      <c r="A98" s="12" t="s">
        <v>339</v>
      </c>
      <c r="B98" s="13">
        <v>30068952</v>
      </c>
      <c r="C98" s="13">
        <v>169618445.5</v>
      </c>
      <c r="D98" s="70">
        <f t="shared" si="2"/>
        <v>6.1513216620221346E-3</v>
      </c>
      <c r="F98" s="8" t="str">
        <v>Israel</v>
      </c>
      <c r="G98" s="70">
        <f t="shared" si="3"/>
        <v>2.1933830629072464E-3</v>
      </c>
    </row>
    <row r="99" spans="1:7" x14ac:dyDescent="0.2">
      <c r="A99" s="12" t="s">
        <v>340</v>
      </c>
      <c r="B99" s="13">
        <v>105966932</v>
      </c>
      <c r="C99" s="13">
        <v>507256065.91000003</v>
      </c>
      <c r="D99" s="70">
        <f t="shared" si="2"/>
        <v>2.1678064611950109E-2</v>
      </c>
      <c r="F99" s="8" t="str">
        <v>Japón</v>
      </c>
      <c r="G99" s="70">
        <f t="shared" si="3"/>
        <v>2.806386801725758E-3</v>
      </c>
    </row>
    <row r="100" spans="1:7" x14ac:dyDescent="0.2">
      <c r="A100" s="12" t="s">
        <v>343</v>
      </c>
      <c r="B100" s="13">
        <v>10721717</v>
      </c>
      <c r="C100" s="13">
        <v>37099568.640000001</v>
      </c>
      <c r="D100" s="70">
        <f t="shared" si="2"/>
        <v>2.1933830629072464E-3</v>
      </c>
      <c r="F100" s="8" t="str">
        <v>Jordania</v>
      </c>
      <c r="G100" s="70">
        <f t="shared" si="3"/>
        <v>8.4357466402542984E-3</v>
      </c>
    </row>
    <row r="101" spans="1:7" x14ac:dyDescent="0.2">
      <c r="A101" s="12" t="s">
        <v>346</v>
      </c>
      <c r="B101" s="13">
        <v>13718208</v>
      </c>
      <c r="C101" s="13">
        <v>104090060.15000001</v>
      </c>
      <c r="D101" s="70">
        <f t="shared" si="2"/>
        <v>2.806386801725758E-3</v>
      </c>
      <c r="F101" s="8" t="str">
        <v>Qatar</v>
      </c>
      <c r="G101" s="70">
        <f t="shared" si="3"/>
        <v>5.1812626813931127E-5</v>
      </c>
    </row>
    <row r="102" spans="1:7" x14ac:dyDescent="0.2">
      <c r="A102" s="12" t="s">
        <v>347</v>
      </c>
      <c r="B102" s="13">
        <v>41235701</v>
      </c>
      <c r="C102" s="13">
        <v>235741512.93000001</v>
      </c>
      <c r="D102" s="70">
        <f t="shared" si="2"/>
        <v>8.4357466402542984E-3</v>
      </c>
      <c r="F102" s="8" t="str">
        <v>Kuwait</v>
      </c>
      <c r="G102" s="70">
        <f t="shared" si="3"/>
        <v>3.5793102251730391E-4</v>
      </c>
    </row>
    <row r="103" spans="1:7" x14ac:dyDescent="0.2">
      <c r="A103" s="12" t="s">
        <v>395</v>
      </c>
      <c r="B103" s="13">
        <v>253271</v>
      </c>
      <c r="C103" s="13">
        <v>2345167.19</v>
      </c>
      <c r="D103" s="70">
        <f t="shared" si="2"/>
        <v>5.1812626813931127E-5</v>
      </c>
      <c r="F103" s="8" t="str">
        <v>Líbano</v>
      </c>
      <c r="G103" s="70">
        <f t="shared" si="3"/>
        <v>3.6150895800611872E-3</v>
      </c>
    </row>
    <row r="104" spans="1:7" x14ac:dyDescent="0.2">
      <c r="A104" s="12" t="s">
        <v>351</v>
      </c>
      <c r="B104" s="13">
        <v>1749642</v>
      </c>
      <c r="C104" s="13">
        <v>18033237.309999999</v>
      </c>
      <c r="D104" s="70">
        <f t="shared" si="2"/>
        <v>3.5793102251730391E-4</v>
      </c>
      <c r="F104" s="8" t="str">
        <v>Malasia</v>
      </c>
      <c r="G104" s="70">
        <f t="shared" si="3"/>
        <v>2.6027686056915897E-2</v>
      </c>
    </row>
    <row r="105" spans="1:7" x14ac:dyDescent="0.2">
      <c r="A105" s="12" t="s">
        <v>353</v>
      </c>
      <c r="B105" s="13">
        <v>17671317</v>
      </c>
      <c r="C105" s="13">
        <v>77824473.319999993</v>
      </c>
      <c r="D105" s="70">
        <f t="shared" si="2"/>
        <v>3.6150895800611872E-3</v>
      </c>
      <c r="F105" s="8" t="str">
        <v>Omán</v>
      </c>
      <c r="G105" s="70">
        <f t="shared" si="3"/>
        <v>3.6433375481890865E-3</v>
      </c>
    </row>
    <row r="106" spans="1:7" x14ac:dyDescent="0.2">
      <c r="A106" s="12" t="s">
        <v>362</v>
      </c>
      <c r="B106" s="13">
        <v>127228795</v>
      </c>
      <c r="C106" s="13">
        <v>498123293.97000003</v>
      </c>
      <c r="D106" s="70">
        <f t="shared" si="2"/>
        <v>2.6027686056915897E-2</v>
      </c>
      <c r="F106" s="8" t="str">
        <v>Emiratos Arabes Unidos</v>
      </c>
      <c r="G106" s="70">
        <f t="shared" si="3"/>
        <v>5.3065619220666908E-3</v>
      </c>
    </row>
    <row r="107" spans="1:7" x14ac:dyDescent="0.2">
      <c r="A107" s="12" t="s">
        <v>385</v>
      </c>
      <c r="B107" s="13">
        <v>17809399</v>
      </c>
      <c r="C107" s="13">
        <v>76041155.569999993</v>
      </c>
      <c r="D107" s="70">
        <f t="shared" si="2"/>
        <v>3.6433375481890865E-3</v>
      </c>
      <c r="F107" s="8" t="str">
        <v>Paquistán</v>
      </c>
      <c r="G107" s="70">
        <f t="shared" si="3"/>
        <v>4.6967644694003831E-3</v>
      </c>
    </row>
    <row r="108" spans="1:7" x14ac:dyDescent="0.2">
      <c r="A108" s="12" t="s">
        <v>430</v>
      </c>
      <c r="B108" s="13">
        <v>25939589</v>
      </c>
      <c r="C108" s="13">
        <v>151006140.87</v>
      </c>
      <c r="D108" s="70">
        <f t="shared" si="2"/>
        <v>5.3065619220666908E-3</v>
      </c>
      <c r="F108" s="8" t="str">
        <v>Singapur</v>
      </c>
      <c r="G108" s="70">
        <f t="shared" si="3"/>
        <v>1.6489778500698168E-4</v>
      </c>
    </row>
    <row r="109" spans="1:7" x14ac:dyDescent="0.2">
      <c r="A109" s="12" t="s">
        <v>386</v>
      </c>
      <c r="B109" s="13">
        <v>22958771</v>
      </c>
      <c r="C109" s="13">
        <v>84156528.859999999</v>
      </c>
      <c r="D109" s="70">
        <f t="shared" si="2"/>
        <v>4.6967644694003831E-3</v>
      </c>
      <c r="F109" s="8" t="str">
        <v>Siria</v>
      </c>
      <c r="G109" s="70">
        <f t="shared" si="3"/>
        <v>7.5958962638591554E-3</v>
      </c>
    </row>
    <row r="110" spans="1:7" x14ac:dyDescent="0.2">
      <c r="A110" s="12" t="s">
        <v>405</v>
      </c>
      <c r="B110" s="13">
        <v>806055</v>
      </c>
      <c r="C110" s="13">
        <v>252464.77</v>
      </c>
      <c r="D110" s="70">
        <f t="shared" si="2"/>
        <v>1.6489778500698168E-4</v>
      </c>
      <c r="F110" s="8" t="str">
        <v>Tailandia</v>
      </c>
      <c r="G110" s="70">
        <f t="shared" si="3"/>
        <v>2.7540489519763858E-2</v>
      </c>
    </row>
    <row r="111" spans="1:7" x14ac:dyDescent="0.2">
      <c r="A111" s="12" t="s">
        <v>420</v>
      </c>
      <c r="B111" s="13">
        <v>37130336</v>
      </c>
      <c r="C111" s="13">
        <v>252438145.53</v>
      </c>
      <c r="D111" s="70">
        <f t="shared" si="2"/>
        <v>7.5958962638591554E-3</v>
      </c>
      <c r="F111" s="8" t="str">
        <v>Vietnam</v>
      </c>
      <c r="G111" s="70">
        <f t="shared" si="3"/>
        <v>1.0810951270119228E-2</v>
      </c>
    </row>
    <row r="112" spans="1:7" x14ac:dyDescent="0.2">
      <c r="A112" s="12" t="s">
        <v>423</v>
      </c>
      <c r="B112" s="13">
        <v>134623696</v>
      </c>
      <c r="C112" s="13">
        <v>725226687.34000003</v>
      </c>
      <c r="D112" s="70">
        <f t="shared" si="2"/>
        <v>2.7540489519763858E-2</v>
      </c>
      <c r="F112" s="8" t="str">
        <v>Hong Kong (China)</v>
      </c>
      <c r="G112" s="70">
        <f t="shared" si="3"/>
        <v>2.0372792945419268E-3</v>
      </c>
    </row>
    <row r="113" spans="1:7" x14ac:dyDescent="0.2">
      <c r="A113" s="12" t="s">
        <v>436</v>
      </c>
      <c r="B113" s="13">
        <v>52846200</v>
      </c>
      <c r="C113" s="13">
        <v>322482004.06</v>
      </c>
      <c r="D113" s="70">
        <f t="shared" si="2"/>
        <v>1.0810951270119228E-2</v>
      </c>
      <c r="F113" s="8" t="str">
        <v>Bangladesh</v>
      </c>
      <c r="G113" s="70">
        <f t="shared" si="3"/>
        <v>1.5337155145415511E-2</v>
      </c>
    </row>
    <row r="114" spans="1:7" x14ac:dyDescent="0.2">
      <c r="A114" s="12" t="s">
        <v>481</v>
      </c>
      <c r="B114" s="13">
        <v>9958649</v>
      </c>
      <c r="C114" s="13">
        <v>16654983.189999999</v>
      </c>
      <c r="D114" s="70">
        <f t="shared" si="2"/>
        <v>2.0372792945419268E-3</v>
      </c>
      <c r="F114" s="8" t="str">
        <v>República de Yemen</v>
      </c>
      <c r="G114" s="70">
        <f t="shared" si="3"/>
        <v>2.0361126098021824E-3</v>
      </c>
    </row>
    <row r="115" spans="1:7" x14ac:dyDescent="0.2">
      <c r="A115" s="12" t="s">
        <v>276</v>
      </c>
      <c r="B115" s="13">
        <v>74971235</v>
      </c>
      <c r="C115" s="13">
        <v>186387180.94</v>
      </c>
      <c r="D115" s="70">
        <f t="shared" si="2"/>
        <v>1.5337155145415511E-2</v>
      </c>
      <c r="F115" s="8" t="str">
        <v>Georgia</v>
      </c>
      <c r="G115" s="70">
        <f t="shared" si="3"/>
        <v>7.6817485494316915E-6</v>
      </c>
    </row>
    <row r="116" spans="1:7" x14ac:dyDescent="0.2">
      <c r="A116" s="12" t="s">
        <v>437</v>
      </c>
      <c r="B116" s="13">
        <v>9952946</v>
      </c>
      <c r="C116" s="13">
        <v>76485835.170000002</v>
      </c>
      <c r="D116" s="70">
        <f t="shared" si="2"/>
        <v>2.0361126098021824E-3</v>
      </c>
      <c r="F116" s="8" t="str">
        <v xml:space="preserve">   EUROPA</v>
      </c>
      <c r="G116" s="70">
        <f t="shared" si="3"/>
        <v>0.30495202212047362</v>
      </c>
    </row>
    <row r="117" spans="1:7" x14ac:dyDescent="0.2">
      <c r="A117" s="12" t="s">
        <v>323</v>
      </c>
      <c r="B117" s="13">
        <v>37550</v>
      </c>
      <c r="C117" s="13">
        <v>25000</v>
      </c>
      <c r="D117" s="70">
        <f t="shared" si="2"/>
        <v>7.6817485494316915E-6</v>
      </c>
      <c r="F117" s="8" t="str">
        <v>Albania</v>
      </c>
      <c r="G117" s="70">
        <f t="shared" si="3"/>
        <v>4.9415225715374804E-5</v>
      </c>
    </row>
    <row r="118" spans="1:7" x14ac:dyDescent="0.2">
      <c r="A118" s="12" t="s">
        <v>1</v>
      </c>
      <c r="B118" s="13" t="s">
        <v>466</v>
      </c>
      <c r="C118" s="13" t="s">
        <v>466</v>
      </c>
      <c r="D118" s="70" t="e">
        <f t="shared" si="2"/>
        <v>#VALUE!</v>
      </c>
      <c r="F118" s="8" t="str">
        <v>Austria</v>
      </c>
      <c r="G118" s="70">
        <f t="shared" si="3"/>
        <v>7.3817205221987612E-5</v>
      </c>
    </row>
    <row r="119" spans="1:7" x14ac:dyDescent="0.2">
      <c r="A119" s="12" t="s">
        <v>5</v>
      </c>
      <c r="B119" s="13">
        <v>1490669521</v>
      </c>
      <c r="C119" s="13">
        <v>8455557430.2200003</v>
      </c>
      <c r="D119" s="70">
        <f t="shared" si="2"/>
        <v>0.30495202212047362</v>
      </c>
      <c r="F119" s="8" t="str">
        <v>Bélgica</v>
      </c>
      <c r="G119" s="70">
        <f t="shared" si="3"/>
        <v>1.3143842865064804E-2</v>
      </c>
    </row>
    <row r="120" spans="1:7" x14ac:dyDescent="0.2">
      <c r="A120" s="12" t="s">
        <v>264</v>
      </c>
      <c r="B120" s="13">
        <v>241552</v>
      </c>
      <c r="C120" s="13">
        <v>236121.21</v>
      </c>
      <c r="D120" s="70">
        <f t="shared" si="2"/>
        <v>4.9415225715374804E-5</v>
      </c>
      <c r="F120" s="8" t="str">
        <v>Bulgaria</v>
      </c>
      <c r="G120" s="70">
        <f t="shared" si="3"/>
        <v>1.1611704512718775E-3</v>
      </c>
    </row>
    <row r="121" spans="1:7" x14ac:dyDescent="0.2">
      <c r="A121" s="12" t="s">
        <v>272</v>
      </c>
      <c r="B121" s="13">
        <v>360834</v>
      </c>
      <c r="C121" s="13">
        <v>74321.039999999994</v>
      </c>
      <c r="D121" s="70">
        <f t="shared" si="2"/>
        <v>7.3817205221987612E-5</v>
      </c>
      <c r="F121" s="8" t="str">
        <v>Dinamarca</v>
      </c>
      <c r="G121" s="70">
        <f t="shared" si="3"/>
        <v>2.8932942997401796E-2</v>
      </c>
    </row>
    <row r="122" spans="1:7" x14ac:dyDescent="0.2">
      <c r="A122" s="12" t="s">
        <v>279</v>
      </c>
      <c r="B122" s="13">
        <v>64249864</v>
      </c>
      <c r="C122" s="13">
        <v>420532772.08999997</v>
      </c>
      <c r="D122" s="70">
        <f t="shared" si="2"/>
        <v>1.3143842865064804E-2</v>
      </c>
      <c r="F122" s="8" t="str">
        <v>España</v>
      </c>
      <c r="G122" s="70">
        <f t="shared" si="3"/>
        <v>6.260457992313051E-2</v>
      </c>
    </row>
    <row r="123" spans="1:7" x14ac:dyDescent="0.2">
      <c r="A123" s="12" t="s">
        <v>287</v>
      </c>
      <c r="B123" s="13">
        <v>5676045</v>
      </c>
      <c r="C123" s="13">
        <v>20744433.32</v>
      </c>
      <c r="D123" s="70">
        <f t="shared" si="2"/>
        <v>1.1611704512718775E-3</v>
      </c>
      <c r="F123" s="8" t="str">
        <v>Francia</v>
      </c>
      <c r="G123" s="70">
        <f t="shared" si="3"/>
        <v>9.3875709296195771E-3</v>
      </c>
    </row>
    <row r="124" spans="1:7" x14ac:dyDescent="0.2">
      <c r="A124" s="12" t="s">
        <v>308</v>
      </c>
      <c r="B124" s="13">
        <v>141430301</v>
      </c>
      <c r="C124" s="13">
        <v>927743876.27999997</v>
      </c>
      <c r="D124" s="70">
        <f t="shared" si="2"/>
        <v>2.8932942997401796E-2</v>
      </c>
      <c r="F124" s="8" t="str">
        <v>Grecia</v>
      </c>
      <c r="G124" s="70">
        <f t="shared" si="3"/>
        <v>4.3885890835062098E-3</v>
      </c>
    </row>
    <row r="125" spans="1:7" x14ac:dyDescent="0.2">
      <c r="A125" s="12" t="s">
        <v>411</v>
      </c>
      <c r="B125" s="13">
        <v>306024333</v>
      </c>
      <c r="C125" s="13">
        <v>1896106783.72</v>
      </c>
      <c r="D125" s="70">
        <f t="shared" si="2"/>
        <v>6.260457992313051E-2</v>
      </c>
      <c r="F125" s="8" t="str">
        <v>Irlanda</v>
      </c>
      <c r="G125" s="70">
        <f t="shared" si="3"/>
        <v>3.9012223368088163E-3</v>
      </c>
    </row>
    <row r="126" spans="1:7" x14ac:dyDescent="0.2">
      <c r="A126" s="12" t="s">
        <v>320</v>
      </c>
      <c r="B126" s="13">
        <v>45888418</v>
      </c>
      <c r="C126" s="13">
        <v>192849616.78</v>
      </c>
      <c r="D126" s="70">
        <f t="shared" si="2"/>
        <v>9.3875709296195771E-3</v>
      </c>
      <c r="F126" s="8" t="str">
        <v>Italia</v>
      </c>
      <c r="G126" s="70">
        <f t="shared" si="3"/>
        <v>6.5343247252763789E-2</v>
      </c>
    </row>
    <row r="127" spans="1:7" x14ac:dyDescent="0.2">
      <c r="A127" s="12" t="s">
        <v>326</v>
      </c>
      <c r="B127" s="13">
        <v>21452345</v>
      </c>
      <c r="C127" s="13">
        <v>125875007.23999999</v>
      </c>
      <c r="D127" s="70">
        <f t="shared" si="2"/>
        <v>4.3885890835062098E-3</v>
      </c>
      <c r="F127" s="8" t="str">
        <v>Luxemburgo</v>
      </c>
      <c r="G127" s="70">
        <f t="shared" si="3"/>
        <v>2.7591081454338257E-5</v>
      </c>
    </row>
    <row r="128" spans="1:7" x14ac:dyDescent="0.2">
      <c r="A128" s="12" t="s">
        <v>342</v>
      </c>
      <c r="B128" s="13">
        <v>19069994</v>
      </c>
      <c r="C128" s="13">
        <v>117082975.27</v>
      </c>
      <c r="D128" s="70">
        <f t="shared" si="2"/>
        <v>3.9012223368088163E-3</v>
      </c>
      <c r="F128" s="8" t="str">
        <v>Malta</v>
      </c>
      <c r="G128" s="70">
        <f t="shared" si="3"/>
        <v>1.610906654196335E-4</v>
      </c>
    </row>
    <row r="129" spans="1:7" x14ac:dyDescent="0.2">
      <c r="A129" s="12" t="s">
        <v>344</v>
      </c>
      <c r="B129" s="13">
        <v>319411514</v>
      </c>
      <c r="C129" s="13">
        <v>1841331071.1500001</v>
      </c>
      <c r="D129" s="70">
        <f t="shared" si="2"/>
        <v>6.5343247252763789E-2</v>
      </c>
      <c r="F129" s="8" t="str">
        <v>Noruega</v>
      </c>
      <c r="G129" s="70">
        <f t="shared" si="3"/>
        <v>2.7492742798473761E-4</v>
      </c>
    </row>
    <row r="130" spans="1:7" x14ac:dyDescent="0.2">
      <c r="A130" s="12" t="s">
        <v>358</v>
      </c>
      <c r="B130" s="13">
        <v>134871</v>
      </c>
      <c r="C130" s="13">
        <v>34232.71</v>
      </c>
      <c r="D130" s="70">
        <f t="shared" si="2"/>
        <v>2.7591081454338257E-5</v>
      </c>
      <c r="F130" s="8" t="str">
        <v>Países Bajos</v>
      </c>
      <c r="G130" s="70">
        <f t="shared" si="3"/>
        <v>6.3730977522919383E-2</v>
      </c>
    </row>
    <row r="131" spans="1:7" x14ac:dyDescent="0.2">
      <c r="A131" s="12" t="s">
        <v>365</v>
      </c>
      <c r="B131" s="13">
        <v>787445</v>
      </c>
      <c r="C131" s="13">
        <v>2607752.61</v>
      </c>
      <c r="D131" s="70">
        <f t="shared" si="2"/>
        <v>1.610906654196335E-4</v>
      </c>
      <c r="F131" s="8" t="str">
        <v>Polonia</v>
      </c>
      <c r="G131" s="70">
        <f t="shared" si="3"/>
        <v>6.4553266051485649E-3</v>
      </c>
    </row>
    <row r="132" spans="1:7" x14ac:dyDescent="0.2">
      <c r="A132" s="12" t="s">
        <v>384</v>
      </c>
      <c r="B132" s="13">
        <v>1343903</v>
      </c>
      <c r="C132" s="13">
        <v>8402171.5399999991</v>
      </c>
      <c r="D132" s="70">
        <f t="shared" si="2"/>
        <v>2.7492742798473761E-4</v>
      </c>
      <c r="F132" s="8" t="str">
        <v>Portugal</v>
      </c>
      <c r="G132" s="70">
        <f t="shared" si="3"/>
        <v>5.7092142230166345E-3</v>
      </c>
    </row>
    <row r="133" spans="1:7" x14ac:dyDescent="0.2">
      <c r="A133" s="12" t="s">
        <v>378</v>
      </c>
      <c r="B133" s="13">
        <v>311530401</v>
      </c>
      <c r="C133" s="13">
        <v>1841546329.52</v>
      </c>
      <c r="D133" s="70">
        <f t="shared" si="2"/>
        <v>6.3730977522919383E-2</v>
      </c>
      <c r="F133" s="8" t="str">
        <v>Reino Unido</v>
      </c>
      <c r="G133" s="70">
        <f t="shared" si="3"/>
        <v>9.0348369015137171E-3</v>
      </c>
    </row>
    <row r="134" spans="1:7" x14ac:dyDescent="0.2">
      <c r="A134" s="12" t="s">
        <v>392</v>
      </c>
      <c r="B134" s="13">
        <v>31554992</v>
      </c>
      <c r="C134" s="13">
        <v>181342593.33000001</v>
      </c>
      <c r="D134" s="70">
        <f t="shared" si="2"/>
        <v>6.4553266051485649E-3</v>
      </c>
      <c r="F134" s="8" t="str">
        <v>Rumania</v>
      </c>
      <c r="G134" s="70">
        <f t="shared" si="3"/>
        <v>7.3805237651011801E-4</v>
      </c>
    </row>
    <row r="135" spans="1:7" x14ac:dyDescent="0.2">
      <c r="A135" s="12" t="s">
        <v>393</v>
      </c>
      <c r="B135" s="13">
        <v>27907838</v>
      </c>
      <c r="C135" s="13">
        <v>191772731.36000001</v>
      </c>
      <c r="D135" s="70">
        <f t="shared" si="2"/>
        <v>5.7092142230166345E-3</v>
      </c>
      <c r="F135" s="8" t="str">
        <v>Suecia</v>
      </c>
      <c r="G135" s="70">
        <f t="shared" si="3"/>
        <v>3.066781097920877E-4</v>
      </c>
    </row>
    <row r="136" spans="1:7" x14ac:dyDescent="0.2">
      <c r="A136" s="12" t="s">
        <v>431</v>
      </c>
      <c r="B136" s="13">
        <v>44164180</v>
      </c>
      <c r="C136" s="13">
        <v>127133999.48999999</v>
      </c>
      <c r="D136" s="70">
        <f t="shared" si="2"/>
        <v>9.0348369015137171E-3</v>
      </c>
      <c r="F136" s="8" t="str">
        <v>Suiza</v>
      </c>
      <c r="G136" s="70">
        <f t="shared" si="3"/>
        <v>1.4666145715233481E-4</v>
      </c>
    </row>
    <row r="137" spans="1:7" x14ac:dyDescent="0.2">
      <c r="A137" s="12" t="s">
        <v>396</v>
      </c>
      <c r="B137" s="13">
        <v>3607755</v>
      </c>
      <c r="C137" s="13">
        <v>21385370</v>
      </c>
      <c r="D137" s="70">
        <f t="shared" si="2"/>
        <v>7.3805237651011801E-4</v>
      </c>
      <c r="F137" s="8" t="str">
        <v>Chipre</v>
      </c>
      <c r="G137" s="70">
        <f t="shared" si="3"/>
        <v>2.0435775100570096E-3</v>
      </c>
    </row>
    <row r="138" spans="1:7" x14ac:dyDescent="0.2">
      <c r="A138" s="12" t="s">
        <v>418</v>
      </c>
      <c r="B138" s="13">
        <v>1499107</v>
      </c>
      <c r="C138" s="13">
        <v>658448.02</v>
      </c>
      <c r="D138" s="70">
        <f t="shared" si="2"/>
        <v>3.066781097920877E-4</v>
      </c>
      <c r="F138" s="8" t="str">
        <v>Turquía</v>
      </c>
      <c r="G138" s="70">
        <f t="shared" si="3"/>
        <v>4.3743789738460073E-3</v>
      </c>
    </row>
    <row r="139" spans="1:7" x14ac:dyDescent="0.2">
      <c r="A139" s="12" t="s">
        <v>419</v>
      </c>
      <c r="B139" s="13">
        <v>716912</v>
      </c>
      <c r="C139" s="13">
        <v>565558.86</v>
      </c>
      <c r="D139" s="70">
        <f t="shared" ref="D139:D155" si="4">+B139/$B$8</f>
        <v>1.4666145715233481E-4</v>
      </c>
      <c r="F139" s="8" t="str">
        <v>República Federal de Alemania</v>
      </c>
      <c r="G139" s="70">
        <f t="shared" ref="G139:G151" si="5">+SUMIF(A139:A284,F139,D139:D284)</f>
        <v>2.0157051599986604E-2</v>
      </c>
    </row>
    <row r="140" spans="1:7" x14ac:dyDescent="0.2">
      <c r="A140" s="12" t="s">
        <v>306</v>
      </c>
      <c r="B140" s="13">
        <v>9989436</v>
      </c>
      <c r="C140" s="13">
        <v>63203300</v>
      </c>
      <c r="D140" s="70">
        <f t="shared" si="4"/>
        <v>2.0435775100570096E-3</v>
      </c>
      <c r="F140" s="8" t="str">
        <v>Estonia</v>
      </c>
      <c r="G140" s="70">
        <f t="shared" si="5"/>
        <v>3.578201434836477E-6</v>
      </c>
    </row>
    <row r="141" spans="1:7" x14ac:dyDescent="0.2">
      <c r="A141" s="12" t="s">
        <v>427</v>
      </c>
      <c r="B141" s="13">
        <v>21382883</v>
      </c>
      <c r="C141" s="13">
        <v>101935920.17</v>
      </c>
      <c r="D141" s="70">
        <f t="shared" si="4"/>
        <v>4.3743789738460073E-3</v>
      </c>
      <c r="F141" s="8" t="str">
        <v>Letonia</v>
      </c>
      <c r="G141" s="70">
        <f t="shared" si="5"/>
        <v>9.8993292225565783E-6</v>
      </c>
    </row>
    <row r="142" spans="1:7" x14ac:dyDescent="0.2">
      <c r="A142" s="12" t="s">
        <v>324</v>
      </c>
      <c r="B142" s="13">
        <v>98531901</v>
      </c>
      <c r="C142" s="13">
        <v>336327539.30000001</v>
      </c>
      <c r="D142" s="70">
        <f t="shared" si="4"/>
        <v>2.0157051599986604E-2</v>
      </c>
      <c r="F142" s="8" t="str">
        <v>Lituania</v>
      </c>
      <c r="G142" s="70">
        <f t="shared" si="5"/>
        <v>2.3562817521266103E-6</v>
      </c>
    </row>
    <row r="143" spans="1:7" x14ac:dyDescent="0.2">
      <c r="A143" s="12" t="s">
        <v>316</v>
      </c>
      <c r="B143" s="13">
        <v>17491</v>
      </c>
      <c r="C143" s="13">
        <v>1400</v>
      </c>
      <c r="D143" s="70">
        <f t="shared" si="4"/>
        <v>3.578201434836477E-6</v>
      </c>
      <c r="F143" s="8" t="str">
        <v>Rusia</v>
      </c>
      <c r="G143" s="70">
        <f t="shared" si="5"/>
        <v>2.5567105393522588E-3</v>
      </c>
    </row>
    <row r="144" spans="1:7" x14ac:dyDescent="0.2">
      <c r="A144" s="12" t="s">
        <v>352</v>
      </c>
      <c r="B144" s="13">
        <v>48390</v>
      </c>
      <c r="C144" s="13">
        <v>30646.11</v>
      </c>
      <c r="D144" s="70">
        <f t="shared" si="4"/>
        <v>9.8993292225565783E-6</v>
      </c>
      <c r="F144" s="8" t="str">
        <v>Ucrania</v>
      </c>
      <c r="G144" s="70">
        <f t="shared" si="5"/>
        <v>1.4082864717520043E-5</v>
      </c>
    </row>
    <row r="145" spans="1:7" x14ac:dyDescent="0.2">
      <c r="A145" s="12" t="s">
        <v>357</v>
      </c>
      <c r="B145" s="13">
        <v>11518</v>
      </c>
      <c r="C145" s="13">
        <v>29140.01</v>
      </c>
      <c r="D145" s="70">
        <f t="shared" si="4"/>
        <v>2.3562817521266103E-6</v>
      </c>
      <c r="F145" s="8" t="str">
        <v>Croacia</v>
      </c>
      <c r="G145" s="70">
        <f t="shared" si="5"/>
        <v>7.4355234481242083E-5</v>
      </c>
    </row>
    <row r="146" spans="1:7" x14ac:dyDescent="0.2">
      <c r="A146" s="12" t="s">
        <v>397</v>
      </c>
      <c r="B146" s="13">
        <v>12497738</v>
      </c>
      <c r="C146" s="13">
        <v>31192398.829999998</v>
      </c>
      <c r="D146" s="70">
        <f t="shared" si="4"/>
        <v>2.5567105393522588E-3</v>
      </c>
      <c r="F146" s="8" t="str">
        <v>República Checa</v>
      </c>
      <c r="G146" s="70">
        <f t="shared" si="5"/>
        <v>3.5939536222747258E-5</v>
      </c>
    </row>
    <row r="147" spans="1:7" x14ac:dyDescent="0.2">
      <c r="A147" s="12" t="s">
        <v>429</v>
      </c>
      <c r="B147" s="13">
        <v>68840</v>
      </c>
      <c r="C147" s="13">
        <v>9135</v>
      </c>
      <c r="D147" s="70">
        <f t="shared" si="4"/>
        <v>1.4082864717520043E-5</v>
      </c>
      <c r="F147" s="8" t="str">
        <v>Yugoeslavia (Serbia, Montenegro)</v>
      </c>
      <c r="G147" s="70">
        <f t="shared" si="5"/>
        <v>1.0833740798438981E-4</v>
      </c>
    </row>
    <row r="148" spans="1:7" x14ac:dyDescent="0.2">
      <c r="A148" s="12" t="s">
        <v>304</v>
      </c>
      <c r="B148" s="13">
        <v>363464</v>
      </c>
      <c r="C148" s="13">
        <v>1298774.48</v>
      </c>
      <c r="D148" s="70">
        <f t="shared" si="4"/>
        <v>7.4355234481242083E-5</v>
      </c>
      <c r="F148" s="8" t="str">
        <v xml:space="preserve">   OCEANIA</v>
      </c>
      <c r="G148" s="70">
        <f t="shared" si="5"/>
        <v>2.9253287050378949E-3</v>
      </c>
    </row>
    <row r="149" spans="1:7" x14ac:dyDescent="0.2">
      <c r="A149" s="12" t="s">
        <v>307</v>
      </c>
      <c r="B149" s="13">
        <v>175680</v>
      </c>
      <c r="C149" s="13">
        <v>53010.78</v>
      </c>
      <c r="D149" s="70">
        <f t="shared" si="4"/>
        <v>3.5939536222747258E-5</v>
      </c>
      <c r="F149" s="8" t="str">
        <v>Australia</v>
      </c>
      <c r="G149" s="70">
        <f t="shared" si="5"/>
        <v>2.753730716875361E-3</v>
      </c>
    </row>
    <row r="150" spans="1:7" x14ac:dyDescent="0.2">
      <c r="A150" s="12" t="s">
        <v>485</v>
      </c>
      <c r="B150" s="13">
        <v>529576</v>
      </c>
      <c r="C150" s="13">
        <v>3450000</v>
      </c>
      <c r="D150" s="70">
        <f t="shared" si="4"/>
        <v>1.0833740798438981E-4</v>
      </c>
      <c r="F150" s="8" t="str">
        <v>Nueva Zelanda</v>
      </c>
      <c r="G150" s="70">
        <f t="shared" si="5"/>
        <v>8.562848176659448E-6</v>
      </c>
    </row>
    <row r="151" spans="1:7" x14ac:dyDescent="0.2">
      <c r="A151" s="12" t="s">
        <v>1</v>
      </c>
      <c r="B151" s="13" t="s">
        <v>466</v>
      </c>
      <c r="C151" s="13" t="s">
        <v>466</v>
      </c>
      <c r="D151" s="70" t="e">
        <f t="shared" si="4"/>
        <v>#VALUE!</v>
      </c>
      <c r="F151" s="8" t="str">
        <v>Fiji</v>
      </c>
      <c r="G151" s="70">
        <f t="shared" si="5"/>
        <v>1.6303513998587447E-4</v>
      </c>
    </row>
    <row r="152" spans="1:7" x14ac:dyDescent="0.2">
      <c r="A152" s="12" t="s">
        <v>6</v>
      </c>
      <c r="B152" s="13">
        <v>14299621</v>
      </c>
      <c r="C152" s="13">
        <v>10043022.1</v>
      </c>
      <c r="D152" s="70">
        <f t="shared" si="4"/>
        <v>2.9253287050378949E-3</v>
      </c>
    </row>
    <row r="153" spans="1:7" x14ac:dyDescent="0.2">
      <c r="A153" s="12" t="s">
        <v>271</v>
      </c>
      <c r="B153" s="13">
        <v>13460814</v>
      </c>
      <c r="C153" s="13">
        <v>7904075.0300000003</v>
      </c>
      <c r="D153" s="70">
        <f t="shared" si="4"/>
        <v>2.753730716875361E-3</v>
      </c>
    </row>
    <row r="154" spans="1:7" x14ac:dyDescent="0.2">
      <c r="A154" s="12" t="s">
        <v>379</v>
      </c>
      <c r="B154" s="13">
        <v>41857</v>
      </c>
      <c r="C154" s="13">
        <v>68947.070000000007</v>
      </c>
      <c r="D154" s="70">
        <f t="shared" si="4"/>
        <v>8.562848176659448E-6</v>
      </c>
    </row>
    <row r="155" spans="1:7" x14ac:dyDescent="0.2">
      <c r="A155" s="14" t="s">
        <v>318</v>
      </c>
      <c r="B155" s="15">
        <v>796950</v>
      </c>
      <c r="C155" s="15">
        <v>2070000</v>
      </c>
      <c r="D155" s="70">
        <f t="shared" si="4"/>
        <v>1.6303513998587447E-4</v>
      </c>
    </row>
    <row r="157" spans="1:7" x14ac:dyDescent="0.2">
      <c r="A157" s="7" t="s">
        <v>16</v>
      </c>
    </row>
  </sheetData>
  <mergeCells count="2">
    <mergeCell ref="A1:C2"/>
    <mergeCell ref="B4:C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46"/>
  <sheetViews>
    <sheetView workbookViewId="0">
      <selection activeCell="H9" sqref="H9"/>
    </sheetView>
  </sheetViews>
  <sheetFormatPr baseColWidth="10" defaultRowHeight="15" x14ac:dyDescent="0.2"/>
  <cols>
    <col min="1" max="1" width="37" style="8" customWidth="1"/>
    <col min="2" max="3" width="20" style="9" customWidth="1"/>
    <col min="4" max="4" width="11" style="8"/>
    <col min="5" max="5" width="13.875" style="8" bestFit="1" customWidth="1"/>
    <col min="6" max="6" width="22.875" style="8" bestFit="1" customWidth="1"/>
    <col min="7" max="16384" width="11" style="8"/>
  </cols>
  <sheetData>
    <row r="1" spans="1:7" x14ac:dyDescent="0.2">
      <c r="A1" s="66" t="s">
        <v>258</v>
      </c>
      <c r="B1" s="66"/>
      <c r="C1" s="66"/>
    </row>
    <row r="2" spans="1:7" x14ac:dyDescent="0.2">
      <c r="A2" s="66"/>
      <c r="B2" s="66"/>
      <c r="C2" s="66"/>
    </row>
    <row r="3" spans="1:7" x14ac:dyDescent="0.2">
      <c r="A3" s="1"/>
      <c r="B3" s="1"/>
      <c r="C3" s="1"/>
    </row>
    <row r="4" spans="1:7" x14ac:dyDescent="0.2">
      <c r="A4" s="2"/>
      <c r="B4" s="67" t="s">
        <v>25</v>
      </c>
      <c r="C4" s="67"/>
    </row>
    <row r="5" spans="1:7" x14ac:dyDescent="0.2">
      <c r="A5" s="3" t="s">
        <v>465</v>
      </c>
      <c r="B5" s="4" t="s">
        <v>10</v>
      </c>
      <c r="C5" s="4" t="s">
        <v>11</v>
      </c>
    </row>
    <row r="6" spans="1:7" ht="15.75" x14ac:dyDescent="0.25">
      <c r="A6" s="5"/>
      <c r="B6" s="6" t="s">
        <v>13</v>
      </c>
      <c r="C6" s="6" t="s">
        <v>14</v>
      </c>
      <c r="E6" s="72">
        <v>5.1E-5</v>
      </c>
    </row>
    <row r="8" spans="1:7" x14ac:dyDescent="0.2">
      <c r="A8" s="10" t="s">
        <v>0</v>
      </c>
      <c r="B8" s="11">
        <v>4332192955</v>
      </c>
      <c r="C8" s="11">
        <v>20128876156.709999</v>
      </c>
    </row>
    <row r="9" spans="1:7" x14ac:dyDescent="0.2">
      <c r="A9" s="12" t="s">
        <v>265</v>
      </c>
      <c r="B9" s="13">
        <v>43973913</v>
      </c>
      <c r="C9" s="13">
        <v>230820536.80000001</v>
      </c>
      <c r="D9" s="71">
        <f>+B9/B$8</f>
        <v>1.0150497324743468E-2</v>
      </c>
      <c r="E9" s="8" t="b">
        <f>+D9&lt;$E$6</f>
        <v>0</v>
      </c>
      <c r="F9" s="8" t="str" cm="1">
        <f t="array" ref="F9:F142">+_xlfn.UNIQUE(A9:A144)</f>
        <v>Argelia</v>
      </c>
      <c r="G9" s="8">
        <f>+SUMIF(A9:A144,F9,D9:D144)</f>
        <v>1.0150497324743468E-2</v>
      </c>
    </row>
    <row r="10" spans="1:7" x14ac:dyDescent="0.2">
      <c r="A10" s="12" t="s">
        <v>292</v>
      </c>
      <c r="B10" s="13">
        <v>494895</v>
      </c>
      <c r="C10" s="13">
        <v>1250462.55</v>
      </c>
      <c r="D10" s="71">
        <f t="shared" ref="D10:D71" si="0">+B10/B$8</f>
        <v>1.1423660144888445E-4</v>
      </c>
      <c r="E10" s="8" t="b">
        <f t="shared" ref="E10:E73" si="1">+D10&lt;$E$6</f>
        <v>0</v>
      </c>
      <c r="F10" s="8" t="str">
        <v>Camerún</v>
      </c>
      <c r="G10" s="8">
        <f t="shared" ref="G10:G73" si="2">+SUMIF(A10:A145,F10,D10:D145)</f>
        <v>1.1423660144888445E-4</v>
      </c>
    </row>
    <row r="11" spans="1:7" x14ac:dyDescent="0.2">
      <c r="A11" s="12" t="s">
        <v>301</v>
      </c>
      <c r="B11" s="13">
        <v>679066</v>
      </c>
      <c r="C11" s="13">
        <v>401944.4</v>
      </c>
      <c r="D11" s="71">
        <f t="shared" si="0"/>
        <v>1.5674878913605545E-4</v>
      </c>
      <c r="E11" s="8" t="b">
        <f t="shared" si="1"/>
        <v>0</v>
      </c>
      <c r="F11" s="8" t="str">
        <v>Congo</v>
      </c>
      <c r="G11" s="8">
        <f t="shared" si="2"/>
        <v>1.5674878913605545E-4</v>
      </c>
    </row>
    <row r="12" spans="1:7" s="76" customFormat="1" x14ac:dyDescent="0.2">
      <c r="A12" s="73" t="s">
        <v>477</v>
      </c>
      <c r="B12" s="74">
        <v>22328</v>
      </c>
      <c r="C12" s="74">
        <v>65216.25</v>
      </c>
      <c r="D12" s="75">
        <f t="shared" si="0"/>
        <v>5.1539717256199637E-6</v>
      </c>
      <c r="E12" s="76" t="b">
        <f t="shared" si="1"/>
        <v>1</v>
      </c>
      <c r="F12" s="76" t="str">
        <v>Rep. Democrática del Congo</v>
      </c>
      <c r="G12" s="8">
        <f t="shared" si="2"/>
        <v>5.1539717256199637E-6</v>
      </c>
    </row>
    <row r="13" spans="1:7" x14ac:dyDescent="0.2">
      <c r="A13" s="12" t="s">
        <v>303</v>
      </c>
      <c r="B13" s="13">
        <v>990955</v>
      </c>
      <c r="C13" s="13">
        <v>505375.6</v>
      </c>
      <c r="D13" s="71">
        <f t="shared" si="0"/>
        <v>2.2874211982093026E-4</v>
      </c>
      <c r="E13" s="8" t="b">
        <f t="shared" si="1"/>
        <v>0</v>
      </c>
      <c r="F13" s="8" t="str">
        <v>Costa de Marfil</v>
      </c>
      <c r="G13" s="8">
        <f t="shared" si="2"/>
        <v>2.2874211982093026E-4</v>
      </c>
    </row>
    <row r="14" spans="1:7" x14ac:dyDescent="0.2">
      <c r="A14" s="73" t="s">
        <v>295</v>
      </c>
      <c r="B14" s="13">
        <v>27300</v>
      </c>
      <c r="C14" s="13">
        <v>17136</v>
      </c>
      <c r="D14" s="71">
        <f t="shared" si="0"/>
        <v>6.3016583710777949E-6</v>
      </c>
      <c r="E14" s="8" t="b">
        <f t="shared" si="1"/>
        <v>1</v>
      </c>
      <c r="F14" s="8" t="str">
        <v>Chad</v>
      </c>
      <c r="G14" s="8">
        <f t="shared" si="2"/>
        <v>6.3016583710777949E-6</v>
      </c>
    </row>
    <row r="15" spans="1:7" x14ac:dyDescent="0.2">
      <c r="A15" s="73" t="s">
        <v>281</v>
      </c>
      <c r="B15" s="13">
        <v>100467</v>
      </c>
      <c r="C15" s="13">
        <v>68560.899999999994</v>
      </c>
      <c r="D15" s="71">
        <f t="shared" si="0"/>
        <v>2.3190795295497172E-5</v>
      </c>
      <c r="E15" s="8" t="b">
        <f t="shared" si="1"/>
        <v>1</v>
      </c>
      <c r="F15" s="8" t="str">
        <v>Benin</v>
      </c>
      <c r="G15" s="8">
        <f t="shared" si="2"/>
        <v>2.3190795295497172E-5</v>
      </c>
    </row>
    <row r="16" spans="1:7" x14ac:dyDescent="0.2">
      <c r="A16" s="12" t="s">
        <v>313</v>
      </c>
      <c r="B16" s="13">
        <v>167471475</v>
      </c>
      <c r="C16" s="13">
        <v>983741255.09000003</v>
      </c>
      <c r="D16" s="71">
        <f t="shared" si="0"/>
        <v>3.8657436716135377E-2</v>
      </c>
      <c r="E16" s="8" t="b">
        <f t="shared" si="1"/>
        <v>0</v>
      </c>
      <c r="F16" s="8" t="str">
        <v>Egipto</v>
      </c>
      <c r="G16" s="8">
        <f t="shared" si="2"/>
        <v>3.8657436716135377E-2</v>
      </c>
    </row>
    <row r="17" spans="1:7" x14ac:dyDescent="0.2">
      <c r="A17" s="12" t="s">
        <v>321</v>
      </c>
      <c r="B17" s="13">
        <v>721827</v>
      </c>
      <c r="C17" s="13">
        <v>496469.35</v>
      </c>
      <c r="D17" s="71">
        <f t="shared" si="0"/>
        <v>1.6661930978095134E-4</v>
      </c>
      <c r="E17" s="8" t="b">
        <f t="shared" si="1"/>
        <v>0</v>
      </c>
      <c r="F17" s="8" t="str">
        <v>Gabón</v>
      </c>
      <c r="G17" s="8">
        <f t="shared" si="2"/>
        <v>1.6661930978095134E-4</v>
      </c>
    </row>
    <row r="18" spans="1:7" x14ac:dyDescent="0.2">
      <c r="A18" s="12" t="s">
        <v>325</v>
      </c>
      <c r="B18" s="13">
        <v>1085617</v>
      </c>
      <c r="C18" s="13">
        <v>505588.8</v>
      </c>
      <c r="D18" s="71">
        <f t="shared" si="0"/>
        <v>2.505929471001598E-4</v>
      </c>
      <c r="E18" s="8" t="b">
        <f t="shared" si="1"/>
        <v>0</v>
      </c>
      <c r="F18" s="8" t="str">
        <v>Ghana</v>
      </c>
      <c r="G18" s="8">
        <f t="shared" si="2"/>
        <v>2.505929471001598E-4</v>
      </c>
    </row>
    <row r="19" spans="1:7" x14ac:dyDescent="0.2">
      <c r="A19" s="73" t="s">
        <v>329</v>
      </c>
      <c r="B19" s="13">
        <v>117875</v>
      </c>
      <c r="C19" s="13">
        <v>60000</v>
      </c>
      <c r="D19" s="71">
        <f t="shared" si="0"/>
        <v>2.7209083534461358E-5</v>
      </c>
      <c r="E19" s="8" t="b">
        <f t="shared" si="1"/>
        <v>1</v>
      </c>
      <c r="F19" s="8" t="str">
        <v>Guinea</v>
      </c>
      <c r="G19" s="8">
        <f t="shared" si="2"/>
        <v>2.7209083534461358E-5</v>
      </c>
    </row>
    <row r="20" spans="1:7" x14ac:dyDescent="0.2">
      <c r="A20" s="12" t="s">
        <v>349</v>
      </c>
      <c r="B20" s="13">
        <v>6448775</v>
      </c>
      <c r="C20" s="13">
        <v>54233653.329999998</v>
      </c>
      <c r="D20" s="71">
        <f t="shared" si="0"/>
        <v>1.488570584686711E-3</v>
      </c>
      <c r="E20" s="8" t="b">
        <f t="shared" si="1"/>
        <v>0</v>
      </c>
      <c r="F20" s="8" t="str">
        <v>Kenya</v>
      </c>
      <c r="G20" s="8">
        <f t="shared" si="2"/>
        <v>1.488570584686711E-3</v>
      </c>
    </row>
    <row r="21" spans="1:7" x14ac:dyDescent="0.2">
      <c r="A21" s="12" t="s">
        <v>356</v>
      </c>
      <c r="B21" s="13">
        <v>4852942</v>
      </c>
      <c r="C21" s="13">
        <v>54209844.439999998</v>
      </c>
      <c r="D21" s="71">
        <f t="shared" si="0"/>
        <v>1.1202044900606235E-3</v>
      </c>
      <c r="E21" s="8" t="b">
        <f t="shared" si="1"/>
        <v>0</v>
      </c>
      <c r="F21" s="8" t="str">
        <v>Libia</v>
      </c>
      <c r="G21" s="8">
        <f t="shared" si="2"/>
        <v>1.1202044900606235E-3</v>
      </c>
    </row>
    <row r="22" spans="1:7" x14ac:dyDescent="0.2">
      <c r="A22" s="12" t="s">
        <v>360</v>
      </c>
      <c r="B22" s="13">
        <v>2270975</v>
      </c>
      <c r="C22" s="13">
        <v>7780000</v>
      </c>
      <c r="D22" s="71">
        <f t="shared" si="0"/>
        <v>5.2420910693254201E-4</v>
      </c>
      <c r="E22" s="8" t="b">
        <f t="shared" si="1"/>
        <v>0</v>
      </c>
      <c r="F22" s="8" t="str">
        <v>Madagascar</v>
      </c>
      <c r="G22" s="8">
        <f t="shared" si="2"/>
        <v>5.2420910693254201E-4</v>
      </c>
    </row>
    <row r="23" spans="1:7" x14ac:dyDescent="0.2">
      <c r="A23" s="12" t="s">
        <v>361</v>
      </c>
      <c r="B23" s="13">
        <v>492000</v>
      </c>
      <c r="C23" s="13">
        <v>4000000</v>
      </c>
      <c r="D23" s="71">
        <f t="shared" si="0"/>
        <v>1.1356834866557785E-4</v>
      </c>
      <c r="E23" s="8" t="b">
        <f t="shared" si="1"/>
        <v>0</v>
      </c>
      <c r="F23" s="8" t="str">
        <v>Malawi</v>
      </c>
      <c r="G23" s="8">
        <f t="shared" si="2"/>
        <v>1.1356834866557785E-4</v>
      </c>
    </row>
    <row r="24" spans="1:7" x14ac:dyDescent="0.2">
      <c r="A24" s="73" t="s">
        <v>478</v>
      </c>
      <c r="B24" s="13">
        <v>96850</v>
      </c>
      <c r="C24" s="13">
        <v>50000</v>
      </c>
      <c r="D24" s="71">
        <f t="shared" si="0"/>
        <v>2.2355883268823606E-5</v>
      </c>
      <c r="E24" s="8" t="b">
        <f t="shared" si="1"/>
        <v>1</v>
      </c>
      <c r="F24" s="8" t="str">
        <v>Malí</v>
      </c>
      <c r="G24" s="8">
        <f t="shared" si="2"/>
        <v>2.2355883268823606E-5</v>
      </c>
    </row>
    <row r="25" spans="1:7" x14ac:dyDescent="0.2">
      <c r="A25" s="12" t="s">
        <v>372</v>
      </c>
      <c r="B25" s="13">
        <v>55911505</v>
      </c>
      <c r="C25" s="13">
        <v>242034380.49000001</v>
      </c>
      <c r="D25" s="71">
        <f t="shared" si="0"/>
        <v>1.2906051411091869E-2</v>
      </c>
      <c r="E25" s="8" t="b">
        <f t="shared" si="1"/>
        <v>0</v>
      </c>
      <c r="F25" s="8" t="str">
        <v>Marruecos</v>
      </c>
      <c r="G25" s="8">
        <f t="shared" si="2"/>
        <v>1.2906051411091869E-2</v>
      </c>
    </row>
    <row r="26" spans="1:7" x14ac:dyDescent="0.2">
      <c r="A26" s="12" t="s">
        <v>367</v>
      </c>
      <c r="B26" s="13">
        <v>6372752</v>
      </c>
      <c r="C26" s="13">
        <v>32589021.140000001</v>
      </c>
      <c r="D26" s="71">
        <f t="shared" si="0"/>
        <v>1.4710221973480864E-3</v>
      </c>
      <c r="E26" s="8" t="b">
        <f t="shared" si="1"/>
        <v>0</v>
      </c>
      <c r="F26" s="8" t="str">
        <v>Mauricio</v>
      </c>
      <c r="G26" s="8">
        <f t="shared" si="2"/>
        <v>1.4710221973480864E-3</v>
      </c>
    </row>
    <row r="27" spans="1:7" x14ac:dyDescent="0.2">
      <c r="A27" s="12" t="s">
        <v>366</v>
      </c>
      <c r="B27" s="13">
        <v>407575</v>
      </c>
      <c r="C27" s="13">
        <v>225000</v>
      </c>
      <c r="D27" s="71">
        <f t="shared" si="0"/>
        <v>9.4080527860514E-5</v>
      </c>
      <c r="E27" s="8" t="b">
        <f t="shared" si="1"/>
        <v>0</v>
      </c>
      <c r="F27" s="8" t="str">
        <v>Mauritania</v>
      </c>
      <c r="G27" s="8">
        <f t="shared" si="2"/>
        <v>9.4080527860514E-5</v>
      </c>
    </row>
    <row r="28" spans="1:7" x14ac:dyDescent="0.2">
      <c r="A28" s="73" t="s">
        <v>381</v>
      </c>
      <c r="B28" s="13">
        <v>80388</v>
      </c>
      <c r="C28" s="13">
        <v>42000</v>
      </c>
      <c r="D28" s="71">
        <f t="shared" si="0"/>
        <v>1.8555960188066001E-5</v>
      </c>
      <c r="E28" s="8" t="b">
        <f t="shared" si="1"/>
        <v>1</v>
      </c>
      <c r="F28" s="8" t="str">
        <v>Níger</v>
      </c>
      <c r="G28" s="8">
        <f t="shared" si="2"/>
        <v>1.8555960188066001E-5</v>
      </c>
    </row>
    <row r="29" spans="1:7" x14ac:dyDescent="0.2">
      <c r="A29" s="12" t="s">
        <v>382</v>
      </c>
      <c r="B29" s="13">
        <v>6311171</v>
      </c>
      <c r="C29" s="13">
        <v>18721942.949999999</v>
      </c>
      <c r="D29" s="71">
        <f t="shared" si="0"/>
        <v>1.4568074565367553E-3</v>
      </c>
      <c r="E29" s="8" t="b">
        <f t="shared" si="1"/>
        <v>0</v>
      </c>
      <c r="F29" s="8" t="str">
        <v>Nigeria</v>
      </c>
      <c r="G29" s="8">
        <f t="shared" si="2"/>
        <v>1.4568074565367553E-3</v>
      </c>
    </row>
    <row r="30" spans="1:7" x14ac:dyDescent="0.2">
      <c r="A30" s="12" t="s">
        <v>439</v>
      </c>
      <c r="B30" s="13">
        <v>243329</v>
      </c>
      <c r="C30" s="13">
        <v>1978288.14</v>
      </c>
      <c r="D30" s="71">
        <f t="shared" si="0"/>
        <v>5.6167627464321935E-5</v>
      </c>
      <c r="E30" s="8" t="b">
        <f t="shared" si="1"/>
        <v>0</v>
      </c>
      <c r="F30" s="8" t="str">
        <v>Zimbabwe</v>
      </c>
      <c r="G30" s="8">
        <f t="shared" si="2"/>
        <v>5.6167627464321935E-5</v>
      </c>
    </row>
    <row r="31" spans="1:7" x14ac:dyDescent="0.2">
      <c r="A31" s="12" t="s">
        <v>401</v>
      </c>
      <c r="B31" s="13">
        <v>3746897</v>
      </c>
      <c r="C31" s="13">
        <v>10062262.390000001</v>
      </c>
      <c r="D31" s="71">
        <f t="shared" si="0"/>
        <v>8.6489614819107246E-4</v>
      </c>
      <c r="E31" s="8" t="b">
        <f t="shared" si="1"/>
        <v>0</v>
      </c>
      <c r="F31" s="8" t="str">
        <v>Senegal</v>
      </c>
      <c r="G31" s="8">
        <f t="shared" si="2"/>
        <v>8.6489614819107246E-4</v>
      </c>
    </row>
    <row r="32" spans="1:7" x14ac:dyDescent="0.2">
      <c r="A32" s="73" t="s">
        <v>404</v>
      </c>
      <c r="B32" s="13">
        <v>123850</v>
      </c>
      <c r="C32" s="13">
        <v>65000</v>
      </c>
      <c r="D32" s="71">
        <f t="shared" si="0"/>
        <v>2.8588292646812634E-5</v>
      </c>
      <c r="E32" s="8" t="b">
        <f t="shared" si="1"/>
        <v>1</v>
      </c>
      <c r="F32" s="8" t="str">
        <v>Sierra Leona</v>
      </c>
      <c r="G32" s="8">
        <f t="shared" si="2"/>
        <v>2.8588292646812634E-5</v>
      </c>
    </row>
    <row r="33" spans="1:7" x14ac:dyDescent="0.2">
      <c r="A33" s="12" t="s">
        <v>416</v>
      </c>
      <c r="B33" s="13">
        <v>1047688</v>
      </c>
      <c r="C33" s="13">
        <v>11614170.66</v>
      </c>
      <c r="D33" s="71">
        <f t="shared" si="0"/>
        <v>2.41837796903947E-4</v>
      </c>
      <c r="E33" s="8" t="b">
        <f t="shared" si="1"/>
        <v>0</v>
      </c>
      <c r="F33" s="8" t="str">
        <v>Sudán</v>
      </c>
      <c r="G33" s="8">
        <f t="shared" si="2"/>
        <v>2.41837796903947E-4</v>
      </c>
    </row>
    <row r="34" spans="1:7" x14ac:dyDescent="0.2">
      <c r="A34" s="73" t="s">
        <v>422</v>
      </c>
      <c r="B34" s="13">
        <v>194685</v>
      </c>
      <c r="C34" s="13">
        <v>1689243.02</v>
      </c>
      <c r="D34" s="71">
        <f t="shared" si="0"/>
        <v>4.4939134064955329E-5</v>
      </c>
      <c r="E34" s="8" t="b">
        <f t="shared" si="1"/>
        <v>1</v>
      </c>
      <c r="F34" s="8" t="str">
        <v>Tanzania</v>
      </c>
      <c r="G34" s="8">
        <f t="shared" si="2"/>
        <v>4.4939134064955329E-5</v>
      </c>
    </row>
    <row r="35" spans="1:7" x14ac:dyDescent="0.2">
      <c r="A35" s="73" t="s">
        <v>424</v>
      </c>
      <c r="B35" s="13">
        <v>160100</v>
      </c>
      <c r="C35" s="13">
        <v>80000</v>
      </c>
      <c r="D35" s="71">
        <f t="shared" si="0"/>
        <v>3.6955879311705311E-5</v>
      </c>
      <c r="E35" s="8" t="b">
        <f t="shared" si="1"/>
        <v>1</v>
      </c>
      <c r="F35" s="8" t="str">
        <v>Togo</v>
      </c>
      <c r="G35" s="8">
        <f t="shared" si="2"/>
        <v>3.6955879311705311E-5</v>
      </c>
    </row>
    <row r="36" spans="1:7" x14ac:dyDescent="0.2">
      <c r="A36" s="12" t="s">
        <v>426</v>
      </c>
      <c r="B36" s="13">
        <v>49500365</v>
      </c>
      <c r="C36" s="13">
        <v>275968525.81</v>
      </c>
      <c r="D36" s="71">
        <f t="shared" si="0"/>
        <v>1.1426168112588142E-2</v>
      </c>
      <c r="E36" s="8" t="b">
        <f t="shared" si="1"/>
        <v>0</v>
      </c>
      <c r="F36" s="8" t="str">
        <v>Túnez</v>
      </c>
      <c r="G36" s="8">
        <f t="shared" si="2"/>
        <v>1.1426168112588142E-2</v>
      </c>
    </row>
    <row r="37" spans="1:7" x14ac:dyDescent="0.2">
      <c r="A37" s="73" t="s">
        <v>438</v>
      </c>
      <c r="B37" s="13">
        <v>121504</v>
      </c>
      <c r="C37" s="13">
        <v>694979.19</v>
      </c>
      <c r="D37" s="71">
        <f t="shared" si="0"/>
        <v>2.8046765520858477E-5</v>
      </c>
      <c r="E37" s="8" t="b">
        <f t="shared" si="1"/>
        <v>1</v>
      </c>
      <c r="F37" s="8" t="str">
        <v>Zambia</v>
      </c>
      <c r="G37" s="8">
        <f t="shared" si="2"/>
        <v>2.8046765520858477E-5</v>
      </c>
    </row>
    <row r="38" spans="1:7" x14ac:dyDescent="0.2">
      <c r="A38" s="73" t="s">
        <v>65</v>
      </c>
      <c r="B38" s="13">
        <v>206744</v>
      </c>
      <c r="C38" s="13">
        <v>131844.59</v>
      </c>
      <c r="D38" s="71">
        <f t="shared" si="0"/>
        <v>4.7722712757146803E-5</v>
      </c>
      <c r="E38" s="8" t="b">
        <f t="shared" si="1"/>
        <v>1</v>
      </c>
      <c r="F38" s="8" t="str">
        <v>Territorios vinculados a España</v>
      </c>
      <c r="G38" s="8">
        <f t="shared" si="2"/>
        <v>4.7722712757146803E-5</v>
      </c>
    </row>
    <row r="39" spans="1:7" x14ac:dyDescent="0.2">
      <c r="A39" s="12" t="s">
        <v>66</v>
      </c>
      <c r="B39" s="13">
        <v>6006858</v>
      </c>
      <c r="C39" s="13">
        <v>43246949.950000003</v>
      </c>
      <c r="D39" s="71">
        <f t="shared" si="0"/>
        <v>1.3865628937573488E-3</v>
      </c>
      <c r="E39" s="8" t="b">
        <f t="shared" si="1"/>
        <v>0</v>
      </c>
      <c r="F39" s="8" t="str">
        <v>Territorios vinculados a Francia</v>
      </c>
      <c r="G39" s="8">
        <f t="shared" si="2"/>
        <v>1.436125783090841E-3</v>
      </c>
    </row>
    <row r="40" spans="1:7" x14ac:dyDescent="0.2">
      <c r="A40" s="12" t="s">
        <v>267</v>
      </c>
      <c r="B40" s="13">
        <v>478656</v>
      </c>
      <c r="C40" s="13">
        <v>2556621.91</v>
      </c>
      <c r="D40" s="71">
        <f t="shared" si="0"/>
        <v>1.104881534529895E-4</v>
      </c>
      <c r="E40" s="8" t="b">
        <f t="shared" si="1"/>
        <v>0</v>
      </c>
      <c r="F40" s="8" t="str">
        <v>Angola</v>
      </c>
      <c r="G40" s="8">
        <f t="shared" si="2"/>
        <v>1.104881534529895E-4</v>
      </c>
    </row>
    <row r="41" spans="1:7" x14ac:dyDescent="0.2">
      <c r="A41" s="12" t="s">
        <v>373</v>
      </c>
      <c r="B41" s="13">
        <v>8219947</v>
      </c>
      <c r="C41" s="13">
        <v>31783726.18</v>
      </c>
      <c r="D41" s="71">
        <f t="shared" si="0"/>
        <v>1.8974101766434362E-3</v>
      </c>
      <c r="E41" s="8" t="b">
        <f t="shared" si="1"/>
        <v>0</v>
      </c>
      <c r="F41" s="8" t="str">
        <v>Mozambique</v>
      </c>
      <c r="G41" s="8">
        <f t="shared" si="2"/>
        <v>1.8974101766434362E-3</v>
      </c>
    </row>
    <row r="42" spans="1:7" x14ac:dyDescent="0.2">
      <c r="A42" s="12" t="s">
        <v>409</v>
      </c>
      <c r="B42" s="13">
        <v>111187955</v>
      </c>
      <c r="C42" s="13">
        <v>539751201.41999996</v>
      </c>
      <c r="D42" s="71">
        <f t="shared" si="0"/>
        <v>2.5665513091163779E-2</v>
      </c>
      <c r="E42" s="8" t="b">
        <f t="shared" si="1"/>
        <v>0</v>
      </c>
      <c r="F42" s="8" t="str">
        <v>Sudáfrica</v>
      </c>
      <c r="G42" s="8">
        <f t="shared" si="2"/>
        <v>2.5665513091163779E-2</v>
      </c>
    </row>
    <row r="43" spans="1:7" x14ac:dyDescent="0.2">
      <c r="A43" s="73" t="s">
        <v>277</v>
      </c>
      <c r="B43" s="13">
        <v>187085</v>
      </c>
      <c r="C43" s="13">
        <v>101126.39999999999</v>
      </c>
      <c r="D43" s="71">
        <f t="shared" si="0"/>
        <v>4.3184826240039899E-5</v>
      </c>
      <c r="E43" s="8" t="b">
        <f t="shared" si="1"/>
        <v>1</v>
      </c>
      <c r="F43" s="8" t="str">
        <v>Barbados</v>
      </c>
      <c r="G43" s="8">
        <f t="shared" si="2"/>
        <v>4.3184826240039899E-5</v>
      </c>
    </row>
    <row r="44" spans="1:7" x14ac:dyDescent="0.2">
      <c r="A44" s="12" t="s">
        <v>282</v>
      </c>
      <c r="B44" s="13">
        <v>32774820</v>
      </c>
      <c r="C44" s="13">
        <v>103164575.92</v>
      </c>
      <c r="D44" s="71">
        <f t="shared" si="0"/>
        <v>7.5654109455519395E-3</v>
      </c>
      <c r="E44" s="8" t="b">
        <f t="shared" si="1"/>
        <v>0</v>
      </c>
      <c r="F44" s="8" t="str">
        <v>Bolivia</v>
      </c>
      <c r="G44" s="8">
        <f t="shared" si="2"/>
        <v>7.5654109455519395E-3</v>
      </c>
    </row>
    <row r="45" spans="1:7" x14ac:dyDescent="0.2">
      <c r="A45" s="12" t="s">
        <v>285</v>
      </c>
      <c r="B45" s="13">
        <v>434237312</v>
      </c>
      <c r="C45" s="13">
        <v>1227550849.1700001</v>
      </c>
      <c r="D45" s="71">
        <f t="shared" si="0"/>
        <v>0.1002349887252425</v>
      </c>
      <c r="E45" s="8" t="b">
        <f t="shared" si="1"/>
        <v>0</v>
      </c>
      <c r="F45" s="8" t="str">
        <v>Brasil</v>
      </c>
      <c r="G45" s="8">
        <f t="shared" si="2"/>
        <v>0.1002349887252425</v>
      </c>
    </row>
    <row r="46" spans="1:7" x14ac:dyDescent="0.2">
      <c r="A46" s="12" t="s">
        <v>293</v>
      </c>
      <c r="B46" s="13">
        <v>9975826</v>
      </c>
      <c r="C46" s="13">
        <v>7994904.7699999996</v>
      </c>
      <c r="D46" s="71">
        <f t="shared" si="0"/>
        <v>2.3027196857624732E-3</v>
      </c>
      <c r="E46" s="8" t="b">
        <f t="shared" si="1"/>
        <v>0</v>
      </c>
      <c r="F46" s="8" t="str">
        <v>Canadá</v>
      </c>
      <c r="G46" s="8">
        <f t="shared" si="2"/>
        <v>2.3027196857624732E-3</v>
      </c>
    </row>
    <row r="47" spans="1:7" x14ac:dyDescent="0.2">
      <c r="A47" s="12" t="s">
        <v>298</v>
      </c>
      <c r="B47" s="13">
        <v>29414746</v>
      </c>
      <c r="C47" s="13">
        <v>96413482.060000002</v>
      </c>
      <c r="D47" s="71">
        <f t="shared" si="0"/>
        <v>6.7898051415394541E-3</v>
      </c>
      <c r="E47" s="8" t="b">
        <f t="shared" si="1"/>
        <v>0</v>
      </c>
      <c r="F47" s="8" t="str">
        <v>Colombia</v>
      </c>
      <c r="G47" s="8">
        <f t="shared" si="2"/>
        <v>6.7898051415394541E-3</v>
      </c>
    </row>
    <row r="48" spans="1:7" x14ac:dyDescent="0.2">
      <c r="A48" s="12" t="s">
        <v>302</v>
      </c>
      <c r="B48" s="13">
        <v>3775427</v>
      </c>
      <c r="C48" s="13">
        <v>11001465.880000001</v>
      </c>
      <c r="D48" s="71">
        <f t="shared" si="0"/>
        <v>8.7148172743381415E-4</v>
      </c>
      <c r="E48" s="8" t="b">
        <f t="shared" si="1"/>
        <v>0</v>
      </c>
      <c r="F48" s="8" t="str">
        <v>Costa Rica</v>
      </c>
      <c r="G48" s="8">
        <f t="shared" si="2"/>
        <v>8.7148172743381415E-4</v>
      </c>
    </row>
    <row r="49" spans="1:7" x14ac:dyDescent="0.2">
      <c r="A49" s="12" t="s">
        <v>442</v>
      </c>
      <c r="B49" s="13">
        <v>15292951</v>
      </c>
      <c r="C49" s="13">
        <v>91831034.280000001</v>
      </c>
      <c r="D49" s="71">
        <f t="shared" si="0"/>
        <v>3.5300715270195071E-3</v>
      </c>
      <c r="E49" s="8" t="b">
        <f t="shared" si="1"/>
        <v>0</v>
      </c>
      <c r="F49" s="8" t="str">
        <v>Cuba</v>
      </c>
      <c r="G49" s="8">
        <f t="shared" si="2"/>
        <v>3.5300715270195071E-3</v>
      </c>
    </row>
    <row r="50" spans="1:7" x14ac:dyDescent="0.2">
      <c r="A50" s="12" t="s">
        <v>296</v>
      </c>
      <c r="B50" s="13">
        <v>127475902</v>
      </c>
      <c r="C50" s="13">
        <v>537362354.30999994</v>
      </c>
      <c r="D50" s="71">
        <f t="shared" si="0"/>
        <v>2.9425259521941124E-2</v>
      </c>
      <c r="E50" s="8" t="b">
        <f t="shared" si="1"/>
        <v>0</v>
      </c>
      <c r="F50" s="8" t="str">
        <v>Chile</v>
      </c>
      <c r="G50" s="8">
        <f t="shared" si="2"/>
        <v>2.9425259521941124E-2</v>
      </c>
    </row>
    <row r="51" spans="1:7" x14ac:dyDescent="0.2">
      <c r="A51" s="12" t="s">
        <v>311</v>
      </c>
      <c r="B51" s="13">
        <v>33501618</v>
      </c>
      <c r="C51" s="13">
        <v>98143566.519999996</v>
      </c>
      <c r="D51" s="71">
        <f t="shared" si="0"/>
        <v>7.7331777111483719E-3</v>
      </c>
      <c r="E51" s="8" t="b">
        <f t="shared" si="1"/>
        <v>0</v>
      </c>
      <c r="F51" s="8" t="str">
        <v>República Dominicana</v>
      </c>
      <c r="G51" s="8">
        <f t="shared" si="2"/>
        <v>7.7331777111483719E-3</v>
      </c>
    </row>
    <row r="52" spans="1:7" x14ac:dyDescent="0.2">
      <c r="A52" s="12" t="s">
        <v>312</v>
      </c>
      <c r="B52" s="13">
        <v>16092562</v>
      </c>
      <c r="C52" s="13">
        <v>51135944.899999999</v>
      </c>
      <c r="D52" s="71">
        <f t="shared" si="0"/>
        <v>3.7146457157285137E-3</v>
      </c>
      <c r="E52" s="8" t="b">
        <f t="shared" si="1"/>
        <v>0</v>
      </c>
      <c r="F52" s="8" t="str">
        <v>Ecuador</v>
      </c>
      <c r="G52" s="8">
        <f t="shared" si="2"/>
        <v>3.7146457157285137E-3</v>
      </c>
    </row>
    <row r="53" spans="1:7" x14ac:dyDescent="0.2">
      <c r="A53" s="12" t="s">
        <v>314</v>
      </c>
      <c r="B53" s="13">
        <v>277864</v>
      </c>
      <c r="C53" s="13">
        <v>1110075.79</v>
      </c>
      <c r="D53" s="71">
        <f t="shared" si="0"/>
        <v>6.4139340718723828E-5</v>
      </c>
      <c r="E53" s="8" t="b">
        <f t="shared" si="1"/>
        <v>0</v>
      </c>
      <c r="F53" s="8" t="str">
        <v>El Salvador</v>
      </c>
      <c r="G53" s="8">
        <f t="shared" si="2"/>
        <v>6.4139340718723828E-5</v>
      </c>
    </row>
    <row r="54" spans="1:7" x14ac:dyDescent="0.2">
      <c r="A54" s="12" t="s">
        <v>432</v>
      </c>
      <c r="B54" s="13">
        <v>212538789</v>
      </c>
      <c r="C54" s="13">
        <v>217474263.91</v>
      </c>
      <c r="D54" s="71">
        <f t="shared" si="0"/>
        <v>4.9060323768519681E-2</v>
      </c>
      <c r="E54" s="8" t="b">
        <f t="shared" si="1"/>
        <v>0</v>
      </c>
      <c r="F54" s="8" t="str">
        <v>Estados Unidos</v>
      </c>
      <c r="G54" s="8">
        <f t="shared" si="2"/>
        <v>4.9060323768519681E-2</v>
      </c>
    </row>
    <row r="55" spans="1:7" x14ac:dyDescent="0.2">
      <c r="A55" s="12" t="s">
        <v>328</v>
      </c>
      <c r="B55" s="13">
        <v>12534854</v>
      </c>
      <c r="C55" s="13">
        <v>59958911.549999997</v>
      </c>
      <c r="D55" s="71">
        <f t="shared" si="0"/>
        <v>2.8934200600490103E-3</v>
      </c>
      <c r="E55" s="8" t="b">
        <f t="shared" si="1"/>
        <v>0</v>
      </c>
      <c r="F55" s="8" t="str">
        <v>Guatemala</v>
      </c>
      <c r="G55" s="8">
        <f t="shared" si="2"/>
        <v>2.8934200600490103E-3</v>
      </c>
    </row>
    <row r="56" spans="1:7" x14ac:dyDescent="0.2">
      <c r="A56" s="73" t="s">
        <v>332</v>
      </c>
      <c r="B56" s="13">
        <v>34813</v>
      </c>
      <c r="C56" s="13">
        <v>22787.84</v>
      </c>
      <c r="D56" s="71">
        <f t="shared" si="0"/>
        <v>8.0358839879974821E-6</v>
      </c>
      <c r="E56" s="8" t="b">
        <f t="shared" si="1"/>
        <v>1</v>
      </c>
      <c r="F56" s="8" t="str">
        <v>Guyana</v>
      </c>
      <c r="G56" s="8">
        <f t="shared" si="2"/>
        <v>8.0358839879974821E-6</v>
      </c>
    </row>
    <row r="57" spans="1:7" x14ac:dyDescent="0.2">
      <c r="A57" s="12" t="s">
        <v>333</v>
      </c>
      <c r="B57" s="13">
        <v>604296</v>
      </c>
      <c r="C57" s="13">
        <v>3833225.92</v>
      </c>
      <c r="D57" s="71">
        <f t="shared" si="0"/>
        <v>1.394896317585651E-4</v>
      </c>
      <c r="E57" s="8" t="b">
        <f t="shared" si="1"/>
        <v>0</v>
      </c>
      <c r="F57" s="8" t="str">
        <v>Haití</v>
      </c>
      <c r="G57" s="8">
        <f t="shared" si="2"/>
        <v>1.394896317585651E-4</v>
      </c>
    </row>
    <row r="58" spans="1:7" x14ac:dyDescent="0.2">
      <c r="A58" s="12" t="s">
        <v>334</v>
      </c>
      <c r="B58" s="13">
        <v>613449</v>
      </c>
      <c r="C58" s="13">
        <v>59910.8</v>
      </c>
      <c r="D58" s="71">
        <f t="shared" si="0"/>
        <v>1.4160241853770339E-4</v>
      </c>
      <c r="E58" s="8" t="b">
        <f t="shared" si="1"/>
        <v>0</v>
      </c>
      <c r="F58" s="8" t="str">
        <v>Honduras</v>
      </c>
      <c r="G58" s="8">
        <f t="shared" si="2"/>
        <v>1.4160241853770339E-4</v>
      </c>
    </row>
    <row r="59" spans="1:7" x14ac:dyDescent="0.2">
      <c r="A59" s="12" t="s">
        <v>345</v>
      </c>
      <c r="B59" s="13">
        <v>1784240</v>
      </c>
      <c r="C59" s="13">
        <v>3075934.15</v>
      </c>
      <c r="D59" s="71">
        <f t="shared" si="0"/>
        <v>4.1185607809567201E-4</v>
      </c>
      <c r="E59" s="8" t="b">
        <f t="shared" si="1"/>
        <v>0</v>
      </c>
      <c r="F59" s="8" t="str">
        <v>Jamaica</v>
      </c>
      <c r="G59" s="8">
        <f t="shared" si="2"/>
        <v>4.1185607809567201E-4</v>
      </c>
    </row>
    <row r="60" spans="1:7" x14ac:dyDescent="0.2">
      <c r="A60" s="12" t="s">
        <v>368</v>
      </c>
      <c r="B60" s="13">
        <v>52066441</v>
      </c>
      <c r="C60" s="13">
        <v>21365373.210000001</v>
      </c>
      <c r="D60" s="71">
        <f t="shared" si="0"/>
        <v>1.2018495376552312E-2</v>
      </c>
      <c r="E60" s="8" t="b">
        <f t="shared" si="1"/>
        <v>0</v>
      </c>
      <c r="F60" s="8" t="str">
        <v>México</v>
      </c>
      <c r="G60" s="8">
        <f t="shared" si="2"/>
        <v>1.2018495376552312E-2</v>
      </c>
    </row>
    <row r="61" spans="1:7" x14ac:dyDescent="0.2">
      <c r="A61" s="12" t="s">
        <v>380</v>
      </c>
      <c r="B61" s="13">
        <v>245263</v>
      </c>
      <c r="C61" s="13">
        <v>347055.89</v>
      </c>
      <c r="D61" s="71">
        <f t="shared" si="0"/>
        <v>5.6614052639767522E-5</v>
      </c>
      <c r="E61" s="8" t="b">
        <f t="shared" si="1"/>
        <v>0</v>
      </c>
      <c r="F61" s="8" t="str">
        <v>Nicaragua</v>
      </c>
      <c r="G61" s="8">
        <f t="shared" si="2"/>
        <v>5.6614052639767522E-5</v>
      </c>
    </row>
    <row r="62" spans="1:7" x14ac:dyDescent="0.2">
      <c r="A62" s="12" t="s">
        <v>387</v>
      </c>
      <c r="B62" s="13">
        <v>1757024</v>
      </c>
      <c r="C62" s="13">
        <v>4317516.99</v>
      </c>
      <c r="D62" s="71">
        <f t="shared" si="0"/>
        <v>4.0557380944265906E-4</v>
      </c>
      <c r="E62" s="8" t="b">
        <f t="shared" si="1"/>
        <v>0</v>
      </c>
      <c r="F62" s="8" t="str">
        <v>Panamá</v>
      </c>
      <c r="G62" s="8">
        <f t="shared" si="2"/>
        <v>4.0557380944265906E-4</v>
      </c>
    </row>
    <row r="63" spans="1:7" x14ac:dyDescent="0.2">
      <c r="A63" s="12" t="s">
        <v>389</v>
      </c>
      <c r="B63" s="13">
        <v>36675600</v>
      </c>
      <c r="C63" s="13">
        <v>52775144.729999997</v>
      </c>
      <c r="D63" s="71">
        <f t="shared" si="0"/>
        <v>8.4658279030879417E-3</v>
      </c>
      <c r="E63" s="8" t="b">
        <f t="shared" si="1"/>
        <v>0</v>
      </c>
      <c r="F63" s="8" t="str">
        <v>Paraguay</v>
      </c>
      <c r="G63" s="8">
        <f t="shared" si="2"/>
        <v>8.4658279030879417E-3</v>
      </c>
    </row>
    <row r="64" spans="1:7" x14ac:dyDescent="0.2">
      <c r="A64" s="12" t="s">
        <v>390</v>
      </c>
      <c r="B64" s="13">
        <v>108704860</v>
      </c>
      <c r="C64" s="13">
        <v>547978736.34000003</v>
      </c>
      <c r="D64" s="71">
        <f t="shared" si="0"/>
        <v>2.5092340329517942E-2</v>
      </c>
      <c r="E64" s="8" t="b">
        <f t="shared" si="1"/>
        <v>0</v>
      </c>
      <c r="F64" s="8" t="str">
        <v>Perú</v>
      </c>
      <c r="G64" s="8">
        <f t="shared" si="2"/>
        <v>2.5092340329517942E-2</v>
      </c>
    </row>
    <row r="65" spans="1:7" x14ac:dyDescent="0.2">
      <c r="A65" s="12" t="s">
        <v>394</v>
      </c>
      <c r="B65" s="13">
        <v>1208906</v>
      </c>
      <c r="C65" s="13">
        <v>1312201.42</v>
      </c>
      <c r="D65" s="71">
        <f t="shared" si="0"/>
        <v>2.7905174412989642E-4</v>
      </c>
      <c r="E65" s="8" t="b">
        <f t="shared" si="1"/>
        <v>0</v>
      </c>
      <c r="F65" s="8" t="str">
        <v>Puerto Rico(Estado Asociado)</v>
      </c>
      <c r="G65" s="8">
        <f t="shared" si="2"/>
        <v>2.7905174412989642E-4</v>
      </c>
    </row>
    <row r="66" spans="1:7" x14ac:dyDescent="0.2">
      <c r="A66" s="12" t="s">
        <v>425</v>
      </c>
      <c r="B66" s="13">
        <v>645459</v>
      </c>
      <c r="C66" s="13">
        <v>784330.14</v>
      </c>
      <c r="D66" s="71">
        <f t="shared" si="0"/>
        <v>1.4899128610027483E-4</v>
      </c>
      <c r="E66" s="8" t="b">
        <f t="shared" si="1"/>
        <v>0</v>
      </c>
      <c r="F66" s="8" t="str">
        <v>Trinidad y Tobago</v>
      </c>
      <c r="G66" s="8">
        <f t="shared" si="2"/>
        <v>1.4899128610027483E-4</v>
      </c>
    </row>
    <row r="67" spans="1:7" x14ac:dyDescent="0.2">
      <c r="A67" s="12" t="s">
        <v>433</v>
      </c>
      <c r="B67" s="13">
        <v>41541669</v>
      </c>
      <c r="C67" s="13">
        <v>65519566.93</v>
      </c>
      <c r="D67" s="71">
        <f t="shared" si="0"/>
        <v>9.5890624982561522E-3</v>
      </c>
      <c r="E67" s="8" t="b">
        <f t="shared" si="1"/>
        <v>0</v>
      </c>
      <c r="F67" s="8" t="str">
        <v>Uruguay</v>
      </c>
      <c r="G67" s="8">
        <f t="shared" si="2"/>
        <v>9.5890624982561522E-3</v>
      </c>
    </row>
    <row r="68" spans="1:7" x14ac:dyDescent="0.2">
      <c r="A68" s="12" t="s">
        <v>435</v>
      </c>
      <c r="B68" s="13">
        <v>20774302</v>
      </c>
      <c r="C68" s="13">
        <v>48946616.899999999</v>
      </c>
      <c r="D68" s="71">
        <f t="shared" si="0"/>
        <v>4.7953316520731931E-3</v>
      </c>
      <c r="E68" s="8" t="b">
        <f t="shared" si="1"/>
        <v>0</v>
      </c>
      <c r="F68" s="8" t="str">
        <v>Venezuela</v>
      </c>
      <c r="G68" s="8">
        <f t="shared" si="2"/>
        <v>4.7953316520731931E-3</v>
      </c>
    </row>
    <row r="69" spans="1:7" x14ac:dyDescent="0.2">
      <c r="A69" s="73" t="s">
        <v>479</v>
      </c>
      <c r="B69" s="13">
        <v>133007</v>
      </c>
      <c r="C69" s="13">
        <v>19741.87</v>
      </c>
      <c r="D69" s="71">
        <f t="shared" si="0"/>
        <v>3.0702002745858769E-5</v>
      </c>
      <c r="E69" s="8" t="b">
        <f t="shared" si="1"/>
        <v>1</v>
      </c>
      <c r="F69" s="8" t="str">
        <v>Territ. vinc. al Reino Unido</v>
      </c>
      <c r="G69" s="8">
        <f t="shared" si="2"/>
        <v>3.2384060787984916E-5</v>
      </c>
    </row>
    <row r="70" spans="1:7" x14ac:dyDescent="0.2">
      <c r="A70" s="73" t="s">
        <v>66</v>
      </c>
      <c r="B70" s="13">
        <v>214716</v>
      </c>
      <c r="C70" s="13">
        <v>459908</v>
      </c>
      <c r="D70" s="71">
        <f t="shared" si="0"/>
        <v>4.9562889333492304E-5</v>
      </c>
      <c r="E70" s="8" t="b">
        <f t="shared" si="1"/>
        <v>1</v>
      </c>
      <c r="F70" s="8" t="str">
        <v>Territ. vinc. a Países Bajos</v>
      </c>
      <c r="G70" s="8">
        <f t="shared" si="2"/>
        <v>4.8710572726555761E-4</v>
      </c>
    </row>
    <row r="71" spans="1:7" x14ac:dyDescent="0.2">
      <c r="A71" s="12" t="s">
        <v>492</v>
      </c>
      <c r="B71" s="13">
        <v>2110236</v>
      </c>
      <c r="C71" s="13">
        <v>708789.32</v>
      </c>
      <c r="D71" s="71">
        <f t="shared" si="0"/>
        <v>4.8710572726555761E-4</v>
      </c>
      <c r="E71" s="8" t="b">
        <f t="shared" si="1"/>
        <v>0</v>
      </c>
      <c r="F71" s="8" t="str">
        <v>Dominica</v>
      </c>
      <c r="G71" s="8">
        <f t="shared" si="2"/>
        <v>4.6512240357955152E-6</v>
      </c>
    </row>
    <row r="72" spans="1:7" x14ac:dyDescent="0.2">
      <c r="A72" s="73" t="s">
        <v>310</v>
      </c>
      <c r="B72" s="13">
        <v>20150</v>
      </c>
      <c r="C72" s="13">
        <v>1076.99</v>
      </c>
      <c r="D72" s="71">
        <f t="shared" ref="D72:D131" si="3">+B72/B$8</f>
        <v>4.6512240357955152E-6</v>
      </c>
      <c r="E72" s="8" t="b">
        <f t="shared" si="1"/>
        <v>1</v>
      </c>
      <c r="F72" s="8" t="str">
        <v>San Vicente y las Granadinas</v>
      </c>
      <c r="G72" s="8">
        <f t="shared" si="2"/>
        <v>1.3949747997778183E-5</v>
      </c>
    </row>
    <row r="73" spans="1:7" x14ac:dyDescent="0.2">
      <c r="A73" s="73" t="s">
        <v>415</v>
      </c>
      <c r="B73" s="13">
        <v>60433</v>
      </c>
      <c r="C73" s="13">
        <v>32119.200000000001</v>
      </c>
      <c r="D73" s="71">
        <f t="shared" si="3"/>
        <v>1.3949747997778183E-5</v>
      </c>
      <c r="E73" s="8" t="b">
        <f t="shared" si="1"/>
        <v>1</v>
      </c>
      <c r="F73" s="8" t="str">
        <v>Belice</v>
      </c>
      <c r="G73" s="8">
        <f t="shared" si="2"/>
        <v>1.9389718064854755E-7</v>
      </c>
    </row>
    <row r="74" spans="1:7" x14ac:dyDescent="0.2">
      <c r="A74" s="73" t="s">
        <v>280</v>
      </c>
      <c r="B74" s="13">
        <v>840</v>
      </c>
      <c r="C74" s="13">
        <v>53.14</v>
      </c>
      <c r="D74" s="71">
        <f t="shared" si="3"/>
        <v>1.9389718064854755E-7</v>
      </c>
      <c r="E74" s="8" t="b">
        <f t="shared" ref="E74:E137" si="4">+D74&lt;$E$6</f>
        <v>1</v>
      </c>
      <c r="F74" s="8" t="str">
        <v>Antigua y Barbuda</v>
      </c>
      <c r="G74" s="8">
        <f t="shared" ref="G74:G137" si="5">+SUMIF(A74:A209,F74,D74:D209)</f>
        <v>1.1037597008418568E-5</v>
      </c>
    </row>
    <row r="75" spans="1:7" x14ac:dyDescent="0.2">
      <c r="A75" s="73" t="s">
        <v>268</v>
      </c>
      <c r="B75" s="13">
        <v>47817</v>
      </c>
      <c r="C75" s="13">
        <v>12556</v>
      </c>
      <c r="D75" s="71">
        <f t="shared" si="3"/>
        <v>1.1037597008418568E-5</v>
      </c>
      <c r="E75" s="8" t="b">
        <f t="shared" si="4"/>
        <v>1</v>
      </c>
      <c r="F75" s="8" t="str">
        <v>San Cristóbal y Nevis</v>
      </c>
      <c r="G75" s="8">
        <f t="shared" si="5"/>
        <v>3.9418835165895792E-5</v>
      </c>
    </row>
    <row r="76" spans="1:7" x14ac:dyDescent="0.2">
      <c r="A76" s="73" t="s">
        <v>472</v>
      </c>
      <c r="B76" s="13">
        <v>170770</v>
      </c>
      <c r="C76" s="13">
        <v>83635.199999999997</v>
      </c>
      <c r="D76" s="71">
        <f t="shared" si="3"/>
        <v>3.9418835165895792E-5</v>
      </c>
      <c r="E76" s="8" t="b">
        <f t="shared" si="4"/>
        <v>1</v>
      </c>
      <c r="F76" s="8" t="str">
        <v>Grenada</v>
      </c>
      <c r="G76" s="8">
        <f t="shared" si="5"/>
        <v>2.6343471120851771E-5</v>
      </c>
    </row>
    <row r="77" spans="1:7" x14ac:dyDescent="0.2">
      <c r="A77" s="73" t="s">
        <v>327</v>
      </c>
      <c r="B77" s="13">
        <v>114125</v>
      </c>
      <c r="C77" s="13">
        <v>65452.51</v>
      </c>
      <c r="D77" s="71">
        <f t="shared" si="3"/>
        <v>2.6343471120851771E-5</v>
      </c>
      <c r="E77" s="8" t="b">
        <f t="shared" si="4"/>
        <v>1</v>
      </c>
      <c r="F77" s="8" t="str">
        <v>Colonia (Uruguay)</v>
      </c>
      <c r="G77" s="8">
        <f t="shared" si="5"/>
        <v>3.9268795680870132E-6</v>
      </c>
    </row>
    <row r="78" spans="1:7" x14ac:dyDescent="0.2">
      <c r="A78" s="73" t="s">
        <v>440</v>
      </c>
      <c r="B78" s="13">
        <v>17012</v>
      </c>
      <c r="C78" s="13">
        <v>498</v>
      </c>
      <c r="D78" s="71">
        <f t="shared" si="3"/>
        <v>3.9268795680870132E-6</v>
      </c>
      <c r="E78" s="8" t="b">
        <f t="shared" si="4"/>
        <v>1</v>
      </c>
      <c r="F78" s="8" t="str">
        <v>Florida (Uruguay)</v>
      </c>
      <c r="G78" s="8">
        <f t="shared" si="5"/>
        <v>7.2365197777761491E-7</v>
      </c>
    </row>
    <row r="79" spans="1:7" x14ac:dyDescent="0.2">
      <c r="A79" s="73" t="s">
        <v>469</v>
      </c>
      <c r="B79" s="13">
        <v>3135</v>
      </c>
      <c r="C79" s="13">
        <v>6330</v>
      </c>
      <c r="D79" s="71">
        <f t="shared" si="3"/>
        <v>7.2365197777761491E-7</v>
      </c>
      <c r="E79" s="8" t="b">
        <f t="shared" si="4"/>
        <v>1</v>
      </c>
      <c r="F79" s="8" t="str">
        <v>Zonamérica (ex Montevideo)</v>
      </c>
      <c r="G79" s="8">
        <f t="shared" si="5"/>
        <v>2.4511835253653886E-6</v>
      </c>
    </row>
    <row r="80" spans="1:7" x14ac:dyDescent="0.2">
      <c r="A80" s="73" t="s">
        <v>480</v>
      </c>
      <c r="B80" s="13">
        <v>10619</v>
      </c>
      <c r="C80" s="13">
        <v>196.82</v>
      </c>
      <c r="D80" s="71">
        <f t="shared" si="3"/>
        <v>2.4511835253653886E-6</v>
      </c>
      <c r="E80" s="8" t="b">
        <f t="shared" si="4"/>
        <v>1</v>
      </c>
      <c r="F80" s="8" t="str">
        <v>Arabia Saudita</v>
      </c>
      <c r="G80" s="8">
        <f t="shared" si="5"/>
        <v>3.0156789265172517E-3</v>
      </c>
    </row>
    <row r="81" spans="1:7" x14ac:dyDescent="0.2">
      <c r="A81" s="12" t="s">
        <v>400</v>
      </c>
      <c r="B81" s="13">
        <v>13064503</v>
      </c>
      <c r="C81" s="13">
        <v>114879882.23</v>
      </c>
      <c r="D81" s="71">
        <f t="shared" si="3"/>
        <v>3.0156789265172517E-3</v>
      </c>
      <c r="E81" s="8" t="b">
        <f t="shared" si="4"/>
        <v>0</v>
      </c>
      <c r="F81" s="8" t="str">
        <v>Bahrein</v>
      </c>
      <c r="G81" s="8">
        <f t="shared" si="5"/>
        <v>6.5546018598333647E-5</v>
      </c>
    </row>
    <row r="82" spans="1:7" x14ac:dyDescent="0.2">
      <c r="A82" s="12" t="s">
        <v>275</v>
      </c>
      <c r="B82" s="13">
        <v>283958</v>
      </c>
      <c r="C82" s="13">
        <v>3202690.25</v>
      </c>
      <c r="D82" s="71">
        <f t="shared" si="3"/>
        <v>6.5546018598333647E-5</v>
      </c>
      <c r="E82" s="8" t="b">
        <f t="shared" si="4"/>
        <v>0</v>
      </c>
      <c r="F82" s="8" t="str">
        <v>Camboya (ex Kampuchea)</v>
      </c>
      <c r="G82" s="8">
        <f t="shared" si="5"/>
        <v>1.8256112047991639E-5</v>
      </c>
    </row>
    <row r="83" spans="1:7" x14ac:dyDescent="0.2">
      <c r="A83" s="73" t="s">
        <v>291</v>
      </c>
      <c r="B83" s="13">
        <v>79089</v>
      </c>
      <c r="C83" s="13">
        <v>4250</v>
      </c>
      <c r="D83" s="71">
        <f t="shared" si="3"/>
        <v>1.8256112047991639E-5</v>
      </c>
      <c r="E83" s="8" t="b">
        <f t="shared" si="4"/>
        <v>1</v>
      </c>
      <c r="F83" s="8" t="str">
        <v>Sri Lanka</v>
      </c>
      <c r="G83" s="8">
        <f t="shared" si="5"/>
        <v>2.1616742599591803E-4</v>
      </c>
    </row>
    <row r="84" spans="1:7" x14ac:dyDescent="0.2">
      <c r="A84" s="12" t="s">
        <v>412</v>
      </c>
      <c r="B84" s="13">
        <v>936479</v>
      </c>
      <c r="C84" s="13">
        <v>8547601.4299999997</v>
      </c>
      <c r="D84" s="71">
        <f t="shared" si="3"/>
        <v>2.1616742599591803E-4</v>
      </c>
      <c r="E84" s="8" t="b">
        <f t="shared" si="4"/>
        <v>0</v>
      </c>
      <c r="F84" s="8" t="str">
        <v>Corea Republicana</v>
      </c>
      <c r="G84" s="8">
        <f t="shared" si="5"/>
        <v>1.7559849431960494E-2</v>
      </c>
    </row>
    <row r="85" spans="1:7" x14ac:dyDescent="0.2">
      <c r="A85" s="12" t="s">
        <v>350</v>
      </c>
      <c r="B85" s="13">
        <v>76072656</v>
      </c>
      <c r="C85" s="13">
        <v>488475010.38999999</v>
      </c>
      <c r="D85" s="71">
        <f t="shared" si="3"/>
        <v>1.7559849431960494E-2</v>
      </c>
      <c r="E85" s="8" t="b">
        <f t="shared" si="4"/>
        <v>0</v>
      </c>
      <c r="F85" s="8" t="str">
        <v>China</v>
      </c>
      <c r="G85" s="8">
        <f t="shared" si="5"/>
        <v>7.4810124656601307E-2</v>
      </c>
    </row>
    <row r="86" spans="1:7" x14ac:dyDescent="0.2">
      <c r="A86" s="12" t="s">
        <v>297</v>
      </c>
      <c r="B86" s="13">
        <v>324091895</v>
      </c>
      <c r="C86" s="13">
        <v>1708087916.6600001</v>
      </c>
      <c r="D86" s="71">
        <f t="shared" si="3"/>
        <v>7.4810124656601307E-2</v>
      </c>
      <c r="E86" s="8" t="b">
        <f t="shared" si="4"/>
        <v>0</v>
      </c>
      <c r="F86" s="8" t="str">
        <v>Filipinas</v>
      </c>
      <c r="G86" s="8">
        <f t="shared" si="5"/>
        <v>9.6229344890756373E-3</v>
      </c>
    </row>
    <row r="87" spans="1:7" x14ac:dyDescent="0.2">
      <c r="A87" s="12" t="s">
        <v>391</v>
      </c>
      <c r="B87" s="13">
        <v>41688409</v>
      </c>
      <c r="C87" s="13">
        <v>260863455.15000001</v>
      </c>
      <c r="D87" s="71">
        <f t="shared" si="3"/>
        <v>9.6229344890756373E-3</v>
      </c>
      <c r="E87" s="8" t="b">
        <f t="shared" si="4"/>
        <v>0</v>
      </c>
      <c r="F87" s="8" t="str">
        <v>Taiwan</v>
      </c>
      <c r="G87" s="8">
        <f t="shared" si="5"/>
        <v>8.0494983400387346E-4</v>
      </c>
    </row>
    <row r="88" spans="1:7" x14ac:dyDescent="0.2">
      <c r="A88" s="12" t="s">
        <v>421</v>
      </c>
      <c r="B88" s="13">
        <v>3487198</v>
      </c>
      <c r="C88" s="13">
        <v>7719821.54</v>
      </c>
      <c r="D88" s="71">
        <f t="shared" si="3"/>
        <v>8.0494983400387346E-4</v>
      </c>
      <c r="E88" s="8" t="b">
        <f t="shared" si="4"/>
        <v>0</v>
      </c>
      <c r="F88" s="8" t="str">
        <v>India</v>
      </c>
      <c r="G88" s="8">
        <f t="shared" si="5"/>
        <v>5.786414838948465E-2</v>
      </c>
    </row>
    <row r="89" spans="1:7" x14ac:dyDescent="0.2">
      <c r="A89" s="12" t="s">
        <v>338</v>
      </c>
      <c r="B89" s="13">
        <v>250678656</v>
      </c>
      <c r="C89" s="13">
        <v>826691093.63999999</v>
      </c>
      <c r="D89" s="71">
        <f t="shared" si="3"/>
        <v>5.786414838948465E-2</v>
      </c>
      <c r="E89" s="8" t="b">
        <f t="shared" si="4"/>
        <v>0</v>
      </c>
      <c r="F89" s="8" t="str">
        <v>Indonesia</v>
      </c>
      <c r="G89" s="8">
        <f t="shared" si="5"/>
        <v>2.7500187835008379E-3</v>
      </c>
    </row>
    <row r="90" spans="1:7" x14ac:dyDescent="0.2">
      <c r="A90" s="12" t="s">
        <v>339</v>
      </c>
      <c r="B90" s="13">
        <v>11913612</v>
      </c>
      <c r="C90" s="13">
        <v>80570002.560000002</v>
      </c>
      <c r="D90" s="71">
        <f t="shared" si="3"/>
        <v>2.7500187835008379E-3</v>
      </c>
      <c r="E90" s="8" t="b">
        <f t="shared" si="4"/>
        <v>0</v>
      </c>
      <c r="F90" s="8" t="str">
        <v>Iraq</v>
      </c>
      <c r="G90" s="8">
        <f t="shared" si="5"/>
        <v>1.7142542073128873E-3</v>
      </c>
    </row>
    <row r="91" spans="1:7" x14ac:dyDescent="0.2">
      <c r="A91" s="12" t="s">
        <v>341</v>
      </c>
      <c r="B91" s="13">
        <v>7426480</v>
      </c>
      <c r="C91" s="13">
        <v>62550600.350000001</v>
      </c>
      <c r="D91" s="71">
        <f t="shared" si="3"/>
        <v>1.7142542073128873E-3</v>
      </c>
      <c r="E91" s="8" t="b">
        <f t="shared" si="4"/>
        <v>0</v>
      </c>
      <c r="F91" s="8" t="str">
        <v>Irán</v>
      </c>
      <c r="G91" s="8">
        <f t="shared" si="5"/>
        <v>2.475185018622976E-2</v>
      </c>
    </row>
    <row r="92" spans="1:7" x14ac:dyDescent="0.2">
      <c r="A92" s="12" t="s">
        <v>340</v>
      </c>
      <c r="B92" s="13">
        <v>107229791</v>
      </c>
      <c r="C92" s="13">
        <v>580814104.86000001</v>
      </c>
      <c r="D92" s="71">
        <f t="shared" si="3"/>
        <v>2.475185018622976E-2</v>
      </c>
      <c r="E92" s="8" t="b">
        <f t="shared" si="4"/>
        <v>0</v>
      </c>
      <c r="F92" s="8" t="str">
        <v>Israel</v>
      </c>
      <c r="G92" s="8">
        <f t="shared" si="5"/>
        <v>3.8592713144744955E-3</v>
      </c>
    </row>
    <row r="93" spans="1:7" x14ac:dyDescent="0.2">
      <c r="A93" s="12" t="s">
        <v>343</v>
      </c>
      <c r="B93" s="13">
        <v>16719108</v>
      </c>
      <c r="C93" s="13">
        <v>96267372.620000005</v>
      </c>
      <c r="D93" s="71">
        <f t="shared" si="3"/>
        <v>3.8592713144744955E-3</v>
      </c>
      <c r="E93" s="8" t="b">
        <f t="shared" si="4"/>
        <v>0</v>
      </c>
      <c r="F93" s="8" t="str">
        <v>Japón</v>
      </c>
      <c r="G93" s="8">
        <f t="shared" si="5"/>
        <v>4.7928370725121589E-3</v>
      </c>
    </row>
    <row r="94" spans="1:7" x14ac:dyDescent="0.2">
      <c r="A94" s="12" t="s">
        <v>346</v>
      </c>
      <c r="B94" s="13">
        <v>20763495</v>
      </c>
      <c r="C94" s="13">
        <v>187293512.47</v>
      </c>
      <c r="D94" s="71">
        <f t="shared" si="3"/>
        <v>4.7928370725121589E-3</v>
      </c>
      <c r="E94" s="8" t="b">
        <f t="shared" si="4"/>
        <v>0</v>
      </c>
      <c r="F94" s="8" t="str">
        <v>Jordania</v>
      </c>
      <c r="G94" s="8">
        <f t="shared" si="5"/>
        <v>1.1902904264798612E-2</v>
      </c>
    </row>
    <row r="95" spans="1:7" x14ac:dyDescent="0.2">
      <c r="A95" s="12" t="s">
        <v>347</v>
      </c>
      <c r="B95" s="13">
        <v>51565678</v>
      </c>
      <c r="C95" s="13">
        <v>277636970.23000002</v>
      </c>
      <c r="D95" s="71">
        <f t="shared" si="3"/>
        <v>1.1902904264798612E-2</v>
      </c>
      <c r="E95" s="8" t="b">
        <f t="shared" si="4"/>
        <v>0</v>
      </c>
      <c r="F95" s="8" t="str">
        <v>Qatar</v>
      </c>
      <c r="G95" s="8">
        <f t="shared" si="5"/>
        <v>3.7439468113441868E-5</v>
      </c>
    </row>
    <row r="96" spans="1:7" x14ac:dyDescent="0.2">
      <c r="A96" s="73" t="s">
        <v>395</v>
      </c>
      <c r="B96" s="13">
        <v>162195</v>
      </c>
      <c r="C96" s="13">
        <v>1973327.82</v>
      </c>
      <c r="D96" s="71">
        <f t="shared" si="3"/>
        <v>3.7439468113441868E-5</v>
      </c>
      <c r="E96" s="8" t="b">
        <f t="shared" si="4"/>
        <v>1</v>
      </c>
      <c r="F96" s="8" t="str">
        <v>Kuwait</v>
      </c>
      <c r="G96" s="8">
        <f t="shared" si="5"/>
        <v>1.5276244776590289E-3</v>
      </c>
    </row>
    <row r="97" spans="1:7" x14ac:dyDescent="0.2">
      <c r="A97" s="12" t="s">
        <v>351</v>
      </c>
      <c r="B97" s="13">
        <v>6617964</v>
      </c>
      <c r="C97" s="13">
        <v>52844180.490000002</v>
      </c>
      <c r="D97" s="71">
        <f t="shared" si="3"/>
        <v>1.5276244776590289E-3</v>
      </c>
      <c r="E97" s="8" t="b">
        <f t="shared" si="4"/>
        <v>0</v>
      </c>
      <c r="F97" s="8" t="str">
        <v>Líbano</v>
      </c>
      <c r="G97" s="8">
        <f t="shared" si="5"/>
        <v>9.7697841346496526E-4</v>
      </c>
    </row>
    <row r="98" spans="1:7" x14ac:dyDescent="0.2">
      <c r="A98" s="12" t="s">
        <v>353</v>
      </c>
      <c r="B98" s="13">
        <v>4232459</v>
      </c>
      <c r="C98" s="13">
        <v>19313353.09</v>
      </c>
      <c r="D98" s="71">
        <f t="shared" si="3"/>
        <v>9.7697841346496526E-4</v>
      </c>
      <c r="E98" s="8" t="b">
        <f t="shared" si="4"/>
        <v>0</v>
      </c>
      <c r="F98" s="8" t="str">
        <v>Malasia</v>
      </c>
      <c r="G98" s="8">
        <f t="shared" si="5"/>
        <v>3.6667342302162072E-2</v>
      </c>
    </row>
    <row r="99" spans="1:7" x14ac:dyDescent="0.2">
      <c r="A99" s="12" t="s">
        <v>362</v>
      </c>
      <c r="B99" s="13">
        <v>158850002</v>
      </c>
      <c r="C99" s="13">
        <v>801891787.76999998</v>
      </c>
      <c r="D99" s="71">
        <f t="shared" si="3"/>
        <v>3.6667342302162072E-2</v>
      </c>
      <c r="E99" s="8" t="b">
        <f t="shared" si="4"/>
        <v>0</v>
      </c>
      <c r="F99" s="8" t="str">
        <v>Omán</v>
      </c>
      <c r="G99" s="8">
        <f t="shared" si="5"/>
        <v>2.4973629088965638E-3</v>
      </c>
    </row>
    <row r="100" spans="1:7" x14ac:dyDescent="0.2">
      <c r="A100" s="12" t="s">
        <v>385</v>
      </c>
      <c r="B100" s="13">
        <v>10819058</v>
      </c>
      <c r="C100" s="13">
        <v>69384104.859999999</v>
      </c>
      <c r="D100" s="71">
        <f t="shared" si="3"/>
        <v>2.4973629088965638E-3</v>
      </c>
      <c r="E100" s="8" t="b">
        <f t="shared" si="4"/>
        <v>0</v>
      </c>
      <c r="F100" s="8" t="str">
        <v>Emiratos Arabes Unidos</v>
      </c>
      <c r="G100" s="8">
        <f t="shared" si="5"/>
        <v>4.2349584126499277E-3</v>
      </c>
    </row>
    <row r="101" spans="1:7" x14ac:dyDescent="0.2">
      <c r="A101" s="12" t="s">
        <v>430</v>
      </c>
      <c r="B101" s="13">
        <v>18346657</v>
      </c>
      <c r="C101" s="13">
        <v>126470051.43000001</v>
      </c>
      <c r="D101" s="71">
        <f t="shared" si="3"/>
        <v>4.2349584126499277E-3</v>
      </c>
      <c r="E101" s="8" t="b">
        <f t="shared" si="4"/>
        <v>0</v>
      </c>
      <c r="F101" s="8" t="str">
        <v>Paquistán</v>
      </c>
      <c r="G101" s="8">
        <f t="shared" si="5"/>
        <v>1.5447539085894663E-3</v>
      </c>
    </row>
    <row r="102" spans="1:7" x14ac:dyDescent="0.2">
      <c r="A102" s="12" t="s">
        <v>386</v>
      </c>
      <c r="B102" s="13">
        <v>6692172</v>
      </c>
      <c r="C102" s="13">
        <v>26016840.27</v>
      </c>
      <c r="D102" s="71">
        <f t="shared" si="3"/>
        <v>1.5447539085894663E-3</v>
      </c>
      <c r="E102" s="8" t="b">
        <f t="shared" si="4"/>
        <v>0</v>
      </c>
      <c r="F102" s="8" t="str">
        <v>Singapur</v>
      </c>
      <c r="G102" s="8">
        <f t="shared" si="5"/>
        <v>4.7781389737290683E-4</v>
      </c>
    </row>
    <row r="103" spans="1:7" x14ac:dyDescent="0.2">
      <c r="A103" s="12" t="s">
        <v>405</v>
      </c>
      <c r="B103" s="13">
        <v>2069982</v>
      </c>
      <c r="C103" s="13">
        <v>9503549.4800000004</v>
      </c>
      <c r="D103" s="71">
        <f t="shared" si="3"/>
        <v>4.7781389737290683E-4</v>
      </c>
      <c r="E103" s="8" t="b">
        <f t="shared" si="4"/>
        <v>0</v>
      </c>
      <c r="F103" s="8" t="str">
        <v>Siria</v>
      </c>
      <c r="G103" s="8">
        <f t="shared" si="5"/>
        <v>9.7913838189139478E-3</v>
      </c>
    </row>
    <row r="104" spans="1:7" x14ac:dyDescent="0.2">
      <c r="A104" s="12" t="s">
        <v>420</v>
      </c>
      <c r="B104" s="13">
        <v>42418164</v>
      </c>
      <c r="C104" s="13">
        <v>273495050.5</v>
      </c>
      <c r="D104" s="71">
        <f t="shared" si="3"/>
        <v>9.7913838189139478E-3</v>
      </c>
      <c r="E104" s="8" t="b">
        <f t="shared" si="4"/>
        <v>0</v>
      </c>
      <c r="F104" s="8" t="str">
        <v>Tailandia</v>
      </c>
      <c r="G104" s="8">
        <f t="shared" si="5"/>
        <v>2.6646618282956881E-2</v>
      </c>
    </row>
    <row r="105" spans="1:7" x14ac:dyDescent="0.2">
      <c r="A105" s="12" t="s">
        <v>423</v>
      </c>
      <c r="B105" s="13">
        <v>115438292</v>
      </c>
      <c r="C105" s="13">
        <v>638018091.03999996</v>
      </c>
      <c r="D105" s="71">
        <f t="shared" si="3"/>
        <v>2.6646618282956881E-2</v>
      </c>
      <c r="E105" s="8" t="b">
        <f t="shared" si="4"/>
        <v>0</v>
      </c>
      <c r="F105" s="8" t="str">
        <v>Vietnam</v>
      </c>
      <c r="G105" s="8">
        <f t="shared" si="5"/>
        <v>8.9234007814409551E-3</v>
      </c>
    </row>
    <row r="106" spans="1:7" x14ac:dyDescent="0.2">
      <c r="A106" s="12" t="s">
        <v>436</v>
      </c>
      <c r="B106" s="13">
        <v>38657894</v>
      </c>
      <c r="C106" s="13">
        <v>224596528.66999999</v>
      </c>
      <c r="D106" s="71">
        <f t="shared" si="3"/>
        <v>8.9234007814409551E-3</v>
      </c>
      <c r="E106" s="8" t="b">
        <f t="shared" si="4"/>
        <v>0</v>
      </c>
      <c r="F106" s="8" t="str">
        <v>Hong Kong (China)</v>
      </c>
      <c r="G106" s="8">
        <f t="shared" si="5"/>
        <v>1.634428584679696E-3</v>
      </c>
    </row>
    <row r="107" spans="1:7" x14ac:dyDescent="0.2">
      <c r="A107" s="12" t="s">
        <v>481</v>
      </c>
      <c r="B107" s="13">
        <v>7080660</v>
      </c>
      <c r="C107" s="13">
        <v>13975576.65</v>
      </c>
      <c r="D107" s="71">
        <f t="shared" si="3"/>
        <v>1.634428584679696E-3</v>
      </c>
      <c r="E107" s="8" t="b">
        <f t="shared" si="4"/>
        <v>0</v>
      </c>
      <c r="F107" s="8" t="str">
        <v>Bangladesh</v>
      </c>
      <c r="G107" s="8">
        <f t="shared" si="5"/>
        <v>1.4674798343556237E-2</v>
      </c>
    </row>
    <row r="108" spans="1:7" x14ac:dyDescent="0.2">
      <c r="A108" s="12" t="s">
        <v>276</v>
      </c>
      <c r="B108" s="13">
        <v>63574058</v>
      </c>
      <c r="C108" s="13">
        <v>210910523.09</v>
      </c>
      <c r="D108" s="71">
        <f t="shared" si="3"/>
        <v>1.4674798343556237E-2</v>
      </c>
      <c r="E108" s="8" t="b">
        <f t="shared" si="4"/>
        <v>0</v>
      </c>
      <c r="F108" s="8" t="str">
        <v>República de Yemen</v>
      </c>
      <c r="G108" s="8">
        <f t="shared" si="5"/>
        <v>2.7210616245508389E-3</v>
      </c>
    </row>
    <row r="109" spans="1:7" x14ac:dyDescent="0.2">
      <c r="A109" s="12" t="s">
        <v>437</v>
      </c>
      <c r="B109" s="13">
        <v>11788164</v>
      </c>
      <c r="C109" s="13">
        <v>88478183.099999994</v>
      </c>
      <c r="D109" s="71">
        <f t="shared" si="3"/>
        <v>2.7210616245508389E-3</v>
      </c>
      <c r="E109" s="8" t="b">
        <f t="shared" si="4"/>
        <v>0</v>
      </c>
      <c r="F109" s="8" t="str">
        <v>Albania</v>
      </c>
      <c r="G109" s="8">
        <f t="shared" si="5"/>
        <v>2.4663259718541321E-5</v>
      </c>
    </row>
    <row r="110" spans="1:7" x14ac:dyDescent="0.2">
      <c r="A110" s="73" t="s">
        <v>264</v>
      </c>
      <c r="B110" s="13">
        <v>106846</v>
      </c>
      <c r="C110" s="13">
        <v>103984</v>
      </c>
      <c r="D110" s="71">
        <f t="shared" si="3"/>
        <v>2.4663259718541321E-5</v>
      </c>
      <c r="E110" s="8" t="b">
        <f t="shared" si="4"/>
        <v>1</v>
      </c>
      <c r="F110" s="8" t="str">
        <v>Austria</v>
      </c>
      <c r="G110" s="8">
        <f t="shared" si="5"/>
        <v>7.6266455218405659E-5</v>
      </c>
    </row>
    <row r="111" spans="1:7" x14ac:dyDescent="0.2">
      <c r="A111" s="12" t="s">
        <v>272</v>
      </c>
      <c r="B111" s="13">
        <v>330401</v>
      </c>
      <c r="C111" s="13">
        <v>63882.69</v>
      </c>
      <c r="D111" s="71">
        <f t="shared" si="3"/>
        <v>7.6266455218405659E-5</v>
      </c>
      <c r="E111" s="8" t="b">
        <f t="shared" si="4"/>
        <v>0</v>
      </c>
      <c r="F111" s="8" t="str">
        <v>Bélgica</v>
      </c>
      <c r="G111" s="8">
        <f t="shared" si="5"/>
        <v>1.3212698878967638E-2</v>
      </c>
    </row>
    <row r="112" spans="1:7" x14ac:dyDescent="0.2">
      <c r="A112" s="12" t="s">
        <v>279</v>
      </c>
      <c r="B112" s="13">
        <v>57239961</v>
      </c>
      <c r="C112" s="13">
        <v>354725773.37</v>
      </c>
      <c r="D112" s="71">
        <f t="shared" si="3"/>
        <v>1.3212698878967638E-2</v>
      </c>
      <c r="E112" s="8" t="b">
        <f t="shared" si="4"/>
        <v>0</v>
      </c>
      <c r="F112" s="8" t="str">
        <v>Bulgaria</v>
      </c>
      <c r="G112" s="8">
        <f t="shared" si="5"/>
        <v>2.3136250171940922E-4</v>
      </c>
    </row>
    <row r="113" spans="1:7" x14ac:dyDescent="0.2">
      <c r="A113" s="12" t="s">
        <v>287</v>
      </c>
      <c r="B113" s="13">
        <v>1002307</v>
      </c>
      <c r="C113" s="13">
        <v>5612579.3300000001</v>
      </c>
      <c r="D113" s="71">
        <f t="shared" si="3"/>
        <v>2.3136250171940922E-4</v>
      </c>
      <c r="E113" s="8" t="b">
        <f t="shared" si="4"/>
        <v>0</v>
      </c>
      <c r="F113" s="8" t="str">
        <v>Dinamarca</v>
      </c>
      <c r="G113" s="8">
        <f t="shared" si="5"/>
        <v>4.0015949612752184E-2</v>
      </c>
    </row>
    <row r="114" spans="1:7" x14ac:dyDescent="0.2">
      <c r="A114" s="12" t="s">
        <v>308</v>
      </c>
      <c r="B114" s="13">
        <v>173356815</v>
      </c>
      <c r="C114" s="13">
        <v>1075670334.1600001</v>
      </c>
      <c r="D114" s="71">
        <f t="shared" si="3"/>
        <v>4.0015949612752184E-2</v>
      </c>
      <c r="E114" s="8" t="b">
        <f t="shared" si="4"/>
        <v>0</v>
      </c>
      <c r="F114" s="8" t="str">
        <v>España</v>
      </c>
      <c r="G114" s="8">
        <f t="shared" si="5"/>
        <v>6.1249655949362027E-2</v>
      </c>
    </row>
    <row r="115" spans="1:7" x14ac:dyDescent="0.2">
      <c r="A115" s="12" t="s">
        <v>411</v>
      </c>
      <c r="B115" s="13">
        <v>265345328</v>
      </c>
      <c r="C115" s="13">
        <v>1592702972.47</v>
      </c>
      <c r="D115" s="71">
        <f t="shared" si="3"/>
        <v>6.1249655949362027E-2</v>
      </c>
      <c r="E115" s="8" t="b">
        <f t="shared" si="4"/>
        <v>0</v>
      </c>
      <c r="F115" s="68" t="str">
        <v>Finlandia</v>
      </c>
      <c r="G115" s="8">
        <f t="shared" si="5"/>
        <v>7.1684249345721952E-6</v>
      </c>
    </row>
    <row r="116" spans="1:7" x14ac:dyDescent="0.2">
      <c r="A116" s="73" t="s">
        <v>319</v>
      </c>
      <c r="B116" s="13">
        <v>31055</v>
      </c>
      <c r="C116" s="13">
        <v>5535</v>
      </c>
      <c r="D116" s="71">
        <f t="shared" si="3"/>
        <v>7.1684249345721952E-6</v>
      </c>
      <c r="E116" s="8" t="b">
        <f t="shared" si="4"/>
        <v>1</v>
      </c>
      <c r="F116" s="69" t="str">
        <v>Francia</v>
      </c>
      <c r="G116" s="8">
        <f t="shared" si="5"/>
        <v>5.478253218755811E-3</v>
      </c>
    </row>
    <row r="117" spans="1:7" x14ac:dyDescent="0.2">
      <c r="A117" s="12" t="s">
        <v>320</v>
      </c>
      <c r="B117" s="13">
        <v>23732850</v>
      </c>
      <c r="C117" s="13">
        <v>106276005.16</v>
      </c>
      <c r="D117" s="71">
        <f t="shared" si="3"/>
        <v>5.478253218755811E-3</v>
      </c>
      <c r="E117" s="8" t="b">
        <f t="shared" si="4"/>
        <v>0</v>
      </c>
      <c r="F117" s="8" t="str">
        <v>Grecia</v>
      </c>
      <c r="G117" s="8">
        <f t="shared" si="5"/>
        <v>5.1589447266436449E-3</v>
      </c>
    </row>
    <row r="118" spans="1:7" x14ac:dyDescent="0.2">
      <c r="A118" s="12" t="s">
        <v>326</v>
      </c>
      <c r="B118" s="13">
        <v>22349544</v>
      </c>
      <c r="C118" s="13">
        <v>134610606.18000001</v>
      </c>
      <c r="D118" s="71">
        <f t="shared" si="3"/>
        <v>5.1589447266436449E-3</v>
      </c>
      <c r="E118" s="8" t="b">
        <f t="shared" si="4"/>
        <v>0</v>
      </c>
      <c r="F118" s="8" t="str">
        <v>Hungría</v>
      </c>
      <c r="G118" s="8">
        <f t="shared" si="5"/>
        <v>1.9979026996040162E-5</v>
      </c>
    </row>
    <row r="119" spans="1:7" x14ac:dyDescent="0.2">
      <c r="A119" s="73" t="s">
        <v>336</v>
      </c>
      <c r="B119" s="13">
        <v>86553</v>
      </c>
      <c r="C119" s="13">
        <v>27807.73</v>
      </c>
      <c r="D119" s="71">
        <f t="shared" si="3"/>
        <v>1.9979026996040162E-5</v>
      </c>
      <c r="E119" s="8" t="b">
        <f t="shared" si="4"/>
        <v>1</v>
      </c>
      <c r="F119" s="8" t="str">
        <v>Irlanda</v>
      </c>
      <c r="G119" s="8">
        <f t="shared" si="5"/>
        <v>2.6207736169498478E-3</v>
      </c>
    </row>
    <row r="120" spans="1:7" x14ac:dyDescent="0.2">
      <c r="A120" s="12" t="s">
        <v>342</v>
      </c>
      <c r="B120" s="13">
        <v>11353697</v>
      </c>
      <c r="C120" s="13">
        <v>63599326.890000001</v>
      </c>
      <c r="D120" s="71">
        <f t="shared" si="3"/>
        <v>2.6207736169498478E-3</v>
      </c>
      <c r="E120" s="8" t="b">
        <f t="shared" si="4"/>
        <v>0</v>
      </c>
      <c r="F120" s="8" t="str">
        <v>Italia</v>
      </c>
      <c r="G120" s="8">
        <f t="shared" si="5"/>
        <v>5.9254709950932925E-2</v>
      </c>
    </row>
    <row r="121" spans="1:7" x14ac:dyDescent="0.2">
      <c r="A121" s="12" t="s">
        <v>344</v>
      </c>
      <c r="B121" s="13">
        <v>256702837</v>
      </c>
      <c r="C121" s="13">
        <v>1508510510.79</v>
      </c>
      <c r="D121" s="71">
        <f t="shared" si="3"/>
        <v>5.9254709950932925E-2</v>
      </c>
      <c r="E121" s="8" t="b">
        <f t="shared" si="4"/>
        <v>0</v>
      </c>
      <c r="F121" s="8" t="str">
        <v>Malta</v>
      </c>
      <c r="G121" s="8">
        <f t="shared" si="5"/>
        <v>2.0680311549050104E-4</v>
      </c>
    </row>
    <row r="122" spans="1:7" x14ac:dyDescent="0.2">
      <c r="A122" s="12" t="s">
        <v>365</v>
      </c>
      <c r="B122" s="13">
        <v>895911</v>
      </c>
      <c r="C122" s="13">
        <v>856623.37</v>
      </c>
      <c r="D122" s="71">
        <f t="shared" si="3"/>
        <v>2.0680311549050104E-4</v>
      </c>
      <c r="E122" s="8" t="b">
        <f t="shared" si="4"/>
        <v>0</v>
      </c>
      <c r="F122" s="8" t="str">
        <v>Noruega</v>
      </c>
      <c r="G122" s="8">
        <f t="shared" si="5"/>
        <v>2.9612808416563247E-4</v>
      </c>
    </row>
    <row r="123" spans="1:7" x14ac:dyDescent="0.2">
      <c r="A123" s="12" t="s">
        <v>384</v>
      </c>
      <c r="B123" s="13">
        <v>1282884</v>
      </c>
      <c r="C123" s="13">
        <v>15893362.4</v>
      </c>
      <c r="D123" s="71">
        <f t="shared" si="3"/>
        <v>2.9612808416563247E-4</v>
      </c>
      <c r="E123" s="8" t="b">
        <f t="shared" si="4"/>
        <v>0</v>
      </c>
      <c r="F123" s="8" t="str">
        <v>Países Bajos</v>
      </c>
      <c r="G123" s="8">
        <f t="shared" si="5"/>
        <v>4.6847079321747337E-2</v>
      </c>
    </row>
    <row r="124" spans="1:7" x14ac:dyDescent="0.2">
      <c r="A124" s="12" t="s">
        <v>378</v>
      </c>
      <c r="B124" s="13">
        <v>202950587</v>
      </c>
      <c r="C124" s="13">
        <v>1205095484.72</v>
      </c>
      <c r="D124" s="71">
        <f t="shared" si="3"/>
        <v>4.6847079321747337E-2</v>
      </c>
      <c r="E124" s="8" t="b">
        <f t="shared" si="4"/>
        <v>0</v>
      </c>
      <c r="F124" s="8" t="str">
        <v>Polonia</v>
      </c>
      <c r="G124" s="8">
        <f t="shared" si="5"/>
        <v>3.2817859563690648E-3</v>
      </c>
    </row>
    <row r="125" spans="1:7" x14ac:dyDescent="0.2">
      <c r="A125" s="12" t="s">
        <v>392</v>
      </c>
      <c r="B125" s="13">
        <v>14217330</v>
      </c>
      <c r="C125" s="13">
        <v>85758073.560000002</v>
      </c>
      <c r="D125" s="71">
        <f t="shared" si="3"/>
        <v>3.2817859563690648E-3</v>
      </c>
      <c r="E125" s="8" t="b">
        <f t="shared" si="4"/>
        <v>0</v>
      </c>
      <c r="F125" s="8" t="str">
        <v>Portugal</v>
      </c>
      <c r="G125" s="8">
        <f t="shared" si="5"/>
        <v>6.8447595266448603E-3</v>
      </c>
    </row>
    <row r="126" spans="1:7" x14ac:dyDescent="0.2">
      <c r="A126" s="12" t="s">
        <v>393</v>
      </c>
      <c r="B126" s="13">
        <v>29652819</v>
      </c>
      <c r="C126" s="13">
        <v>207926934.74000001</v>
      </c>
      <c r="D126" s="71">
        <f t="shared" si="3"/>
        <v>6.8447595266448603E-3</v>
      </c>
      <c r="E126" s="8" t="b">
        <f t="shared" si="4"/>
        <v>0</v>
      </c>
      <c r="F126" s="8" t="str">
        <v>Reino Unido</v>
      </c>
      <c r="G126" s="8">
        <f t="shared" si="5"/>
        <v>6.5351740548223111E-3</v>
      </c>
    </row>
    <row r="127" spans="1:7" x14ac:dyDescent="0.2">
      <c r="A127" s="12" t="s">
        <v>431</v>
      </c>
      <c r="B127" s="13">
        <v>28311635</v>
      </c>
      <c r="C127" s="13">
        <v>131426624.26000001</v>
      </c>
      <c r="D127" s="71">
        <f t="shared" si="3"/>
        <v>6.5351740548223111E-3</v>
      </c>
      <c r="E127" s="8" t="b">
        <f t="shared" si="4"/>
        <v>0</v>
      </c>
      <c r="F127" s="8" t="str">
        <v>Rumania</v>
      </c>
      <c r="G127" s="8">
        <f t="shared" si="5"/>
        <v>7.090512892448023E-4</v>
      </c>
    </row>
    <row r="128" spans="1:7" x14ac:dyDescent="0.2">
      <c r="A128" s="12" t="s">
        <v>396</v>
      </c>
      <c r="B128" s="13">
        <v>3071747</v>
      </c>
      <c r="C128" s="13">
        <v>21840071.07</v>
      </c>
      <c r="D128" s="71">
        <f t="shared" si="3"/>
        <v>7.090512892448023E-4</v>
      </c>
      <c r="E128" s="8" t="b">
        <f t="shared" si="4"/>
        <v>0</v>
      </c>
      <c r="F128" s="8" t="str">
        <v>Suecia</v>
      </c>
      <c r="G128" s="8">
        <f t="shared" si="5"/>
        <v>2.9749159683955026E-4</v>
      </c>
    </row>
    <row r="129" spans="1:7" x14ac:dyDescent="0.2">
      <c r="A129" s="12" t="s">
        <v>418</v>
      </c>
      <c r="B129" s="13">
        <v>1288791</v>
      </c>
      <c r="C129" s="13">
        <v>485575.07</v>
      </c>
      <c r="D129" s="71">
        <f t="shared" si="3"/>
        <v>2.9749159683955026E-4</v>
      </c>
      <c r="E129" s="8" t="b">
        <f t="shared" si="4"/>
        <v>0</v>
      </c>
      <c r="F129" s="8" t="str">
        <v>Suiza</v>
      </c>
      <c r="G129" s="8">
        <f t="shared" si="5"/>
        <v>1.7678252283663575E-4</v>
      </c>
    </row>
    <row r="130" spans="1:7" x14ac:dyDescent="0.2">
      <c r="A130" s="12" t="s">
        <v>419</v>
      </c>
      <c r="B130" s="13">
        <v>765856</v>
      </c>
      <c r="C130" s="13">
        <v>672512.07</v>
      </c>
      <c r="D130" s="71">
        <f t="shared" si="3"/>
        <v>1.7678252283663575E-4</v>
      </c>
      <c r="E130" s="8" t="b">
        <f t="shared" si="4"/>
        <v>0</v>
      </c>
      <c r="F130" s="8" t="str">
        <v>Chipre</v>
      </c>
      <c r="G130" s="8">
        <f t="shared" si="5"/>
        <v>1.7523776246480692E-3</v>
      </c>
    </row>
    <row r="131" spans="1:7" x14ac:dyDescent="0.2">
      <c r="A131" s="73" t="s">
        <v>479</v>
      </c>
      <c r="B131" s="13">
        <v>7287</v>
      </c>
      <c r="C131" s="13">
        <v>3892.56</v>
      </c>
      <c r="D131" s="71">
        <f t="shared" si="3"/>
        <v>1.6820580421261499E-6</v>
      </c>
      <c r="E131" s="8" t="b">
        <f t="shared" si="4"/>
        <v>1</v>
      </c>
      <c r="F131" s="8" t="str">
        <v>Turquía</v>
      </c>
      <c r="G131" s="8">
        <f t="shared" si="5"/>
        <v>2.2694203841158319E-3</v>
      </c>
    </row>
    <row r="132" spans="1:7" x14ac:dyDescent="0.2">
      <c r="A132" s="12" t="s">
        <v>306</v>
      </c>
      <c r="B132" s="13">
        <v>7591638</v>
      </c>
      <c r="C132" s="13">
        <v>51542315.619999997</v>
      </c>
      <c r="D132" s="71">
        <f t="shared" ref="D132:D144" si="6">+B132/B$8</f>
        <v>1.7523776246480692E-3</v>
      </c>
      <c r="E132" s="8" t="b">
        <f t="shared" si="4"/>
        <v>0</v>
      </c>
      <c r="F132" s="8" t="str">
        <v>República Federal de Alemania</v>
      </c>
      <c r="G132" s="8">
        <f t="shared" si="5"/>
        <v>1.7698975044845387E-2</v>
      </c>
    </row>
    <row r="133" spans="1:7" x14ac:dyDescent="0.2">
      <c r="A133" s="12" t="s">
        <v>427</v>
      </c>
      <c r="B133" s="13">
        <v>9831567</v>
      </c>
      <c r="C133" s="13">
        <v>30005652.829999998</v>
      </c>
      <c r="D133" s="71">
        <f t="shared" si="6"/>
        <v>2.2694203841158319E-3</v>
      </c>
      <c r="E133" s="8" t="b">
        <f t="shared" si="4"/>
        <v>0</v>
      </c>
      <c r="F133" s="8" t="str">
        <v>Lituania</v>
      </c>
      <c r="G133" s="8">
        <f t="shared" si="5"/>
        <v>8.6454597911602021E-5</v>
      </c>
    </row>
    <row r="134" spans="1:7" x14ac:dyDescent="0.2">
      <c r="A134" s="12" t="s">
        <v>324</v>
      </c>
      <c r="B134" s="13">
        <v>76675375</v>
      </c>
      <c r="C134" s="13">
        <v>354180188.10000002</v>
      </c>
      <c r="D134" s="71">
        <f t="shared" si="6"/>
        <v>1.7698975044845387E-2</v>
      </c>
      <c r="E134" s="8" t="b">
        <f t="shared" si="4"/>
        <v>0</v>
      </c>
      <c r="F134" s="8" t="str">
        <v>Rusia</v>
      </c>
      <c r="G134" s="8">
        <f t="shared" si="5"/>
        <v>6.3051240523519106E-3</v>
      </c>
    </row>
    <row r="135" spans="1:7" x14ac:dyDescent="0.2">
      <c r="A135" s="12" t="s">
        <v>357</v>
      </c>
      <c r="B135" s="13">
        <v>374538</v>
      </c>
      <c r="C135" s="13">
        <v>2150582.94</v>
      </c>
      <c r="D135" s="71">
        <f t="shared" si="6"/>
        <v>8.6454597911602021E-5</v>
      </c>
      <c r="E135" s="8" t="b">
        <f t="shared" si="4"/>
        <v>0</v>
      </c>
      <c r="F135" s="8" t="str">
        <v>Croacia</v>
      </c>
      <c r="G135" s="8">
        <f t="shared" si="5"/>
        <v>1.6490355056218866E-4</v>
      </c>
    </row>
    <row r="136" spans="1:7" x14ac:dyDescent="0.2">
      <c r="A136" s="12" t="s">
        <v>397</v>
      </c>
      <c r="B136" s="13">
        <v>27315014</v>
      </c>
      <c r="C136" s="13">
        <v>78569371.980000004</v>
      </c>
      <c r="D136" s="71">
        <f t="shared" si="6"/>
        <v>6.3051240523519106E-3</v>
      </c>
      <c r="E136" s="8" t="b">
        <f t="shared" si="4"/>
        <v>0</v>
      </c>
      <c r="F136" s="8" t="str">
        <v>Eslovenia</v>
      </c>
      <c r="G136" s="8">
        <f t="shared" si="5"/>
        <v>7.6243510718695582E-4</v>
      </c>
    </row>
    <row r="137" spans="1:7" x14ac:dyDescent="0.2">
      <c r="A137" s="12" t="s">
        <v>304</v>
      </c>
      <c r="B137" s="13">
        <v>714394</v>
      </c>
      <c r="C137" s="13">
        <v>8084834.6100000003</v>
      </c>
      <c r="D137" s="71">
        <f t="shared" si="6"/>
        <v>1.6490355056218866E-4</v>
      </c>
      <c r="E137" s="8" t="b">
        <f t="shared" si="4"/>
        <v>0</v>
      </c>
      <c r="F137" s="8" t="str">
        <v>República Checa</v>
      </c>
      <c r="G137" s="8">
        <f t="shared" si="5"/>
        <v>1.0357110236332951E-5</v>
      </c>
    </row>
    <row r="138" spans="1:7" x14ac:dyDescent="0.2">
      <c r="A138" s="12" t="s">
        <v>407</v>
      </c>
      <c r="B138" s="13">
        <v>3303016</v>
      </c>
      <c r="C138" s="13">
        <v>20239881.559999999</v>
      </c>
      <c r="D138" s="71">
        <f t="shared" si="6"/>
        <v>7.6243510718695582E-4</v>
      </c>
      <c r="E138" s="8" t="b">
        <f t="shared" ref="E138:E144" si="7">+D138&lt;$E$6</f>
        <v>0</v>
      </c>
      <c r="F138" s="8" t="str">
        <v>Yugoeslavia (Serbia, Montenegro)</v>
      </c>
      <c r="G138" s="8">
        <f t="shared" ref="G138:G144" si="8">+SUMIF(A138:A273,F138,D138:D273)</f>
        <v>7.0189625244889393E-5</v>
      </c>
    </row>
    <row r="139" spans="1:7" x14ac:dyDescent="0.2">
      <c r="A139" s="73" t="s">
        <v>307</v>
      </c>
      <c r="B139" s="13">
        <v>44869</v>
      </c>
      <c r="C139" s="13">
        <v>13698</v>
      </c>
      <c r="D139" s="71">
        <f t="shared" si="6"/>
        <v>1.0357110236332951E-5</v>
      </c>
      <c r="E139" s="8" t="b">
        <f t="shared" si="7"/>
        <v>1</v>
      </c>
      <c r="F139" s="8" t="str">
        <v>Australia</v>
      </c>
      <c r="G139" s="8">
        <f t="shared" si="8"/>
        <v>4.9196107424998112E-3</v>
      </c>
    </row>
    <row r="140" spans="1:7" x14ac:dyDescent="0.2">
      <c r="A140" s="12" t="s">
        <v>485</v>
      </c>
      <c r="B140" s="13">
        <v>304075</v>
      </c>
      <c r="C140" s="13">
        <v>3495120.36</v>
      </c>
      <c r="D140" s="71">
        <f t="shared" si="6"/>
        <v>7.0189625244889393E-5</v>
      </c>
      <c r="E140" s="8" t="b">
        <f t="shared" si="7"/>
        <v>0</v>
      </c>
      <c r="F140" s="8" t="str">
        <v>Nueva Zelanda</v>
      </c>
      <c r="G140" s="8">
        <f t="shared" si="8"/>
        <v>1.1729625279352313E-5</v>
      </c>
    </row>
    <row r="141" spans="1:7" x14ac:dyDescent="0.2">
      <c r="A141" s="12" t="s">
        <v>271</v>
      </c>
      <c r="B141" s="13">
        <v>21312703</v>
      </c>
      <c r="C141" s="13">
        <v>1731283.36</v>
      </c>
      <c r="D141" s="71">
        <f t="shared" si="6"/>
        <v>4.9196107424998112E-3</v>
      </c>
      <c r="E141" s="8" t="b">
        <f t="shared" si="7"/>
        <v>0</v>
      </c>
      <c r="F141" s="8" t="str">
        <v>Fiji</v>
      </c>
      <c r="G141" s="8">
        <f t="shared" si="8"/>
        <v>3.8915625816117414E-6</v>
      </c>
    </row>
    <row r="142" spans="1:7" x14ac:dyDescent="0.2">
      <c r="A142" s="73" t="s">
        <v>379</v>
      </c>
      <c r="B142" s="13">
        <v>50815</v>
      </c>
      <c r="C142" s="13">
        <v>12658</v>
      </c>
      <c r="D142" s="71">
        <f t="shared" si="6"/>
        <v>1.1729625279352313E-5</v>
      </c>
      <c r="E142" s="8" t="b">
        <f t="shared" si="7"/>
        <v>1</v>
      </c>
      <c r="F142" s="8" t="str">
        <v>Islas Marshall</v>
      </c>
      <c r="G142" s="8">
        <f t="shared" si="8"/>
        <v>4.1909490617321778E-6</v>
      </c>
    </row>
    <row r="143" spans="1:7" x14ac:dyDescent="0.2">
      <c r="A143" s="73" t="s">
        <v>318</v>
      </c>
      <c r="B143" s="13">
        <v>16859</v>
      </c>
      <c r="C143" s="13">
        <v>50400</v>
      </c>
      <c r="D143" s="71">
        <f t="shared" si="6"/>
        <v>3.8915625816117414E-6</v>
      </c>
      <c r="E143" s="8" t="b">
        <f t="shared" si="7"/>
        <v>1</v>
      </c>
      <c r="G143" s="8">
        <f t="shared" si="8"/>
        <v>0</v>
      </c>
    </row>
    <row r="144" spans="1:7" x14ac:dyDescent="0.2">
      <c r="A144" s="77" t="s">
        <v>476</v>
      </c>
      <c r="B144" s="15">
        <v>18156</v>
      </c>
      <c r="C144" s="15">
        <v>43750</v>
      </c>
      <c r="D144" s="71">
        <f t="shared" si="6"/>
        <v>4.1909490617321778E-6</v>
      </c>
      <c r="E144" s="8" t="b">
        <f t="shared" si="7"/>
        <v>1</v>
      </c>
      <c r="G144" s="8">
        <f t="shared" si="8"/>
        <v>0</v>
      </c>
    </row>
    <row r="146" spans="1:1" x14ac:dyDescent="0.2">
      <c r="A146" s="7" t="s">
        <v>16</v>
      </c>
    </row>
  </sheetData>
  <mergeCells count="2">
    <mergeCell ref="A1:C2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25</vt:i4>
      </vt:variant>
    </vt:vector>
  </HeadingPairs>
  <TitlesOfParts>
    <vt:vector size="25" baseType="lpstr">
      <vt:lpstr>2024</vt:lpstr>
      <vt:lpstr>Hoja1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Francisco Leiva</cp:lastModifiedBy>
  <dcterms:created xsi:type="dcterms:W3CDTF">2019-08-14T18:28:25Z</dcterms:created>
  <dcterms:modified xsi:type="dcterms:W3CDTF">2026-01-26T14:03:39Z</dcterms:modified>
</cp:coreProperties>
</file>